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 firstSheet="3" activeTab="2"/>
  </bookViews>
  <sheets>
    <sheet name="12月代理实际分时电量" sheetId="1" r:id="rId1"/>
    <sheet name="12月日前报价策略" sheetId="2" r:id="rId2"/>
    <sheet name="每日收益测算" sheetId="3" r:id="rId3"/>
    <sheet name="预期收益（负荷无偏差）" sheetId="6" r:id="rId4"/>
    <sheet name="日清算" sheetId="4" r:id="rId5"/>
    <sheet name="电量对比" sheetId="7" r:id="rId6"/>
  </sheets>
  <externalReferences>
    <externalReference r:id="rId7"/>
  </externalReferences>
  <definedNames>
    <definedName name="_xlnm._FilterDatabase" localSheetId="1" hidden="1">'12月日前报价策略'!$C$1:$C$160</definedName>
    <definedName name="_xlnm._FilterDatabase" localSheetId="3" hidden="1">'预期收益（负荷无偏差）'!$A$1:$AC$283</definedName>
    <definedName name="_xlnm._FilterDatabase" localSheetId="4" hidden="1">日清算!$A$1:$AG$34</definedName>
    <definedName name="_xlnm._FilterDatabase" localSheetId="2" hidden="1">每日收益测算!$A$1:$AC$284</definedName>
    <definedName name="_xlnm._FilterDatabase" localSheetId="0" hidden="1">'12月代理实际分时电量'!$A$107:$C$275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<sst xmlns="http://schemas.openxmlformats.org/spreadsheetml/2006/main" count="1142" uniqueCount="76">
  <si>
    <t>序号</t>
  </si>
  <si>
    <t>星期</t>
  </si>
  <si>
    <t>日期</t>
  </si>
  <si>
    <t>总量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</si>
  <si>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</si>
  <si>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</si>
  <si>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</si>
  <si>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</si>
  <si>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</si>
  <si>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</si>
  <si>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</si>
  <si>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</si>
  <si>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</si>
  <si>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</si>
  <si>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</si>
  <si>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</si>
  <si>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</si>
  <si>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</si>
  <si>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</si>
  <si>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</si>
  <si>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</si>
  <si>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</si>
  <si>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</si>
  <si>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</si>
  <si>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</si>
  <si>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</si>
  <si>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</si>
  <si>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</si>
  <si>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均值</t>
  </si>
  <si>
    <t>报价策略</t>
  </si>
  <si>
    <t>报价参与人员</t>
  </si>
  <si>
    <t>策略复盘</t>
  </si>
  <si>
    <t>晴天中午报低，早高峰晚上趋势不明显不做策略</t>
  </si>
  <si>
    <t>月度预测电量</t>
  </si>
  <si>
    <t>李溪</t>
  </si>
  <si>
    <t>策略系数</t>
  </si>
  <si>
    <t>日前申报电量</t>
  </si>
  <si>
    <t>实际电量</t>
  </si>
  <si>
    <t>预测准确率</t>
  </si>
  <si>
    <t>全天阴天多云，参考11.11。12.1下午晚上日前价格普遍高价，报低</t>
  </si>
  <si>
    <t>根据前三周价差规律，和最近日前价普遍偏高，买低</t>
  </si>
  <si>
    <t>根据前三周价差规律，凌晨报低，晴天中午报低，晚高峰不确定</t>
  </si>
  <si>
    <t>12.6日天气与前三周同类型日基本相似，根据前三周价差规律，凌晨报高，白天报低。</t>
  </si>
  <si>
    <t>根据前三周价差规律，凌晨和中午不确定，早上和晚上报低。</t>
  </si>
  <si>
    <t>根据前三周价差规律，凌晨不确定，白天和晚上报低。</t>
  </si>
  <si>
    <t>盈利（元）</t>
  </si>
  <si>
    <t>量价（元/MWh、万kWh）</t>
  </si>
  <si>
    <t>电量</t>
  </si>
  <si>
    <t>日前</t>
  </si>
  <si>
    <t>实时</t>
  </si>
  <si>
    <t>差值</t>
  </si>
  <si>
    <t>电价</t>
  </si>
  <si>
    <t>盈亏</t>
  </si>
  <si>
    <t>盈亏2</t>
  </si>
  <si>
    <t>盈亏3</t>
  </si>
  <si>
    <t>盈亏（总）</t>
  </si>
  <si>
    <t>实际总电量</t>
  </si>
  <si>
    <t>偏差价差收益转移结算电费</t>
  </si>
  <si>
    <t>度电套利收益</t>
  </si>
  <si>
    <t>注：标黄为其他日期值，当日测算用</t>
  </si>
  <si>
    <t>交易种类</t>
  </si>
  <si>
    <t>项目</t>
  </si>
  <si>
    <t>合计</t>
  </si>
  <si>
    <t>实际分时电量</t>
  </si>
  <si>
    <t>非现货可再生电量</t>
  </si>
  <si>
    <t>合计（当期）</t>
  </si>
  <si>
    <t>电费</t>
  </si>
  <si>
    <t>中长期市场化</t>
  </si>
  <si>
    <t>年度</t>
  </si>
  <si>
    <t>月度</t>
  </si>
  <si>
    <t>周</t>
  </si>
  <si>
    <t>多日</t>
  </si>
  <si>
    <t>日前偏差</t>
  </si>
  <si>
    <t>实时偏差</t>
  </si>
  <si>
    <t>收益</t>
  </si>
  <si>
    <t>电量类型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</si>
</sst>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aaaa"/>
    <numFmt numFmtId="177" formatCode="0.000_ "/>
    <numFmt numFmtId="178" formatCode="0.00_ ;[Red]\-0.00\ "/>
    <numFmt numFmtId="179" formatCode="[$-804]aaaa;@"/>
    <numFmt numFmtId="180" formatCode="0_ "/>
    <numFmt numFmtId="181" formatCode="0.0000_ ;[Red]\-0.0000\ "/>
    <numFmt numFmtId="182" formatCode="0.000_ ;[Red]\-0.000\ "/>
    <numFmt numFmtId="183" formatCode="0.00_ "/>
    <numFmt numFmtId="184" formatCode="0.0000_ "/>
    <numFmt numFmtId="185" formatCode="yyyy/m/d;@"/>
    <numFmt numFmtId="186" formatCode="0.000%"/>
  </numFmts>
  <fonts count="48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9"/>
      <color theme="1"/>
      <name val="宋体"/>
      <charset val="134"/>
    </font>
    <font>
      <b/>
      <sz val="9"/>
      <color rgb="FF7030A0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宋体"/>
      <charset val="134"/>
      <scheme val="minor"/>
    </font>
    <font>
      <sz val="12"/>
      <color indexed="8"/>
      <name val="宋体"/>
      <charset val="134"/>
    </font>
    <font>
      <b/>
      <sz val="12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color indexed="8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00B050"/>
      <name val="宋体"/>
      <charset val="134"/>
      <scheme val="minor"/>
    </font>
    <font>
      <b/>
      <sz val="9"/>
      <color rgb="FF0070C0"/>
      <name val="宋体"/>
      <charset val="134"/>
      <scheme val="minor"/>
    </font>
    <font>
      <b/>
      <sz val="9"/>
      <color rgb="FF0070C0"/>
      <name val="宋体"/>
      <charset val="134"/>
    </font>
    <font>
      <b/>
      <sz val="9"/>
      <name val="宋体"/>
      <charset val="134"/>
    </font>
    <font>
      <b/>
      <sz val="9"/>
      <name val="Calibri"/>
      <charset val="134"/>
    </font>
    <font>
      <sz val="9"/>
      <color theme="1"/>
      <name val="宋体"/>
      <charset val="134"/>
    </font>
    <font>
      <b/>
      <sz val="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0.5"/>
      <color rgb="FF333333"/>
      <name val="Segoe UI"/>
      <charset val="134"/>
    </font>
    <font>
      <sz val="10.5"/>
      <color rgb="FF333333"/>
      <name val="宋体"/>
      <charset val="134"/>
    </font>
    <font>
      <sz val="11"/>
      <name val="Calibri"/>
      <charset val="134"/>
    </font>
    <font>
      <sz val="12"/>
      <color rgb="FF000000"/>
      <name val="Calibri"/>
      <charset val="134"/>
    </font>
    <font>
      <b/>
      <sz val="10.5"/>
      <color rgb="FF33333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7030A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11" borderId="10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13" applyNumberFormat="0" applyAlignment="0" applyProtection="0">
      <alignment vertical="center"/>
    </xf>
    <xf numFmtId="0" fontId="38" fillId="13" borderId="14" applyNumberFormat="0" applyAlignment="0" applyProtection="0">
      <alignment vertical="center"/>
    </xf>
    <xf numFmtId="0" fontId="39" fillId="13" borderId="13" applyNumberFormat="0" applyAlignment="0" applyProtection="0">
      <alignment vertical="center"/>
    </xf>
    <xf numFmtId="0" fontId="40" fillId="14" borderId="15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180" fontId="6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9" fillId="0" borderId="0" xfId="0" applyFo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9" fillId="0" borderId="5" xfId="0" applyFont="1" applyBorder="1" applyAlignment="1"/>
    <xf numFmtId="176" fontId="10" fillId="3" borderId="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/>
    <xf numFmtId="0" fontId="9" fillId="0" borderId="2" xfId="0" applyFont="1" applyFill="1" applyBorder="1" applyAlignment="1"/>
    <xf numFmtId="0" fontId="9" fillId="0" borderId="3" xfId="0" applyFont="1" applyBorder="1" applyAlignment="1"/>
    <xf numFmtId="178" fontId="12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/>
    <xf numFmtId="178" fontId="14" fillId="4" borderId="1" xfId="0" applyNumberFormat="1" applyFont="1" applyFill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20" fontId="16" fillId="0" borderId="4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81" fontId="11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81" fontId="11" fillId="6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82" fontId="17" fillId="0" borderId="1" xfId="0" applyNumberFormat="1" applyFont="1" applyBorder="1" applyAlignment="1">
      <alignment horizontal="center" vertical="center"/>
    </xf>
    <xf numFmtId="183" fontId="17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 wrapText="1"/>
    </xf>
    <xf numFmtId="0" fontId="9" fillId="0" borderId="7" xfId="0" applyFont="1" applyBorder="1" applyAlignment="1"/>
    <xf numFmtId="178" fontId="17" fillId="7" borderId="1" xfId="0" applyNumberFormat="1" applyFont="1" applyFill="1" applyBorder="1" applyAlignment="1">
      <alignment horizontal="center" vertical="center"/>
    </xf>
    <xf numFmtId="178" fontId="18" fillId="0" borderId="8" xfId="0" applyNumberFormat="1" applyFont="1" applyBorder="1" applyAlignment="1">
      <alignment horizontal="center" vertical="center"/>
    </xf>
    <xf numFmtId="9" fontId="19" fillId="0" borderId="0" xfId="3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0" fontId="9" fillId="0" borderId="5" xfId="0" applyFont="1" applyBorder="1" applyAlignment="1"/>
    <xf numFmtId="0" fontId="9" fillId="0" borderId="4" xfId="0" applyFont="1" applyBorder="1" applyAlignment="1"/>
    <xf numFmtId="20" fontId="16" fillId="0" borderId="4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176" fontId="1" fillId="2" borderId="6" xfId="0" applyNumberFormat="1" applyFont="1" applyFill="1" applyBorder="1" applyAlignment="1">
      <alignment horizontal="center" vertical="center"/>
    </xf>
    <xf numFmtId="177" fontId="19" fillId="0" borderId="0" xfId="3" applyNumberFormat="1">
      <alignment vertical="center"/>
    </xf>
    <xf numFmtId="20" fontId="4" fillId="2" borderId="4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19" fillId="0" borderId="9" xfId="0" applyNumberFormat="1" applyFont="1" applyFill="1" applyBorder="1" applyAlignment="1"/>
    <xf numFmtId="0" fontId="19" fillId="0" borderId="0" xfId="0" applyFont="1" applyFill="1" applyAlignment="1">
      <alignment vertical="center"/>
    </xf>
    <xf numFmtId="10" fontId="19" fillId="0" borderId="0" xfId="3" applyNumberFormat="1">
      <alignment vertical="center"/>
    </xf>
    <xf numFmtId="0" fontId="21" fillId="0" borderId="0" xfId="0" applyFont="1" applyFill="1" applyAlignme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/>
    <xf numFmtId="0" fontId="5" fillId="0" borderId="0" xfId="0" applyFont="1">
      <alignment vertical="center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Fill="1" applyAlignment="1">
      <alignment vertical="center"/>
    </xf>
    <xf numFmtId="0" fontId="20" fillId="0" borderId="0" xfId="0" applyFont="1" applyFill="1" applyAlignment="1"/>
    <xf numFmtId="0" fontId="5" fillId="0" borderId="0" xfId="0" applyFont="1" applyFill="1" applyAlignment="1"/>
    <xf numFmtId="0" fontId="5" fillId="0" borderId="0" xfId="0" applyFont="1" applyAlignment="1"/>
    <xf numFmtId="0" fontId="0" fillId="9" borderId="0" xfId="0" applyFill="1">
      <alignment vertical="center"/>
    </xf>
    <xf numFmtId="0" fontId="0" fillId="0" borderId="0" xfId="0" applyFill="1">
      <alignment vertical="center"/>
    </xf>
    <xf numFmtId="0" fontId="0" fillId="1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/>
    <xf numFmtId="0" fontId="22" fillId="0" borderId="1" xfId="0" applyFont="1" applyFill="1" applyBorder="1" applyAlignment="1">
      <alignment horizontal="center" vertical="center" wrapText="1"/>
    </xf>
    <xf numFmtId="179" fontId="0" fillId="0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84" fontId="23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77" fontId="0" fillId="0" borderId="0" xfId="0" applyNumberFormat="1" applyAlignment="1"/>
    <xf numFmtId="20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77" fontId="0" fillId="0" borderId="0" xfId="0" applyNumberFormat="1" applyBorder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/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center" wrapText="1"/>
    </xf>
    <xf numFmtId="185" fontId="1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86" fontId="19" fillId="0" borderId="0" xfId="3" applyNumberFormat="1">
      <alignment vertical="center"/>
    </xf>
    <xf numFmtId="0" fontId="26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3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'12月代理实际分时电量'!$AF$190:$BC$190</c:f>
              <c:numCache>
                <c:formatCode>General</c:formatCode>
                <c:ptCount val="24"/>
                <c:pt idx="0">
                  <c:v>0.195</c:v>
                </c:pt>
                <c:pt idx="1">
                  <c:v>0.2025</c:v>
                </c:pt>
                <c:pt idx="2">
                  <c:v>0.18</c:v>
                </c:pt>
                <c:pt idx="3">
                  <c:v>0.195</c:v>
                </c:pt>
                <c:pt idx="4">
                  <c:v>0.195</c:v>
                </c:pt>
                <c:pt idx="5">
                  <c:v>0.18</c:v>
                </c:pt>
                <c:pt idx="6">
                  <c:v>0.2025</c:v>
                </c:pt>
                <c:pt idx="7">
                  <c:v>0.24</c:v>
                </c:pt>
                <c:pt idx="8">
                  <c:v>0.27</c:v>
                </c:pt>
                <c:pt idx="9">
                  <c:v>0.285</c:v>
                </c:pt>
                <c:pt idx="10">
                  <c:v>0.3225</c:v>
                </c:pt>
                <c:pt idx="11">
                  <c:v>0.285</c:v>
                </c:pt>
                <c:pt idx="12">
                  <c:v>0.3075</c:v>
                </c:pt>
                <c:pt idx="13">
                  <c:v>0.2625</c:v>
                </c:pt>
                <c:pt idx="14">
                  <c:v>0.3</c:v>
                </c:pt>
                <c:pt idx="15">
                  <c:v>0.3525</c:v>
                </c:pt>
                <c:pt idx="16">
                  <c:v>0.3225</c:v>
                </c:pt>
                <c:pt idx="17">
                  <c:v>0.33</c:v>
                </c:pt>
                <c:pt idx="18">
                  <c:v>0.315</c:v>
                </c:pt>
                <c:pt idx="19">
                  <c:v>0.2775</c:v>
                </c:pt>
                <c:pt idx="20">
                  <c:v>0.2775</c:v>
                </c:pt>
                <c:pt idx="21">
                  <c:v>0.2475</c:v>
                </c:pt>
                <c:pt idx="22">
                  <c:v>0.21</c:v>
                </c:pt>
                <c:pt idx="23">
                  <c:v>0.21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0343181"/>
        <c:axId val="864925171"/>
      </c:lineChart>
      <c:catAx>
        <c:axId val="2903431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925171"/>
        <c:crosses val="autoZero"/>
        <c:auto val="1"/>
        <c:lblAlgn val="ctr"/>
        <c:lblOffset val="100"/>
        <c:noMultiLvlLbl val="0"/>
      </c:catAx>
      <c:valAx>
        <c:axId val="864925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3431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871f31-69f4-48e5-9534-b6025dc081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46</xdr:col>
      <xdr:colOff>166370</xdr:colOff>
      <xdr:row>29</xdr:row>
      <xdr:rowOff>133985</xdr:rowOff>
    </xdr:from>
    <xdr:to>
      <xdr:col>51</xdr:col>
      <xdr:colOff>396240</xdr:colOff>
      <xdr:row>186</xdr:row>
      <xdr:rowOff>89535</xdr:rowOff>
    </xdr:to>
    <xdr:graphicFrame>
      <xdr:nvGraphicFramePr>
        <xdr:cNvPr id="2" name="图表 1"/>
        <xdr:cNvGraphicFramePr/>
      </xdr:nvGraphicFramePr>
      <xdr:xfrm>
        <a:off x="38630225" y="7499985"/>
        <a:ext cx="4455795" cy="3266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yron/Library/Containers/com.tencent.xinWeChat/Data/Documents/xwechat_files/wxid_ozyb3k2z8gxr11_b2d9/msg/file/2026-01/&#29616;&#36135;&#30003;&#25253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企业11月每天分时电量明细"/>
      <sheetName val="企业分时（11月）"/>
      <sheetName val="12月代理实际分时电量"/>
      <sheetName val="1月代理实际分时电量"/>
      <sheetName val="1月日前报价策略 "/>
      <sheetName val="11月日前报价策略"/>
      <sheetName val="每日收益测算"/>
      <sheetName val="日清算"/>
    </sheetNames>
    <sheetDataSet>
      <sheetData sheetId="0"/>
      <sheetData sheetId="1"/>
      <sheetData sheetId="2">
        <row r="1">
          <cell r="C1" t="str">
            <v>日期</v>
          </cell>
        </row>
        <row r="1">
          <cell r="E1" t="str">
            <v>00:00</v>
          </cell>
          <cell r="F1" t="str">
            <v>01:00</v>
          </cell>
          <cell r="G1" t="str">
            <v>02:00</v>
          </cell>
          <cell r="H1" t="str">
            <v>03:00</v>
          </cell>
          <cell r="I1" t="str">
            <v>04:00</v>
          </cell>
          <cell r="J1" t="str">
            <v>05:00</v>
          </cell>
          <cell r="K1" t="str">
            <v>06:00</v>
          </cell>
          <cell r="L1" t="str">
            <v>07:00</v>
          </cell>
          <cell r="M1" t="str">
            <v>08:00</v>
          </cell>
          <cell r="N1" t="str">
            <v>09:00</v>
          </cell>
          <cell r="O1" t="str">
            <v>10:00</v>
          </cell>
          <cell r="P1" t="str">
            <v>11:00</v>
          </cell>
          <cell r="Q1" t="str">
            <v>12:00</v>
          </cell>
          <cell r="R1" t="str">
            <v>13:00</v>
          </cell>
          <cell r="S1" t="str">
            <v>14:00</v>
          </cell>
          <cell r="T1" t="str">
            <v>15:00</v>
          </cell>
          <cell r="U1" t="str">
            <v>16:00</v>
          </cell>
          <cell r="V1" t="str">
            <v>17:00</v>
          </cell>
          <cell r="W1" t="str">
            <v>18:00</v>
          </cell>
          <cell r="X1" t="str">
            <v>19:00</v>
          </cell>
          <cell r="Y1" t="str">
            <v>20:00</v>
          </cell>
          <cell r="Z1" t="str">
            <v>21:00</v>
          </cell>
          <cell r="AA1" t="str">
            <v>22:00</v>
          </cell>
          <cell r="AB1" t="str">
            <v>23:00</v>
          </cell>
        </row>
        <row r="2">
          <cell r="C2">
            <v>45931</v>
          </cell>
        </row>
        <row r="2">
          <cell r="E2">
            <v>1.2664</v>
          </cell>
          <cell r="F2">
            <v>1.18774</v>
          </cell>
          <cell r="G2">
            <v>1.24266</v>
          </cell>
          <cell r="H2">
            <v>1.23672</v>
          </cell>
          <cell r="I2">
            <v>1.15367</v>
          </cell>
          <cell r="J2">
            <v>1.04228</v>
          </cell>
          <cell r="K2">
            <v>0.93327</v>
          </cell>
          <cell r="L2">
            <v>0.66341</v>
          </cell>
          <cell r="M2">
            <v>0.68589</v>
          </cell>
          <cell r="N2">
            <v>0.78397</v>
          </cell>
          <cell r="O2">
            <v>0.94954</v>
          </cell>
          <cell r="P2">
            <v>0.93449</v>
          </cell>
          <cell r="Q2">
            <v>0.73847</v>
          </cell>
          <cell r="R2">
            <v>0.88078</v>
          </cell>
          <cell r="S2">
            <v>0.98988</v>
          </cell>
          <cell r="T2">
            <v>1.00992</v>
          </cell>
          <cell r="U2">
            <v>0.9678</v>
          </cell>
          <cell r="V2">
            <v>0.87166</v>
          </cell>
          <cell r="W2">
            <v>0.66245</v>
          </cell>
          <cell r="X2">
            <v>0.6359</v>
          </cell>
          <cell r="Y2">
            <v>0.62194</v>
          </cell>
          <cell r="Z2">
            <v>0.54841</v>
          </cell>
          <cell r="AA2">
            <v>0.41793</v>
          </cell>
          <cell r="AB2">
            <v>0.34528</v>
          </cell>
        </row>
        <row r="3">
          <cell r="C3">
            <v>45932</v>
          </cell>
        </row>
        <row r="3">
          <cell r="E3">
            <v>0.29893</v>
          </cell>
          <cell r="F3">
            <v>0.30473</v>
          </cell>
          <cell r="G3">
            <v>0.24734</v>
          </cell>
          <cell r="H3">
            <v>0.25046</v>
          </cell>
          <cell r="I3">
            <v>0.25572</v>
          </cell>
          <cell r="J3">
            <v>0.25163</v>
          </cell>
          <cell r="K3">
            <v>0.28264</v>
          </cell>
          <cell r="L3">
            <v>0.33616</v>
          </cell>
          <cell r="M3">
            <v>1.28602</v>
          </cell>
          <cell r="N3">
            <v>1.43732</v>
          </cell>
          <cell r="O3">
            <v>1.57358</v>
          </cell>
          <cell r="P3">
            <v>1.43899</v>
          </cell>
          <cell r="Q3">
            <v>1.20335</v>
          </cell>
          <cell r="R3">
            <v>1.35331</v>
          </cell>
          <cell r="S3">
            <v>1.62547</v>
          </cell>
          <cell r="T3">
            <v>1.58249</v>
          </cell>
          <cell r="U3">
            <v>1.56137</v>
          </cell>
          <cell r="V3">
            <v>1.43147</v>
          </cell>
          <cell r="W3">
            <v>0.96805</v>
          </cell>
          <cell r="X3">
            <v>0.98906</v>
          </cell>
          <cell r="Y3">
            <v>0.94549</v>
          </cell>
          <cell r="Z3">
            <v>0.78499</v>
          </cell>
          <cell r="AA3">
            <v>0.66771</v>
          </cell>
          <cell r="AB3">
            <v>0.62853</v>
          </cell>
        </row>
        <row r="4">
          <cell r="C4">
            <v>45933</v>
          </cell>
        </row>
        <row r="4">
          <cell r="E4">
            <v>0.6789</v>
          </cell>
          <cell r="F4">
            <v>0.68611</v>
          </cell>
          <cell r="G4">
            <v>0.66885</v>
          </cell>
          <cell r="H4">
            <v>0.57192</v>
          </cell>
          <cell r="I4">
            <v>0.59829</v>
          </cell>
          <cell r="J4">
            <v>0.55767</v>
          </cell>
          <cell r="K4">
            <v>0.56011</v>
          </cell>
          <cell r="L4">
            <v>0.63879</v>
          </cell>
          <cell r="M4">
            <v>1.683</v>
          </cell>
          <cell r="N4">
            <v>1.88571</v>
          </cell>
          <cell r="O4">
            <v>2.01355</v>
          </cell>
          <cell r="P4">
            <v>1.99894</v>
          </cell>
          <cell r="Q4">
            <v>1.46709</v>
          </cell>
          <cell r="R4">
            <v>1.77157</v>
          </cell>
          <cell r="S4">
            <v>2.23428</v>
          </cell>
          <cell r="T4">
            <v>2.2495</v>
          </cell>
          <cell r="U4">
            <v>2.20547</v>
          </cell>
          <cell r="V4">
            <v>2.02151</v>
          </cell>
          <cell r="W4">
            <v>1.52818</v>
          </cell>
          <cell r="X4">
            <v>1.57691</v>
          </cell>
          <cell r="Y4">
            <v>1.40141</v>
          </cell>
          <cell r="Z4">
            <v>1.08632</v>
          </cell>
          <cell r="AA4">
            <v>0.92214</v>
          </cell>
          <cell r="AB4">
            <v>0.8866</v>
          </cell>
        </row>
        <row r="5">
          <cell r="C5">
            <v>45934</v>
          </cell>
        </row>
        <row r="5">
          <cell r="E5">
            <v>0.89318</v>
          </cell>
          <cell r="F5">
            <v>0.8077</v>
          </cell>
          <cell r="G5">
            <v>0.8703</v>
          </cell>
          <cell r="H5">
            <v>0.73245</v>
          </cell>
          <cell r="I5">
            <v>0.72095</v>
          </cell>
          <cell r="J5">
            <v>0.68582</v>
          </cell>
          <cell r="K5">
            <v>0.68442</v>
          </cell>
          <cell r="L5">
            <v>0.95431</v>
          </cell>
          <cell r="M5">
            <v>2.29083</v>
          </cell>
          <cell r="N5">
            <v>2.57318</v>
          </cell>
          <cell r="O5">
            <v>2.77514</v>
          </cell>
          <cell r="P5">
            <v>2.68983</v>
          </cell>
          <cell r="Q5">
            <v>2.04478</v>
          </cell>
          <cell r="R5">
            <v>2.20291</v>
          </cell>
          <cell r="S5">
            <v>3.03991</v>
          </cell>
          <cell r="T5">
            <v>2.90944</v>
          </cell>
          <cell r="U5">
            <v>2.9804</v>
          </cell>
          <cell r="V5">
            <v>2.74497</v>
          </cell>
          <cell r="W5">
            <v>1.79068</v>
          </cell>
          <cell r="X5">
            <v>1.72979</v>
          </cell>
          <cell r="Y5">
            <v>1.60424</v>
          </cell>
          <cell r="Z5">
            <v>1.33198</v>
          </cell>
          <cell r="AA5">
            <v>1.16769</v>
          </cell>
          <cell r="AB5">
            <v>1.12925</v>
          </cell>
        </row>
        <row r="6">
          <cell r="C6">
            <v>45935</v>
          </cell>
        </row>
        <row r="6">
          <cell r="E6">
            <v>1.03426</v>
          </cell>
          <cell r="F6">
            <v>1.08078</v>
          </cell>
          <cell r="G6">
            <v>1.04938</v>
          </cell>
          <cell r="H6">
            <v>0.99695</v>
          </cell>
          <cell r="I6">
            <v>1.04401</v>
          </cell>
          <cell r="J6">
            <v>0.996</v>
          </cell>
          <cell r="K6">
            <v>0.9035</v>
          </cell>
          <cell r="L6">
            <v>1.02736</v>
          </cell>
          <cell r="M6">
            <v>2.17305</v>
          </cell>
          <cell r="N6">
            <v>2.39446</v>
          </cell>
          <cell r="O6">
            <v>2.33722</v>
          </cell>
          <cell r="P6">
            <v>2.40218</v>
          </cell>
          <cell r="Q6">
            <v>2.16227</v>
          </cell>
          <cell r="R6">
            <v>2.11782</v>
          </cell>
          <cell r="S6">
            <v>2.66808</v>
          </cell>
          <cell r="T6">
            <v>2.58669</v>
          </cell>
          <cell r="U6">
            <v>2.33102</v>
          </cell>
          <cell r="V6">
            <v>2.13753</v>
          </cell>
          <cell r="W6">
            <v>1.48516</v>
          </cell>
          <cell r="X6">
            <v>1.30007</v>
          </cell>
          <cell r="Y6">
            <v>1.18835</v>
          </cell>
          <cell r="Z6">
            <v>1.11112</v>
          </cell>
          <cell r="AA6">
            <v>1.1611</v>
          </cell>
          <cell r="AB6">
            <v>1.15485</v>
          </cell>
        </row>
        <row r="7">
          <cell r="C7">
            <v>45936</v>
          </cell>
        </row>
        <row r="7">
          <cell r="E7">
            <v>1.1381</v>
          </cell>
          <cell r="F7">
            <v>1.18915</v>
          </cell>
          <cell r="G7">
            <v>1.15745</v>
          </cell>
          <cell r="H7">
            <v>1.11352</v>
          </cell>
          <cell r="I7">
            <v>1.13122</v>
          </cell>
          <cell r="J7">
            <v>1.10322</v>
          </cell>
          <cell r="K7">
            <v>0.92006</v>
          </cell>
          <cell r="L7">
            <v>0.76688</v>
          </cell>
          <cell r="M7">
            <v>0.6714</v>
          </cell>
          <cell r="N7">
            <v>0.72899</v>
          </cell>
          <cell r="O7">
            <v>0.91187</v>
          </cell>
          <cell r="P7">
            <v>0.99933</v>
          </cell>
          <cell r="Q7">
            <v>0.94385</v>
          </cell>
          <cell r="R7">
            <v>0.92496</v>
          </cell>
          <cell r="S7">
            <v>0.94664</v>
          </cell>
          <cell r="T7">
            <v>0.95852</v>
          </cell>
          <cell r="U7">
            <v>0.97884</v>
          </cell>
          <cell r="V7">
            <v>0.7634</v>
          </cell>
          <cell r="W7">
            <v>0.59687</v>
          </cell>
          <cell r="X7">
            <v>0.51345</v>
          </cell>
          <cell r="Y7">
            <v>0.53486</v>
          </cell>
          <cell r="Z7">
            <v>0.52975</v>
          </cell>
          <cell r="AA7">
            <v>0.50346</v>
          </cell>
          <cell r="AB7">
            <v>0.49432</v>
          </cell>
        </row>
        <row r="8">
          <cell r="C8">
            <v>45937</v>
          </cell>
        </row>
        <row r="8">
          <cell r="E8">
            <v>0.59029</v>
          </cell>
          <cell r="F8">
            <v>0.46305</v>
          </cell>
          <cell r="G8">
            <v>0.39333</v>
          </cell>
          <cell r="H8">
            <v>0.43113</v>
          </cell>
          <cell r="I8">
            <v>0.39638</v>
          </cell>
          <cell r="J8">
            <v>0.45065</v>
          </cell>
          <cell r="K8">
            <v>0.59085</v>
          </cell>
          <cell r="L8">
            <v>0.88929</v>
          </cell>
          <cell r="M8">
            <v>2.91122</v>
          </cell>
          <cell r="N8">
            <v>3.3464</v>
          </cell>
          <cell r="O8">
            <v>3.35975</v>
          </cell>
          <cell r="P8">
            <v>3.53455</v>
          </cell>
          <cell r="Q8">
            <v>2.85483</v>
          </cell>
          <cell r="R8">
            <v>3.05624</v>
          </cell>
          <cell r="S8">
            <v>3.91172</v>
          </cell>
          <cell r="T8">
            <v>3.796</v>
          </cell>
          <cell r="U8">
            <v>3.85697</v>
          </cell>
          <cell r="V8">
            <v>3.77677</v>
          </cell>
          <cell r="W8">
            <v>2.9354</v>
          </cell>
          <cell r="X8">
            <v>2.84298</v>
          </cell>
          <cell r="Y8">
            <v>2.39666</v>
          </cell>
          <cell r="Z8">
            <v>1.91296</v>
          </cell>
          <cell r="AA8">
            <v>1.58881</v>
          </cell>
          <cell r="AB8">
            <v>1.56932</v>
          </cell>
        </row>
        <row r="9">
          <cell r="C9">
            <v>45938</v>
          </cell>
        </row>
        <row r="9">
          <cell r="E9">
            <v>1.49164</v>
          </cell>
          <cell r="F9">
            <v>1.50493</v>
          </cell>
          <cell r="G9">
            <v>1.49015</v>
          </cell>
          <cell r="H9">
            <v>1.46299</v>
          </cell>
          <cell r="I9">
            <v>1.42022</v>
          </cell>
          <cell r="J9">
            <v>1.46684</v>
          </cell>
          <cell r="K9">
            <v>1.37888</v>
          </cell>
          <cell r="L9">
            <v>1.80363</v>
          </cell>
          <cell r="M9">
            <v>3.90932</v>
          </cell>
          <cell r="N9">
            <v>4.15694</v>
          </cell>
          <cell r="O9">
            <v>4.1299</v>
          </cell>
          <cell r="P9">
            <v>4.01119</v>
          </cell>
          <cell r="Q9">
            <v>3.21231</v>
          </cell>
          <cell r="R9">
            <v>3.60306</v>
          </cell>
          <cell r="S9">
            <v>4.66636</v>
          </cell>
          <cell r="T9">
            <v>4.6259</v>
          </cell>
          <cell r="U9">
            <v>4.76109</v>
          </cell>
          <cell r="V9">
            <v>4.34157</v>
          </cell>
          <cell r="W9">
            <v>3.73818</v>
          </cell>
          <cell r="X9">
            <v>3.71584</v>
          </cell>
          <cell r="Y9">
            <v>3.07339</v>
          </cell>
          <cell r="Z9">
            <v>2.65643</v>
          </cell>
          <cell r="AA9">
            <v>2.11311</v>
          </cell>
          <cell r="AB9">
            <v>1.90735</v>
          </cell>
        </row>
        <row r="10">
          <cell r="C10">
            <v>45939</v>
          </cell>
        </row>
        <row r="10">
          <cell r="E10">
            <v>1.67031</v>
          </cell>
          <cell r="F10">
            <v>1.69653</v>
          </cell>
          <cell r="G10">
            <v>1.66822</v>
          </cell>
          <cell r="H10">
            <v>1.63995</v>
          </cell>
          <cell r="I10">
            <v>1.66311</v>
          </cell>
          <cell r="J10">
            <v>1.60603</v>
          </cell>
          <cell r="K10">
            <v>1.52792</v>
          </cell>
          <cell r="L10">
            <v>1.87559</v>
          </cell>
          <cell r="M10">
            <v>4.29728</v>
          </cell>
          <cell r="N10">
            <v>4.91414</v>
          </cell>
          <cell r="O10">
            <v>4.62009</v>
          </cell>
          <cell r="P10">
            <v>4.61254</v>
          </cell>
          <cell r="Q10">
            <v>3.35539</v>
          </cell>
          <cell r="R10">
            <v>4.15278</v>
          </cell>
          <cell r="S10">
            <v>5.09229</v>
          </cell>
          <cell r="T10">
            <v>4.83925</v>
          </cell>
          <cell r="U10">
            <v>4.93753</v>
          </cell>
          <cell r="V10">
            <v>4.65243</v>
          </cell>
          <cell r="W10">
            <v>3.71898</v>
          </cell>
          <cell r="X10">
            <v>3.75189</v>
          </cell>
          <cell r="Y10">
            <v>3.37906</v>
          </cell>
          <cell r="Z10">
            <v>2.68385</v>
          </cell>
          <cell r="AA10">
            <v>2.03409</v>
          </cell>
          <cell r="AB10">
            <v>1.86231</v>
          </cell>
        </row>
        <row r="11">
          <cell r="C11">
            <v>45940</v>
          </cell>
        </row>
        <row r="11">
          <cell r="E11">
            <v>1.77645</v>
          </cell>
          <cell r="F11">
            <v>1.82855</v>
          </cell>
          <cell r="G11">
            <v>1.77759</v>
          </cell>
          <cell r="H11">
            <v>1.71229</v>
          </cell>
          <cell r="I11">
            <v>1.7126</v>
          </cell>
          <cell r="J11">
            <v>1.66514</v>
          </cell>
          <cell r="K11">
            <v>1.55681</v>
          </cell>
          <cell r="L11">
            <v>1.95757</v>
          </cell>
          <cell r="M11">
            <v>4.22734</v>
          </cell>
          <cell r="N11">
            <v>4.58681</v>
          </cell>
          <cell r="O11">
            <v>4.47061</v>
          </cell>
          <cell r="P11">
            <v>4.57372</v>
          </cell>
          <cell r="Q11">
            <v>3.4137</v>
          </cell>
          <cell r="R11">
            <v>3.97083</v>
          </cell>
          <cell r="S11">
            <v>4.82567</v>
          </cell>
          <cell r="T11">
            <v>4.68602</v>
          </cell>
          <cell r="U11">
            <v>4.83709</v>
          </cell>
          <cell r="V11">
            <v>4.56864</v>
          </cell>
          <cell r="W11">
            <v>3.85917</v>
          </cell>
          <cell r="X11">
            <v>4.00643</v>
          </cell>
          <cell r="Y11">
            <v>3.48924</v>
          </cell>
          <cell r="Z11">
            <v>2.76203</v>
          </cell>
          <cell r="AA11">
            <v>2.18129</v>
          </cell>
          <cell r="AB11">
            <v>1.88757</v>
          </cell>
        </row>
        <row r="12">
          <cell r="C12">
            <v>45941</v>
          </cell>
        </row>
        <row r="12">
          <cell r="E12">
            <v>1.80639</v>
          </cell>
          <cell r="F12">
            <v>1.84775</v>
          </cell>
          <cell r="G12">
            <v>1.78924</v>
          </cell>
          <cell r="H12">
            <v>1.7739</v>
          </cell>
          <cell r="I12">
            <v>1.72647</v>
          </cell>
          <cell r="J12">
            <v>1.72132</v>
          </cell>
          <cell r="K12">
            <v>1.80219</v>
          </cell>
          <cell r="L12">
            <v>2.19791</v>
          </cell>
          <cell r="M12">
            <v>4.39915</v>
          </cell>
          <cell r="N12">
            <v>4.83099</v>
          </cell>
          <cell r="O12">
            <v>4.99015</v>
          </cell>
          <cell r="P12">
            <v>4.62171</v>
          </cell>
          <cell r="Q12">
            <v>3.48106</v>
          </cell>
          <cell r="R12">
            <v>3.94414</v>
          </cell>
          <cell r="S12">
            <v>4.91458</v>
          </cell>
          <cell r="T12">
            <v>4.74216</v>
          </cell>
          <cell r="U12">
            <v>4.98511</v>
          </cell>
          <cell r="V12">
            <v>4.70094</v>
          </cell>
          <cell r="W12">
            <v>3.80087</v>
          </cell>
          <cell r="X12">
            <v>3.85878</v>
          </cell>
          <cell r="Y12">
            <v>3.52539</v>
          </cell>
          <cell r="Z12">
            <v>2.79383</v>
          </cell>
          <cell r="AA12">
            <v>2.25163</v>
          </cell>
          <cell r="AB12">
            <v>1.98656</v>
          </cell>
        </row>
        <row r="13">
          <cell r="C13">
            <v>45942</v>
          </cell>
        </row>
        <row r="13">
          <cell r="E13">
            <v>1.94087</v>
          </cell>
          <cell r="F13">
            <v>1.8655</v>
          </cell>
          <cell r="G13">
            <v>1.8814</v>
          </cell>
          <cell r="H13">
            <v>1.85474</v>
          </cell>
          <cell r="I13">
            <v>1.73296</v>
          </cell>
          <cell r="J13">
            <v>1.70851</v>
          </cell>
          <cell r="K13">
            <v>1.64791</v>
          </cell>
          <cell r="L13">
            <v>1.87765</v>
          </cell>
          <cell r="M13">
            <v>4.15269</v>
          </cell>
          <cell r="N13">
            <v>4.66774</v>
          </cell>
          <cell r="O13">
            <v>4.40638</v>
          </cell>
          <cell r="P13">
            <v>4.30614</v>
          </cell>
          <cell r="Q13">
            <v>3.45087</v>
          </cell>
          <cell r="R13">
            <v>3.87102</v>
          </cell>
          <cell r="S13">
            <v>4.7299</v>
          </cell>
          <cell r="T13">
            <v>4.40096</v>
          </cell>
          <cell r="U13">
            <v>4.57264</v>
          </cell>
          <cell r="V13">
            <v>3.91522</v>
          </cell>
          <cell r="W13">
            <v>2.56514</v>
          </cell>
          <cell r="X13">
            <v>2.45377</v>
          </cell>
          <cell r="Y13">
            <v>2.13401</v>
          </cell>
          <cell r="Z13">
            <v>1.98198</v>
          </cell>
          <cell r="AA13">
            <v>1.83246</v>
          </cell>
          <cell r="AB13">
            <v>1.71205</v>
          </cell>
        </row>
        <row r="14">
          <cell r="C14">
            <v>45943</v>
          </cell>
        </row>
        <row r="14">
          <cell r="E14">
            <v>1.62813</v>
          </cell>
          <cell r="F14">
            <v>1.70629</v>
          </cell>
          <cell r="G14">
            <v>1.67492</v>
          </cell>
          <cell r="H14">
            <v>1.62406</v>
          </cell>
          <cell r="I14">
            <v>1.57346</v>
          </cell>
          <cell r="J14">
            <v>1.6159</v>
          </cell>
          <cell r="K14">
            <v>1.52033</v>
          </cell>
          <cell r="L14">
            <v>2.06893</v>
          </cell>
          <cell r="M14">
            <v>4.41376</v>
          </cell>
          <cell r="N14">
            <v>4.67775</v>
          </cell>
          <cell r="O14">
            <v>4.51275</v>
          </cell>
          <cell r="P14">
            <v>4.43699</v>
          </cell>
          <cell r="Q14">
            <v>3.24061</v>
          </cell>
          <cell r="R14">
            <v>3.83529</v>
          </cell>
          <cell r="S14">
            <v>5.27677</v>
          </cell>
          <cell r="T14">
            <v>5.02604</v>
          </cell>
          <cell r="U14">
            <v>5.16284</v>
          </cell>
          <cell r="V14">
            <v>4.7047</v>
          </cell>
          <cell r="W14">
            <v>3.90545</v>
          </cell>
          <cell r="X14">
            <v>3.97267</v>
          </cell>
          <cell r="Y14">
            <v>3.46776</v>
          </cell>
          <cell r="Z14">
            <v>2.77965</v>
          </cell>
          <cell r="AA14">
            <v>2.20327</v>
          </cell>
          <cell r="AB14">
            <v>1.87274</v>
          </cell>
        </row>
        <row r="15">
          <cell r="C15">
            <v>45944</v>
          </cell>
        </row>
        <row r="15">
          <cell r="E15">
            <v>1.79101</v>
          </cell>
          <cell r="F15">
            <v>1.88899</v>
          </cell>
          <cell r="G15">
            <v>1.784</v>
          </cell>
          <cell r="H15">
            <v>1.83611</v>
          </cell>
          <cell r="I15">
            <v>1.73195</v>
          </cell>
          <cell r="J15">
            <v>1.75301</v>
          </cell>
          <cell r="K15">
            <v>1.66374</v>
          </cell>
          <cell r="L15">
            <v>2.14936</v>
          </cell>
          <cell r="M15">
            <v>4.6584</v>
          </cell>
          <cell r="N15">
            <v>5.15423</v>
          </cell>
          <cell r="O15">
            <v>4.76469</v>
          </cell>
          <cell r="P15">
            <v>4.59632</v>
          </cell>
          <cell r="Q15">
            <v>3.36287</v>
          </cell>
          <cell r="R15">
            <v>3.91289</v>
          </cell>
          <cell r="S15">
            <v>5.12631</v>
          </cell>
          <cell r="T15">
            <v>5.06918</v>
          </cell>
          <cell r="U15">
            <v>5.22802</v>
          </cell>
          <cell r="V15">
            <v>4.60644</v>
          </cell>
          <cell r="W15">
            <v>3.88235</v>
          </cell>
          <cell r="X15">
            <v>3.90669</v>
          </cell>
          <cell r="Y15">
            <v>3.44023</v>
          </cell>
          <cell r="Z15">
            <v>2.67336</v>
          </cell>
          <cell r="AA15">
            <v>2.18834</v>
          </cell>
          <cell r="AB15">
            <v>1.85065</v>
          </cell>
        </row>
        <row r="16">
          <cell r="C16">
            <v>45945</v>
          </cell>
        </row>
        <row r="16">
          <cell r="E16">
            <v>1.67867</v>
          </cell>
          <cell r="F16">
            <v>1.74737</v>
          </cell>
          <cell r="G16">
            <v>1.69201</v>
          </cell>
          <cell r="H16">
            <v>1.58828</v>
          </cell>
          <cell r="I16">
            <v>1.6125</v>
          </cell>
          <cell r="J16">
            <v>1.5548</v>
          </cell>
          <cell r="K16">
            <v>1.50116</v>
          </cell>
          <cell r="L16">
            <v>1.97315</v>
          </cell>
          <cell r="M16">
            <v>4.4317</v>
          </cell>
          <cell r="N16">
            <v>4.87665</v>
          </cell>
          <cell r="O16">
            <v>4.74939</v>
          </cell>
          <cell r="P16">
            <v>4.65876</v>
          </cell>
          <cell r="Q16">
            <v>3.4272</v>
          </cell>
          <cell r="R16">
            <v>4.00539</v>
          </cell>
          <cell r="S16">
            <v>5.09018</v>
          </cell>
          <cell r="T16">
            <v>4.87175</v>
          </cell>
          <cell r="U16">
            <v>5.06844</v>
          </cell>
          <cell r="V16">
            <v>4.73722</v>
          </cell>
          <cell r="W16">
            <v>3.76734</v>
          </cell>
          <cell r="X16">
            <v>3.60744</v>
          </cell>
          <cell r="Y16">
            <v>3.06399</v>
          </cell>
          <cell r="Z16">
            <v>2.58438</v>
          </cell>
          <cell r="AA16">
            <v>1.95012</v>
          </cell>
          <cell r="AB16">
            <v>1.73443</v>
          </cell>
        </row>
        <row r="17">
          <cell r="C17">
            <v>45946</v>
          </cell>
        </row>
        <row r="17">
          <cell r="E17">
            <v>1.63016</v>
          </cell>
          <cell r="F17">
            <v>1.65341</v>
          </cell>
          <cell r="G17">
            <v>1.61794</v>
          </cell>
          <cell r="H17">
            <v>1.59225</v>
          </cell>
          <cell r="I17">
            <v>1.50079</v>
          </cell>
          <cell r="J17">
            <v>1.56496</v>
          </cell>
          <cell r="K17">
            <v>1.56489</v>
          </cell>
          <cell r="L17">
            <v>1.99702</v>
          </cell>
          <cell r="M17">
            <v>4.22097</v>
          </cell>
          <cell r="N17">
            <v>4.77302</v>
          </cell>
          <cell r="O17">
            <v>4.67247</v>
          </cell>
          <cell r="P17">
            <v>4.52944</v>
          </cell>
          <cell r="Q17">
            <v>3.25048</v>
          </cell>
          <cell r="R17">
            <v>3.98531</v>
          </cell>
          <cell r="S17">
            <v>5.0736</v>
          </cell>
          <cell r="T17">
            <v>4.84085</v>
          </cell>
          <cell r="U17">
            <v>5.10671</v>
          </cell>
          <cell r="V17">
            <v>4.71703</v>
          </cell>
          <cell r="W17">
            <v>3.91256</v>
          </cell>
          <cell r="X17">
            <v>3.80685</v>
          </cell>
          <cell r="Y17">
            <v>3.29552</v>
          </cell>
          <cell r="Z17">
            <v>2.64104</v>
          </cell>
          <cell r="AA17">
            <v>2.05937</v>
          </cell>
          <cell r="AB17">
            <v>1.7878</v>
          </cell>
        </row>
        <row r="18">
          <cell r="C18">
            <v>45947</v>
          </cell>
        </row>
        <row r="18">
          <cell r="E18">
            <v>1.66262</v>
          </cell>
          <cell r="F18">
            <v>1.73021</v>
          </cell>
          <cell r="G18">
            <v>1.61002</v>
          </cell>
          <cell r="H18">
            <v>1.58143</v>
          </cell>
          <cell r="I18">
            <v>1.57248</v>
          </cell>
          <cell r="J18">
            <v>1.55405</v>
          </cell>
          <cell r="K18">
            <v>1.46305</v>
          </cell>
          <cell r="L18">
            <v>1.99627</v>
          </cell>
          <cell r="M18">
            <v>4.43516</v>
          </cell>
          <cell r="N18">
            <v>4.88138</v>
          </cell>
          <cell r="O18">
            <v>4.79523</v>
          </cell>
          <cell r="P18">
            <v>4.71191</v>
          </cell>
          <cell r="Q18">
            <v>3.49963</v>
          </cell>
          <cell r="R18">
            <v>4.10961</v>
          </cell>
          <cell r="S18">
            <v>5.29086</v>
          </cell>
          <cell r="T18">
            <v>5.15918</v>
          </cell>
          <cell r="U18">
            <v>5.18801</v>
          </cell>
          <cell r="V18">
            <v>4.80738</v>
          </cell>
          <cell r="W18">
            <v>3.88767</v>
          </cell>
          <cell r="X18">
            <v>3.88992</v>
          </cell>
          <cell r="Y18">
            <v>3.40555</v>
          </cell>
          <cell r="Z18">
            <v>2.66032</v>
          </cell>
          <cell r="AA18">
            <v>2.13544</v>
          </cell>
          <cell r="AB18">
            <v>1.81787</v>
          </cell>
        </row>
        <row r="19">
          <cell r="C19">
            <v>45948</v>
          </cell>
        </row>
        <row r="19">
          <cell r="E19">
            <v>1.71222</v>
          </cell>
          <cell r="F19">
            <v>1.73325</v>
          </cell>
          <cell r="G19">
            <v>1.72852</v>
          </cell>
          <cell r="H19">
            <v>1.70061</v>
          </cell>
          <cell r="I19">
            <v>1.60831</v>
          </cell>
          <cell r="J19">
            <v>1.61593</v>
          </cell>
          <cell r="K19">
            <v>1.54859</v>
          </cell>
          <cell r="L19">
            <v>1.88084</v>
          </cell>
          <cell r="M19">
            <v>4.29231</v>
          </cell>
          <cell r="N19">
            <v>4.73537</v>
          </cell>
          <cell r="O19">
            <v>4.55713</v>
          </cell>
          <cell r="P19">
            <v>4.22008</v>
          </cell>
          <cell r="Q19">
            <v>3.15507</v>
          </cell>
          <cell r="R19">
            <v>3.72147</v>
          </cell>
          <cell r="S19">
            <v>4.87497</v>
          </cell>
          <cell r="T19">
            <v>4.67484</v>
          </cell>
          <cell r="U19">
            <v>4.89994</v>
          </cell>
          <cell r="V19">
            <v>4.5111</v>
          </cell>
          <cell r="W19">
            <v>3.75311</v>
          </cell>
          <cell r="X19">
            <v>3.77185</v>
          </cell>
          <cell r="Y19">
            <v>3.20737</v>
          </cell>
          <cell r="Z19">
            <v>2.62872</v>
          </cell>
          <cell r="AA19">
            <v>2.04357</v>
          </cell>
          <cell r="AB19">
            <v>1.80229</v>
          </cell>
        </row>
        <row r="20">
          <cell r="C20">
            <v>45949</v>
          </cell>
        </row>
        <row r="20">
          <cell r="E20">
            <v>1.60115</v>
          </cell>
          <cell r="F20">
            <v>1.68228</v>
          </cell>
          <cell r="G20">
            <v>1.68983</v>
          </cell>
          <cell r="H20">
            <v>1.66214</v>
          </cell>
          <cell r="I20">
            <v>1.51686</v>
          </cell>
          <cell r="J20">
            <v>1.46932</v>
          </cell>
          <cell r="K20">
            <v>1.28992</v>
          </cell>
          <cell r="L20">
            <v>1.55884</v>
          </cell>
          <cell r="M20">
            <v>3.11419</v>
          </cell>
          <cell r="N20">
            <v>3.55027</v>
          </cell>
          <cell r="O20">
            <v>3.44325</v>
          </cell>
          <cell r="P20">
            <v>3.42038</v>
          </cell>
          <cell r="Q20">
            <v>2.66052</v>
          </cell>
          <cell r="R20">
            <v>2.81821</v>
          </cell>
          <cell r="S20">
            <v>3.57319</v>
          </cell>
          <cell r="T20">
            <v>3.58935</v>
          </cell>
          <cell r="U20">
            <v>3.72921</v>
          </cell>
          <cell r="V20">
            <v>3.30381</v>
          </cell>
          <cell r="W20">
            <v>2.16558</v>
          </cell>
          <cell r="X20">
            <v>1.89127</v>
          </cell>
          <cell r="Y20">
            <v>1.65703</v>
          </cell>
          <cell r="Z20">
            <v>1.51243</v>
          </cell>
          <cell r="AA20">
            <v>1.4063</v>
          </cell>
          <cell r="AB20">
            <v>1.46942</v>
          </cell>
        </row>
        <row r="21">
          <cell r="C21">
            <v>45950</v>
          </cell>
        </row>
        <row r="21">
          <cell r="E21">
            <v>1.2999</v>
          </cell>
          <cell r="F21">
            <v>1.35714</v>
          </cell>
          <cell r="G21">
            <v>1.34983</v>
          </cell>
          <cell r="H21">
            <v>1.34123</v>
          </cell>
          <cell r="I21">
            <v>1.34163</v>
          </cell>
          <cell r="J21">
            <v>1.34145</v>
          </cell>
          <cell r="K21">
            <v>1.31377</v>
          </cell>
          <cell r="L21">
            <v>1.72033</v>
          </cell>
          <cell r="M21">
            <v>3.85366</v>
          </cell>
          <cell r="N21">
            <v>4.30684</v>
          </cell>
          <cell r="O21">
            <v>4.25753</v>
          </cell>
          <cell r="P21">
            <v>4.11501</v>
          </cell>
          <cell r="Q21">
            <v>2.96596</v>
          </cell>
          <cell r="R21">
            <v>3.55977</v>
          </cell>
          <cell r="S21">
            <v>4.73906</v>
          </cell>
          <cell r="T21">
            <v>4.56899</v>
          </cell>
          <cell r="U21">
            <v>4.58582</v>
          </cell>
          <cell r="V21">
            <v>4.21289</v>
          </cell>
          <cell r="W21">
            <v>3.59325</v>
          </cell>
          <cell r="X21">
            <v>3.71673</v>
          </cell>
          <cell r="Y21">
            <v>3.24204</v>
          </cell>
          <cell r="Z21">
            <v>2.53981</v>
          </cell>
          <cell r="AA21">
            <v>2.04756</v>
          </cell>
          <cell r="AB21">
            <v>1.83213</v>
          </cell>
        </row>
        <row r="22">
          <cell r="C22">
            <v>45951</v>
          </cell>
        </row>
        <row r="22">
          <cell r="E22">
            <v>1.62935</v>
          </cell>
          <cell r="F22">
            <v>1.65619</v>
          </cell>
          <cell r="G22">
            <v>1.65742</v>
          </cell>
          <cell r="H22">
            <v>1.64283</v>
          </cell>
          <cell r="I22">
            <v>1.59876</v>
          </cell>
          <cell r="J22">
            <v>1.59621</v>
          </cell>
          <cell r="K22">
            <v>1.58217</v>
          </cell>
          <cell r="L22">
            <v>2.09161</v>
          </cell>
          <cell r="M22">
            <v>4.22227</v>
          </cell>
          <cell r="N22">
            <v>4.54411</v>
          </cell>
          <cell r="O22">
            <v>4.13854</v>
          </cell>
          <cell r="P22">
            <v>3.96935</v>
          </cell>
          <cell r="Q22">
            <v>2.73255</v>
          </cell>
          <cell r="R22">
            <v>3.48374</v>
          </cell>
          <cell r="S22">
            <v>4.45637</v>
          </cell>
          <cell r="T22">
            <v>3.84442</v>
          </cell>
          <cell r="U22">
            <v>4.47174</v>
          </cell>
          <cell r="V22">
            <v>3.85926</v>
          </cell>
          <cell r="W22">
            <v>3.35696</v>
          </cell>
          <cell r="X22">
            <v>3.26252</v>
          </cell>
          <cell r="Y22">
            <v>2.91309</v>
          </cell>
          <cell r="Z22">
            <v>2.36106</v>
          </cell>
          <cell r="AA22">
            <v>1.87004</v>
          </cell>
          <cell r="AB22">
            <v>1.7147</v>
          </cell>
        </row>
        <row r="23">
          <cell r="C23">
            <v>45952</v>
          </cell>
        </row>
        <row r="23">
          <cell r="E23">
            <v>1.613</v>
          </cell>
          <cell r="F23">
            <v>1.63786</v>
          </cell>
          <cell r="G23">
            <v>1.60934</v>
          </cell>
          <cell r="H23">
            <v>1.65837</v>
          </cell>
          <cell r="I23">
            <v>1.68868</v>
          </cell>
          <cell r="J23">
            <v>1.63498</v>
          </cell>
          <cell r="K23">
            <v>1.53622</v>
          </cell>
          <cell r="L23">
            <v>1.97086</v>
          </cell>
          <cell r="M23">
            <v>3.94115</v>
          </cell>
          <cell r="N23">
            <v>4.30313</v>
          </cell>
          <cell r="O23">
            <v>4.09856</v>
          </cell>
          <cell r="P23">
            <v>3.89146</v>
          </cell>
          <cell r="Q23">
            <v>2.66661</v>
          </cell>
          <cell r="R23">
            <v>3.37233</v>
          </cell>
          <cell r="S23">
            <v>4.31477</v>
          </cell>
          <cell r="T23">
            <v>4.0749</v>
          </cell>
          <cell r="U23">
            <v>4.27933</v>
          </cell>
          <cell r="V23">
            <v>3.66844</v>
          </cell>
          <cell r="W23">
            <v>3.10295</v>
          </cell>
          <cell r="X23">
            <v>3.24337</v>
          </cell>
          <cell r="Y23">
            <v>2.89276</v>
          </cell>
          <cell r="Z23">
            <v>2.33684</v>
          </cell>
          <cell r="AA23">
            <v>2.00038</v>
          </cell>
          <cell r="AB23">
            <v>1.71182</v>
          </cell>
        </row>
        <row r="24">
          <cell r="C24">
            <v>45953</v>
          </cell>
        </row>
        <row r="24">
          <cell r="E24">
            <v>1.89112</v>
          </cell>
          <cell r="F24">
            <v>1.57538</v>
          </cell>
          <cell r="G24">
            <v>1.51398</v>
          </cell>
          <cell r="H24">
            <v>1.47135</v>
          </cell>
          <cell r="I24">
            <v>1.53902</v>
          </cell>
          <cell r="J24">
            <v>1.51919</v>
          </cell>
          <cell r="K24">
            <v>1.44226</v>
          </cell>
          <cell r="L24">
            <v>1.94966</v>
          </cell>
          <cell r="M24">
            <v>3.70479</v>
          </cell>
          <cell r="N24">
            <v>3.99295</v>
          </cell>
          <cell r="O24">
            <v>3.70473</v>
          </cell>
          <cell r="P24">
            <v>3.69075</v>
          </cell>
          <cell r="Q24">
            <v>2.60171</v>
          </cell>
          <cell r="R24">
            <v>3.01063</v>
          </cell>
          <cell r="S24">
            <v>3.9942</v>
          </cell>
          <cell r="T24">
            <v>3.90604</v>
          </cell>
          <cell r="U24">
            <v>4.07126</v>
          </cell>
          <cell r="V24">
            <v>3.88254</v>
          </cell>
          <cell r="W24">
            <v>3.26947</v>
          </cell>
          <cell r="X24">
            <v>3.42892</v>
          </cell>
          <cell r="Y24">
            <v>2.97045</v>
          </cell>
          <cell r="Z24">
            <v>2.37771</v>
          </cell>
          <cell r="AA24">
            <v>1.942</v>
          </cell>
          <cell r="AB24">
            <v>1.74029</v>
          </cell>
        </row>
        <row r="25">
          <cell r="C25">
            <v>45954</v>
          </cell>
        </row>
        <row r="25">
          <cell r="E25">
            <v>1.55094</v>
          </cell>
          <cell r="F25">
            <v>1.57654</v>
          </cell>
          <cell r="G25">
            <v>1.46288</v>
          </cell>
          <cell r="H25">
            <v>1.50689</v>
          </cell>
          <cell r="I25">
            <v>1.46974</v>
          </cell>
          <cell r="J25">
            <v>1.49927</v>
          </cell>
          <cell r="K25">
            <v>1.43654</v>
          </cell>
          <cell r="L25">
            <v>1.91919</v>
          </cell>
          <cell r="M25">
            <v>3.80597</v>
          </cell>
          <cell r="N25">
            <v>4.12779</v>
          </cell>
          <cell r="O25">
            <v>3.93168</v>
          </cell>
          <cell r="P25">
            <v>3.68256</v>
          </cell>
          <cell r="Q25">
            <v>2.54687</v>
          </cell>
          <cell r="R25">
            <v>2.97864</v>
          </cell>
          <cell r="S25">
            <v>4.0213</v>
          </cell>
          <cell r="T25">
            <v>3.82454</v>
          </cell>
          <cell r="U25">
            <v>3.96976</v>
          </cell>
          <cell r="V25">
            <v>3.7653</v>
          </cell>
          <cell r="W25">
            <v>3.284</v>
          </cell>
          <cell r="X25">
            <v>3.35618</v>
          </cell>
          <cell r="Y25">
            <v>3.06855</v>
          </cell>
          <cell r="Z25">
            <v>2.35078</v>
          </cell>
          <cell r="AA25">
            <v>1.88092</v>
          </cell>
          <cell r="AB25">
            <v>1.60343</v>
          </cell>
        </row>
        <row r="26">
          <cell r="C26">
            <v>45955</v>
          </cell>
        </row>
        <row r="26">
          <cell r="E26">
            <v>1.51008</v>
          </cell>
          <cell r="F26">
            <v>1.56751</v>
          </cell>
          <cell r="G26">
            <v>1.51587</v>
          </cell>
          <cell r="H26">
            <v>1.48651</v>
          </cell>
          <cell r="I26">
            <v>1.47558</v>
          </cell>
          <cell r="J26">
            <v>1.46494</v>
          </cell>
          <cell r="K26">
            <v>1.42966</v>
          </cell>
          <cell r="L26">
            <v>1.87664</v>
          </cell>
          <cell r="M26">
            <v>3.78387</v>
          </cell>
          <cell r="N26">
            <v>4.17523</v>
          </cell>
          <cell r="O26">
            <v>3.82336</v>
          </cell>
          <cell r="P26">
            <v>3.4544</v>
          </cell>
          <cell r="Q26">
            <v>2.38819</v>
          </cell>
          <cell r="R26">
            <v>2.84302</v>
          </cell>
          <cell r="S26">
            <v>3.71856</v>
          </cell>
          <cell r="T26">
            <v>3.80547</v>
          </cell>
          <cell r="U26">
            <v>3.94651</v>
          </cell>
          <cell r="V26">
            <v>3.64835</v>
          </cell>
          <cell r="W26">
            <v>3.19918</v>
          </cell>
          <cell r="X26">
            <v>3.27758</v>
          </cell>
          <cell r="Y26">
            <v>2.94056</v>
          </cell>
          <cell r="Z26">
            <v>2.3845</v>
          </cell>
          <cell r="AA26">
            <v>1.86495</v>
          </cell>
          <cell r="AB26">
            <v>1.6927</v>
          </cell>
        </row>
        <row r="27">
          <cell r="C27">
            <v>45956</v>
          </cell>
        </row>
        <row r="27">
          <cell r="E27">
            <v>1.54194</v>
          </cell>
          <cell r="F27">
            <v>1.62412</v>
          </cell>
          <cell r="G27">
            <v>1.60187</v>
          </cell>
          <cell r="H27">
            <v>1.61828</v>
          </cell>
          <cell r="I27">
            <v>1.47351</v>
          </cell>
          <cell r="J27">
            <v>1.44301</v>
          </cell>
          <cell r="K27">
            <v>1.42309</v>
          </cell>
          <cell r="L27">
            <v>1.59207</v>
          </cell>
          <cell r="M27">
            <v>2.99592</v>
          </cell>
          <cell r="N27">
            <v>3.17327</v>
          </cell>
          <cell r="O27">
            <v>3.01412</v>
          </cell>
          <cell r="P27">
            <v>2.74385</v>
          </cell>
          <cell r="Q27">
            <v>1.54217</v>
          </cell>
          <cell r="R27">
            <v>1.89864</v>
          </cell>
          <cell r="S27">
            <v>2.8425</v>
          </cell>
          <cell r="T27">
            <v>2.9265</v>
          </cell>
          <cell r="U27">
            <v>3.07762</v>
          </cell>
          <cell r="V27">
            <v>2.72933</v>
          </cell>
          <cell r="W27">
            <v>1.57168</v>
          </cell>
          <cell r="X27">
            <v>1.48983</v>
          </cell>
          <cell r="Y27">
            <v>1.40674</v>
          </cell>
          <cell r="Z27">
            <v>1.28607</v>
          </cell>
          <cell r="AA27">
            <v>1.29084</v>
          </cell>
          <cell r="AB27">
            <v>1.26614</v>
          </cell>
        </row>
        <row r="28">
          <cell r="C28">
            <v>45957</v>
          </cell>
        </row>
        <row r="28">
          <cell r="E28">
            <v>1.29965</v>
          </cell>
          <cell r="F28">
            <v>1.25127</v>
          </cell>
          <cell r="G28">
            <v>1.17517</v>
          </cell>
          <cell r="H28">
            <v>1.23828</v>
          </cell>
          <cell r="I28">
            <v>1.19201</v>
          </cell>
          <cell r="J28">
            <v>1.16267</v>
          </cell>
          <cell r="K28">
            <v>1.22045</v>
          </cell>
          <cell r="L28">
            <v>1.69051</v>
          </cell>
          <cell r="M28">
            <v>3.73777</v>
          </cell>
          <cell r="N28">
            <v>4.14056</v>
          </cell>
          <cell r="O28">
            <v>3.87553</v>
          </cell>
          <cell r="P28">
            <v>3.6765</v>
          </cell>
          <cell r="Q28">
            <v>2.38332</v>
          </cell>
          <cell r="R28">
            <v>3.04024</v>
          </cell>
          <cell r="S28">
            <v>4.02711</v>
          </cell>
          <cell r="T28">
            <v>3.91643</v>
          </cell>
          <cell r="U28">
            <v>3.90856</v>
          </cell>
          <cell r="V28">
            <v>3.61473</v>
          </cell>
          <cell r="W28">
            <v>3.1789</v>
          </cell>
          <cell r="X28">
            <v>3.50718</v>
          </cell>
          <cell r="Y28">
            <v>3.02403</v>
          </cell>
          <cell r="Z28">
            <v>2.42764</v>
          </cell>
          <cell r="AA28">
            <v>1.8454</v>
          </cell>
          <cell r="AB28">
            <v>1.4776</v>
          </cell>
        </row>
        <row r="29">
          <cell r="C29">
            <v>45958</v>
          </cell>
        </row>
        <row r="29">
          <cell r="E29">
            <v>1.34381</v>
          </cell>
          <cell r="F29">
            <v>1.3797</v>
          </cell>
          <cell r="G29">
            <v>1.3344</v>
          </cell>
          <cell r="H29">
            <v>1.35687</v>
          </cell>
          <cell r="I29">
            <v>1.23863</v>
          </cell>
          <cell r="J29">
            <v>1.24107</v>
          </cell>
          <cell r="K29">
            <v>1.23432</v>
          </cell>
          <cell r="L29">
            <v>1.61457</v>
          </cell>
          <cell r="M29">
            <v>3.5302</v>
          </cell>
          <cell r="N29">
            <v>4.01003</v>
          </cell>
          <cell r="O29">
            <v>3.67725</v>
          </cell>
          <cell r="P29">
            <v>3.45768</v>
          </cell>
          <cell r="Q29">
            <v>2.38648</v>
          </cell>
          <cell r="R29">
            <v>3.2112</v>
          </cell>
          <cell r="S29">
            <v>4.07215</v>
          </cell>
          <cell r="T29">
            <v>3.76428</v>
          </cell>
          <cell r="U29">
            <v>3.9</v>
          </cell>
          <cell r="V29">
            <v>3.54024</v>
          </cell>
          <cell r="W29">
            <v>3.35871</v>
          </cell>
          <cell r="X29">
            <v>3.27262</v>
          </cell>
          <cell r="Y29">
            <v>2.97282</v>
          </cell>
          <cell r="Z29">
            <v>2.38982</v>
          </cell>
          <cell r="AA29">
            <v>1.8814</v>
          </cell>
          <cell r="AB29">
            <v>1.63277</v>
          </cell>
        </row>
        <row r="30">
          <cell r="C30">
            <v>45959</v>
          </cell>
        </row>
        <row r="30">
          <cell r="E30">
            <v>1.53036</v>
          </cell>
          <cell r="F30">
            <v>1.42765</v>
          </cell>
          <cell r="G30">
            <v>1.46726</v>
          </cell>
          <cell r="H30">
            <v>1.4153</v>
          </cell>
          <cell r="I30">
            <v>1.31694</v>
          </cell>
          <cell r="J30">
            <v>1.35598</v>
          </cell>
          <cell r="K30">
            <v>1.28164</v>
          </cell>
          <cell r="L30">
            <v>1.62868</v>
          </cell>
          <cell r="M30">
            <v>3.68024</v>
          </cell>
          <cell r="N30">
            <v>4.2638</v>
          </cell>
          <cell r="O30">
            <v>3.67679</v>
          </cell>
          <cell r="P30">
            <v>3.49148</v>
          </cell>
          <cell r="Q30">
            <v>2.63043</v>
          </cell>
          <cell r="R30">
            <v>3.22038</v>
          </cell>
          <cell r="S30">
            <v>3.94671</v>
          </cell>
          <cell r="T30">
            <v>3.78218</v>
          </cell>
          <cell r="U30">
            <v>3.89249</v>
          </cell>
          <cell r="V30">
            <v>3.73745</v>
          </cell>
          <cell r="W30">
            <v>3.32806</v>
          </cell>
          <cell r="X30">
            <v>3.47117</v>
          </cell>
          <cell r="Y30">
            <v>2.86068</v>
          </cell>
          <cell r="Z30">
            <v>2.41988</v>
          </cell>
          <cell r="AA30">
            <v>1.99211</v>
          </cell>
          <cell r="AB30">
            <v>1.66378</v>
          </cell>
        </row>
        <row r="31">
          <cell r="C31">
            <v>45960</v>
          </cell>
        </row>
        <row r="31">
          <cell r="E31">
            <v>1.53956</v>
          </cell>
          <cell r="F31">
            <v>1.59466</v>
          </cell>
          <cell r="G31">
            <v>1.52146</v>
          </cell>
          <cell r="H31">
            <v>1.52428</v>
          </cell>
          <cell r="I31">
            <v>1.51346</v>
          </cell>
          <cell r="J31">
            <v>1.53867</v>
          </cell>
          <cell r="K31">
            <v>1.49697</v>
          </cell>
          <cell r="L31">
            <v>1.85882</v>
          </cell>
          <cell r="M31">
            <v>3.7632</v>
          </cell>
          <cell r="N31">
            <v>4.18396</v>
          </cell>
          <cell r="O31">
            <v>3.72335</v>
          </cell>
          <cell r="P31">
            <v>3.58544</v>
          </cell>
          <cell r="Q31">
            <v>2.61244</v>
          </cell>
          <cell r="R31">
            <v>3.33216</v>
          </cell>
          <cell r="S31">
            <v>4.09917</v>
          </cell>
          <cell r="T31">
            <v>3.91998</v>
          </cell>
          <cell r="U31">
            <v>4.0856</v>
          </cell>
          <cell r="V31">
            <v>3.89149</v>
          </cell>
          <cell r="W31">
            <v>3.30451</v>
          </cell>
          <cell r="X31">
            <v>3.49506</v>
          </cell>
          <cell r="Y31">
            <v>2.95255</v>
          </cell>
          <cell r="Z31">
            <v>2.37689</v>
          </cell>
          <cell r="AA31">
            <v>1.90219</v>
          </cell>
          <cell r="AB31">
            <v>1.53804</v>
          </cell>
        </row>
        <row r="32">
          <cell r="C32">
            <v>45961</v>
          </cell>
        </row>
        <row r="32">
          <cell r="E32">
            <v>2.07629</v>
          </cell>
          <cell r="F32">
            <v>2.05236</v>
          </cell>
          <cell r="G32">
            <v>2.1353</v>
          </cell>
          <cell r="H32">
            <v>1.99545</v>
          </cell>
          <cell r="I32">
            <v>1.97641</v>
          </cell>
          <cell r="J32">
            <v>2.03781</v>
          </cell>
          <cell r="K32">
            <v>1.94562</v>
          </cell>
          <cell r="L32">
            <v>2.19065</v>
          </cell>
          <cell r="M32">
            <v>4.29417</v>
          </cell>
          <cell r="N32">
            <v>4.57936</v>
          </cell>
          <cell r="O32">
            <v>4.10891</v>
          </cell>
          <cell r="P32">
            <v>3.95344</v>
          </cell>
          <cell r="Q32">
            <v>3.31097</v>
          </cell>
          <cell r="R32">
            <v>3.76176</v>
          </cell>
          <cell r="S32">
            <v>4.1901</v>
          </cell>
          <cell r="T32">
            <v>4.13854</v>
          </cell>
          <cell r="U32">
            <v>4.2108</v>
          </cell>
          <cell r="V32">
            <v>3.92283</v>
          </cell>
          <cell r="W32">
            <v>3.43128</v>
          </cell>
          <cell r="X32">
            <v>3.57816</v>
          </cell>
          <cell r="Y32">
            <v>3.0724</v>
          </cell>
          <cell r="Z32">
            <v>2.59467</v>
          </cell>
          <cell r="AA32">
            <v>2.06191</v>
          </cell>
          <cell r="AB32">
            <v>1.9449</v>
          </cell>
        </row>
        <row r="33">
          <cell r="C33">
            <v>45962</v>
          </cell>
        </row>
        <row r="33">
          <cell r="E33">
            <v>1.42518</v>
          </cell>
          <cell r="F33">
            <v>1.34808</v>
          </cell>
          <cell r="G33">
            <v>1.32678</v>
          </cell>
          <cell r="H33">
            <v>1.30988</v>
          </cell>
          <cell r="I33">
            <v>1.32137</v>
          </cell>
          <cell r="J33">
            <v>1.36628</v>
          </cell>
          <cell r="K33">
            <v>1.28749</v>
          </cell>
          <cell r="L33">
            <v>1.4484</v>
          </cell>
          <cell r="M33">
            <v>2.7123</v>
          </cell>
          <cell r="N33">
            <v>2.76681</v>
          </cell>
          <cell r="O33">
            <v>2.27681</v>
          </cell>
          <cell r="P33">
            <v>2.1688</v>
          </cell>
          <cell r="Q33">
            <v>2.04161</v>
          </cell>
          <cell r="R33">
            <v>2.5422</v>
          </cell>
          <cell r="S33">
            <v>2.9023</v>
          </cell>
          <cell r="T33">
            <v>2.64941</v>
          </cell>
          <cell r="U33">
            <v>2.7257</v>
          </cell>
          <cell r="V33">
            <v>2.50939</v>
          </cell>
          <cell r="W33">
            <v>2.21989</v>
          </cell>
          <cell r="X33">
            <v>2.31778</v>
          </cell>
          <cell r="Y33">
            <v>1.85227</v>
          </cell>
          <cell r="Z33">
            <v>1.54368</v>
          </cell>
          <cell r="AA33">
            <v>1.21168</v>
          </cell>
          <cell r="AB33">
            <v>1.11967</v>
          </cell>
        </row>
        <row r="34">
          <cell r="C34">
            <v>45963</v>
          </cell>
        </row>
        <row r="34">
          <cell r="E34">
            <v>1.20378</v>
          </cell>
          <cell r="F34">
            <v>1.03247</v>
          </cell>
          <cell r="G34">
            <v>1.00468</v>
          </cell>
          <cell r="H34">
            <v>1.01688</v>
          </cell>
          <cell r="I34">
            <v>0.96068</v>
          </cell>
          <cell r="J34">
            <v>1.00197</v>
          </cell>
          <cell r="K34">
            <v>1.01529</v>
          </cell>
          <cell r="L34">
            <v>1.3243</v>
          </cell>
          <cell r="M34">
            <v>2.4591</v>
          </cell>
          <cell r="N34">
            <v>2.92441</v>
          </cell>
          <cell r="O34">
            <v>2.6657</v>
          </cell>
          <cell r="P34">
            <v>2.41511</v>
          </cell>
          <cell r="Q34">
            <v>2.24811</v>
          </cell>
          <cell r="R34">
            <v>2.1198</v>
          </cell>
          <cell r="S34">
            <v>2.74091</v>
          </cell>
          <cell r="T34">
            <v>2.54611</v>
          </cell>
          <cell r="U34">
            <v>2.6304</v>
          </cell>
          <cell r="V34">
            <v>2.5286</v>
          </cell>
          <cell r="W34">
            <v>1.80128</v>
          </cell>
          <cell r="X34">
            <v>1.70989</v>
          </cell>
          <cell r="Y34">
            <v>1.61188</v>
          </cell>
          <cell r="Z34">
            <v>1.49918</v>
          </cell>
          <cell r="AA34">
            <v>1.37007</v>
          </cell>
          <cell r="AB34">
            <v>1.27128</v>
          </cell>
        </row>
        <row r="35">
          <cell r="C35">
            <v>45964</v>
          </cell>
        </row>
        <row r="35">
          <cell r="E35">
            <v>1.33928</v>
          </cell>
          <cell r="F35">
            <v>1.43528</v>
          </cell>
          <cell r="G35">
            <v>1.35838</v>
          </cell>
          <cell r="H35">
            <v>1.37588</v>
          </cell>
          <cell r="I35">
            <v>1.32068</v>
          </cell>
          <cell r="J35">
            <v>1.30707</v>
          </cell>
          <cell r="K35">
            <v>1.25349</v>
          </cell>
          <cell r="L35">
            <v>1.7818</v>
          </cell>
          <cell r="M35">
            <v>3.54575</v>
          </cell>
          <cell r="N35">
            <v>4.10412</v>
          </cell>
          <cell r="O35">
            <v>3.40518</v>
          </cell>
          <cell r="P35">
            <v>3.26862</v>
          </cell>
          <cell r="Q35">
            <v>2.62565</v>
          </cell>
          <cell r="R35">
            <v>3.14804</v>
          </cell>
          <cell r="S35">
            <v>3.69771</v>
          </cell>
          <cell r="T35">
            <v>3.4817</v>
          </cell>
          <cell r="U35">
            <v>3.63704</v>
          </cell>
          <cell r="V35">
            <v>3.38119</v>
          </cell>
          <cell r="W35">
            <v>3.19235</v>
          </cell>
          <cell r="X35">
            <v>3.17289</v>
          </cell>
          <cell r="Y35">
            <v>2.85598</v>
          </cell>
          <cell r="Z35">
            <v>2.21778</v>
          </cell>
          <cell r="AA35">
            <v>1.77318</v>
          </cell>
          <cell r="AB35">
            <v>1.57088</v>
          </cell>
        </row>
        <row r="36">
          <cell r="C36">
            <v>45965</v>
          </cell>
        </row>
        <row r="36">
          <cell r="E36">
            <v>1.47348</v>
          </cell>
          <cell r="F36">
            <v>1.48868</v>
          </cell>
          <cell r="G36">
            <v>1.49798</v>
          </cell>
          <cell r="H36">
            <v>1.49008</v>
          </cell>
          <cell r="I36">
            <v>1.47768</v>
          </cell>
          <cell r="J36">
            <v>1.52228</v>
          </cell>
          <cell r="K36">
            <v>1.40269</v>
          </cell>
          <cell r="L36">
            <v>1.98199</v>
          </cell>
          <cell r="M36">
            <v>3.83618</v>
          </cell>
          <cell r="N36">
            <v>4.30769</v>
          </cell>
          <cell r="O36">
            <v>3.82322</v>
          </cell>
          <cell r="P36">
            <v>3.45613</v>
          </cell>
          <cell r="Q36">
            <v>3.03483</v>
          </cell>
          <cell r="R36">
            <v>3.57012</v>
          </cell>
          <cell r="S36">
            <v>3.8592</v>
          </cell>
          <cell r="T36">
            <v>3.6798</v>
          </cell>
          <cell r="U36">
            <v>3.76326</v>
          </cell>
          <cell r="V36">
            <v>3.53284</v>
          </cell>
          <cell r="W36">
            <v>3.1948</v>
          </cell>
          <cell r="X36">
            <v>3.32108</v>
          </cell>
          <cell r="Y36">
            <v>3.02308</v>
          </cell>
          <cell r="Z36">
            <v>2.36028</v>
          </cell>
          <cell r="AA36">
            <v>1.90187</v>
          </cell>
          <cell r="AB36">
            <v>1.53198</v>
          </cell>
        </row>
        <row r="37">
          <cell r="C37">
            <v>45966</v>
          </cell>
        </row>
        <row r="37">
          <cell r="E37">
            <v>1.52328</v>
          </cell>
          <cell r="F37">
            <v>1.59587</v>
          </cell>
          <cell r="G37">
            <v>1.54948</v>
          </cell>
          <cell r="H37">
            <v>1.56168</v>
          </cell>
          <cell r="I37">
            <v>1.52738</v>
          </cell>
          <cell r="J37">
            <v>1.50188</v>
          </cell>
          <cell r="K37">
            <v>1.46788</v>
          </cell>
          <cell r="L37">
            <v>1.74251</v>
          </cell>
          <cell r="M37">
            <v>3.54729</v>
          </cell>
          <cell r="N37">
            <v>3.79288</v>
          </cell>
          <cell r="O37">
            <v>3.38586</v>
          </cell>
          <cell r="P37">
            <v>3.32673</v>
          </cell>
          <cell r="Q37">
            <v>2.633</v>
          </cell>
          <cell r="R37">
            <v>3.09122</v>
          </cell>
          <cell r="S37">
            <v>3.79649</v>
          </cell>
          <cell r="T37">
            <v>3.5584</v>
          </cell>
          <cell r="U37">
            <v>3.74739</v>
          </cell>
          <cell r="V37">
            <v>3.54315</v>
          </cell>
          <cell r="W37">
            <v>3.32178</v>
          </cell>
          <cell r="X37">
            <v>3.19489</v>
          </cell>
          <cell r="Y37">
            <v>2.79458</v>
          </cell>
          <cell r="Z37">
            <v>2.40888</v>
          </cell>
          <cell r="AA37">
            <v>1.91828</v>
          </cell>
          <cell r="AB37">
            <v>1.60178</v>
          </cell>
        </row>
        <row r="38">
          <cell r="C38">
            <v>45967</v>
          </cell>
        </row>
        <row r="38">
          <cell r="E38">
            <v>1.58728</v>
          </cell>
          <cell r="F38">
            <v>1.57088</v>
          </cell>
          <cell r="G38">
            <v>1.58028</v>
          </cell>
          <cell r="H38">
            <v>1.49898</v>
          </cell>
          <cell r="I38">
            <v>1.57688</v>
          </cell>
          <cell r="J38">
            <v>1.59708</v>
          </cell>
          <cell r="K38">
            <v>1.48869</v>
          </cell>
          <cell r="L38">
            <v>1.9346</v>
          </cell>
          <cell r="M38">
            <v>3.78655</v>
          </cell>
          <cell r="N38">
            <v>3.91106</v>
          </cell>
          <cell r="O38">
            <v>3.3397</v>
          </cell>
          <cell r="P38">
            <v>3.25545</v>
          </cell>
          <cell r="Q38">
            <v>2.58939</v>
          </cell>
          <cell r="R38">
            <v>3.13389</v>
          </cell>
          <cell r="S38">
            <v>3.69773</v>
          </cell>
          <cell r="T38">
            <v>3.68021</v>
          </cell>
          <cell r="U38">
            <v>3.88835</v>
          </cell>
          <cell r="V38">
            <v>3.59779</v>
          </cell>
          <cell r="W38">
            <v>3.25148</v>
          </cell>
          <cell r="X38">
            <v>3.41429</v>
          </cell>
          <cell r="Y38">
            <v>3.11828</v>
          </cell>
          <cell r="Z38">
            <v>2.35768</v>
          </cell>
          <cell r="AA38">
            <v>1.86248</v>
          </cell>
          <cell r="AB38">
            <v>1.50318</v>
          </cell>
        </row>
        <row r="39">
          <cell r="C39">
            <v>45968</v>
          </cell>
        </row>
        <row r="39">
          <cell r="E39">
            <v>1.60368</v>
          </cell>
          <cell r="F39">
            <v>1.65308</v>
          </cell>
          <cell r="G39">
            <v>1.59808</v>
          </cell>
          <cell r="H39">
            <v>1.51608</v>
          </cell>
          <cell r="I39">
            <v>1.49338</v>
          </cell>
          <cell r="J39">
            <v>1.50328</v>
          </cell>
          <cell r="K39">
            <v>1.43109</v>
          </cell>
          <cell r="L39">
            <v>1.9173</v>
          </cell>
          <cell r="M39">
            <v>3.92125</v>
          </cell>
          <cell r="N39">
            <v>4.26291</v>
          </cell>
          <cell r="O39">
            <v>3.72168</v>
          </cell>
          <cell r="P39">
            <v>3.48237</v>
          </cell>
          <cell r="Q39">
            <v>2.98279</v>
          </cell>
          <cell r="R39">
            <v>3.41442</v>
          </cell>
          <cell r="S39">
            <v>4.06174</v>
          </cell>
          <cell r="T39">
            <v>3.9444</v>
          </cell>
          <cell r="U39">
            <v>4.09823</v>
          </cell>
          <cell r="V39">
            <v>3.86623</v>
          </cell>
          <cell r="W39">
            <v>3.28458</v>
          </cell>
          <cell r="X39">
            <v>3.41138</v>
          </cell>
          <cell r="Y39">
            <v>2.99628</v>
          </cell>
          <cell r="Z39">
            <v>2.55219</v>
          </cell>
          <cell r="AA39">
            <v>1.95837</v>
          </cell>
          <cell r="AB39">
            <v>1.68019</v>
          </cell>
        </row>
        <row r="40">
          <cell r="C40">
            <v>45969</v>
          </cell>
        </row>
        <row r="40">
          <cell r="E40">
            <v>1.58587</v>
          </cell>
          <cell r="F40">
            <v>1.60719</v>
          </cell>
          <cell r="G40">
            <v>1.50618</v>
          </cell>
          <cell r="H40">
            <v>1.56198</v>
          </cell>
          <cell r="I40">
            <v>1.49338</v>
          </cell>
          <cell r="J40">
            <v>1.45918</v>
          </cell>
          <cell r="K40">
            <v>1.47848</v>
          </cell>
          <cell r="L40">
            <v>1.83041</v>
          </cell>
          <cell r="M40">
            <v>3.61021</v>
          </cell>
          <cell r="N40">
            <v>3.8463</v>
          </cell>
          <cell r="O40">
            <v>3.35631</v>
          </cell>
          <cell r="P40">
            <v>3.16201</v>
          </cell>
          <cell r="Q40">
            <v>2.64931</v>
          </cell>
          <cell r="R40">
            <v>3.415</v>
          </cell>
          <cell r="S40">
            <v>4.04031</v>
          </cell>
          <cell r="T40">
            <v>3.8216</v>
          </cell>
          <cell r="U40">
            <v>3.77721</v>
          </cell>
          <cell r="V40">
            <v>3.58639</v>
          </cell>
          <cell r="W40">
            <v>2.92638</v>
          </cell>
          <cell r="X40">
            <v>3.08818</v>
          </cell>
          <cell r="Y40">
            <v>2.74798</v>
          </cell>
          <cell r="Z40">
            <v>2.31378</v>
          </cell>
          <cell r="AA40">
            <v>2.07267</v>
          </cell>
          <cell r="AB40">
            <v>1.64918</v>
          </cell>
        </row>
        <row r="41">
          <cell r="C41">
            <v>45970</v>
          </cell>
        </row>
        <row r="41">
          <cell r="E41">
            <v>1.58537</v>
          </cell>
          <cell r="F41">
            <v>1.62718</v>
          </cell>
          <cell r="G41">
            <v>1.56158</v>
          </cell>
          <cell r="H41">
            <v>1.46228</v>
          </cell>
          <cell r="I41">
            <v>1.47157</v>
          </cell>
          <cell r="J41">
            <v>1.39058</v>
          </cell>
          <cell r="K41">
            <v>1.34919</v>
          </cell>
          <cell r="L41">
            <v>1.6491</v>
          </cell>
          <cell r="M41">
            <v>2.8526</v>
          </cell>
          <cell r="N41">
            <v>2.88071</v>
          </cell>
          <cell r="O41">
            <v>2.45501</v>
          </cell>
          <cell r="P41">
            <v>2.4005</v>
          </cell>
          <cell r="Q41">
            <v>2.34971</v>
          </cell>
          <cell r="R41">
            <v>2.46951</v>
          </cell>
          <cell r="S41">
            <v>2.8205</v>
          </cell>
          <cell r="T41">
            <v>2.78961</v>
          </cell>
          <cell r="U41">
            <v>2.75751</v>
          </cell>
          <cell r="V41">
            <v>2.5535</v>
          </cell>
          <cell r="W41">
            <v>1.77368</v>
          </cell>
          <cell r="X41">
            <v>1.70268</v>
          </cell>
          <cell r="Y41">
            <v>1.64788</v>
          </cell>
          <cell r="Z41">
            <v>1.51238</v>
          </cell>
          <cell r="AA41">
            <v>1.42008</v>
          </cell>
          <cell r="AB41">
            <v>1.39188</v>
          </cell>
        </row>
        <row r="42">
          <cell r="C42">
            <v>45971</v>
          </cell>
        </row>
        <row r="42">
          <cell r="E42">
            <v>1.51127</v>
          </cell>
          <cell r="F42">
            <v>1.41388</v>
          </cell>
          <cell r="G42">
            <v>1.39208</v>
          </cell>
          <cell r="H42">
            <v>1.33928</v>
          </cell>
          <cell r="I42">
            <v>1.31618</v>
          </cell>
          <cell r="J42">
            <v>1.28768</v>
          </cell>
          <cell r="K42">
            <v>1.27488</v>
          </cell>
          <cell r="L42">
            <v>1.62731</v>
          </cell>
          <cell r="M42">
            <v>3.61693</v>
          </cell>
          <cell r="N42">
            <v>3.96548</v>
          </cell>
          <cell r="O42">
            <v>3.44882</v>
          </cell>
          <cell r="P42">
            <v>3.44278</v>
          </cell>
          <cell r="Q42">
            <v>2.65713</v>
          </cell>
          <cell r="R42">
            <v>3.18592</v>
          </cell>
          <cell r="S42">
            <v>3.7984</v>
          </cell>
          <cell r="T42">
            <v>3.76131</v>
          </cell>
          <cell r="U42">
            <v>3.86674</v>
          </cell>
          <cell r="V42">
            <v>3.69291</v>
          </cell>
          <cell r="W42">
            <v>3.21715</v>
          </cell>
          <cell r="X42">
            <v>3.28518</v>
          </cell>
          <cell r="Y42">
            <v>2.91168</v>
          </cell>
          <cell r="Z42">
            <v>2.43918</v>
          </cell>
          <cell r="AA42">
            <v>1.96908</v>
          </cell>
          <cell r="AB42">
            <v>1.72428</v>
          </cell>
        </row>
        <row r="43">
          <cell r="C43">
            <v>45972</v>
          </cell>
        </row>
        <row r="43">
          <cell r="E43">
            <v>1.58777</v>
          </cell>
          <cell r="F43">
            <v>1.67728</v>
          </cell>
          <cell r="G43">
            <v>1.60568</v>
          </cell>
          <cell r="H43">
            <v>1.57108</v>
          </cell>
          <cell r="I43">
            <v>1.52868</v>
          </cell>
          <cell r="J43">
            <v>1.43728</v>
          </cell>
          <cell r="K43">
            <v>1.45259</v>
          </cell>
          <cell r="L43">
            <v>1.7555</v>
          </cell>
          <cell r="M43">
            <v>3.67909</v>
          </cell>
          <cell r="N43">
            <v>3.97759</v>
          </cell>
          <cell r="O43">
            <v>3.41381</v>
          </cell>
          <cell r="P43">
            <v>3.33732</v>
          </cell>
          <cell r="Q43">
            <v>2.70521</v>
          </cell>
          <cell r="R43">
            <v>3.27764</v>
          </cell>
          <cell r="S43">
            <v>3.80409</v>
          </cell>
          <cell r="T43">
            <v>3.5563</v>
          </cell>
          <cell r="U43">
            <v>3.70649</v>
          </cell>
          <cell r="V43">
            <v>3.48921</v>
          </cell>
          <cell r="W43">
            <v>3.07639</v>
          </cell>
          <cell r="X43">
            <v>3.27108</v>
          </cell>
          <cell r="Y43">
            <v>2.81299</v>
          </cell>
          <cell r="Z43">
            <v>2.33798</v>
          </cell>
          <cell r="AA43">
            <v>1.93008</v>
          </cell>
          <cell r="AB43">
            <v>1.49298</v>
          </cell>
        </row>
        <row r="44">
          <cell r="C44">
            <v>45973</v>
          </cell>
        </row>
        <row r="44">
          <cell r="E44">
            <v>1.49288</v>
          </cell>
          <cell r="F44">
            <v>1.52708</v>
          </cell>
          <cell r="G44">
            <v>1.51088</v>
          </cell>
          <cell r="H44">
            <v>1.43828</v>
          </cell>
          <cell r="I44">
            <v>1.41598</v>
          </cell>
          <cell r="J44">
            <v>1.36168</v>
          </cell>
          <cell r="K44">
            <v>1.32949</v>
          </cell>
          <cell r="L44">
            <v>1.6859</v>
          </cell>
          <cell r="M44">
            <v>3.51142</v>
          </cell>
          <cell r="N44">
            <v>3.75888</v>
          </cell>
          <cell r="O44">
            <v>3.36033</v>
          </cell>
          <cell r="P44">
            <v>3.19403</v>
          </cell>
          <cell r="Q44">
            <v>2.69713</v>
          </cell>
          <cell r="R44">
            <v>3.12747</v>
          </cell>
          <cell r="S44">
            <v>3.63454</v>
          </cell>
          <cell r="T44">
            <v>3.51415</v>
          </cell>
          <cell r="U44">
            <v>3.60684</v>
          </cell>
          <cell r="V44">
            <v>3.41343</v>
          </cell>
          <cell r="W44">
            <v>3.07478</v>
          </cell>
          <cell r="X44">
            <v>3.17338</v>
          </cell>
          <cell r="Y44">
            <v>2.88858</v>
          </cell>
          <cell r="Z44">
            <v>2.35397</v>
          </cell>
          <cell r="AA44">
            <v>1.94707</v>
          </cell>
          <cell r="AB44">
            <v>1.45828</v>
          </cell>
        </row>
        <row r="45">
          <cell r="C45">
            <v>45974</v>
          </cell>
        </row>
        <row r="45">
          <cell r="E45">
            <v>1.47227</v>
          </cell>
          <cell r="F45">
            <v>1.49648</v>
          </cell>
          <cell r="G45">
            <v>1.50787</v>
          </cell>
          <cell r="H45">
            <v>1.42657</v>
          </cell>
          <cell r="I45">
            <v>1.45267</v>
          </cell>
          <cell r="J45">
            <v>1.43147</v>
          </cell>
          <cell r="K45">
            <v>1.40508</v>
          </cell>
          <cell r="L45">
            <v>1.84929</v>
          </cell>
          <cell r="M45">
            <v>3.71056</v>
          </cell>
          <cell r="N45">
            <v>3.90274</v>
          </cell>
          <cell r="O45">
            <v>3.30296</v>
          </cell>
          <cell r="P45">
            <v>3.14004</v>
          </cell>
          <cell r="Q45">
            <v>2.84374</v>
          </cell>
          <cell r="R45">
            <v>3.27281</v>
          </cell>
          <cell r="S45">
            <v>3.75364</v>
          </cell>
          <cell r="T45">
            <v>3.53962</v>
          </cell>
          <cell r="U45">
            <v>3.62416</v>
          </cell>
          <cell r="V45">
            <v>3.43679</v>
          </cell>
          <cell r="W45">
            <v>3.20148</v>
          </cell>
          <cell r="X45">
            <v>3.24577</v>
          </cell>
          <cell r="Y45">
            <v>2.77807</v>
          </cell>
          <cell r="Z45">
            <v>2.21047</v>
          </cell>
          <cell r="AA45">
            <v>1.65537</v>
          </cell>
          <cell r="AB45">
            <v>1.43207</v>
          </cell>
        </row>
        <row r="46">
          <cell r="C46">
            <v>45975</v>
          </cell>
        </row>
        <row r="46">
          <cell r="E46">
            <v>1.41507</v>
          </cell>
          <cell r="F46">
            <v>1.54507</v>
          </cell>
          <cell r="G46">
            <v>1.49287</v>
          </cell>
          <cell r="H46">
            <v>1.48187</v>
          </cell>
          <cell r="I46">
            <v>1.41417</v>
          </cell>
          <cell r="J46">
            <v>1.38827</v>
          </cell>
          <cell r="K46">
            <v>1.29168</v>
          </cell>
          <cell r="L46">
            <v>1.74549</v>
          </cell>
          <cell r="M46">
            <v>3.57571</v>
          </cell>
          <cell r="N46">
            <v>3.94108</v>
          </cell>
          <cell r="O46">
            <v>3.30166</v>
          </cell>
          <cell r="P46">
            <v>3.20966</v>
          </cell>
          <cell r="Q46">
            <v>2.62833</v>
          </cell>
          <cell r="R46">
            <v>3.08549</v>
          </cell>
          <cell r="S46">
            <v>3.64291</v>
          </cell>
          <cell r="T46">
            <v>3.4709</v>
          </cell>
          <cell r="U46">
            <v>3.6051</v>
          </cell>
          <cell r="V46">
            <v>3.4756</v>
          </cell>
          <cell r="W46">
            <v>3.11998</v>
          </cell>
          <cell r="X46">
            <v>3.19318</v>
          </cell>
          <cell r="Y46">
            <v>2.76218</v>
          </cell>
          <cell r="Z46">
            <v>2.10567</v>
          </cell>
          <cell r="AA46">
            <v>1.79338</v>
          </cell>
          <cell r="AB46">
            <v>1.48088</v>
          </cell>
        </row>
        <row r="47">
          <cell r="C47">
            <v>45976</v>
          </cell>
        </row>
        <row r="47">
          <cell r="E47">
            <v>1.40207</v>
          </cell>
          <cell r="F47">
            <v>1.49408</v>
          </cell>
          <cell r="G47">
            <v>1.42468</v>
          </cell>
          <cell r="H47">
            <v>1.39987</v>
          </cell>
          <cell r="I47">
            <v>1.39678</v>
          </cell>
          <cell r="J47">
            <v>1.40428</v>
          </cell>
          <cell r="K47">
            <v>1.34448</v>
          </cell>
          <cell r="L47">
            <v>1.7648</v>
          </cell>
          <cell r="M47">
            <v>3.5622</v>
          </cell>
          <cell r="N47">
            <v>3.80101</v>
          </cell>
          <cell r="O47">
            <v>3.2331</v>
          </cell>
          <cell r="P47">
            <v>3.13961</v>
          </cell>
          <cell r="Q47">
            <v>2.5463</v>
          </cell>
          <cell r="R47">
            <v>2.9711</v>
          </cell>
          <cell r="S47">
            <v>3.6534</v>
          </cell>
          <cell r="T47">
            <v>3.51361</v>
          </cell>
          <cell r="U47">
            <v>3.6592</v>
          </cell>
          <cell r="V47">
            <v>3.47549</v>
          </cell>
          <cell r="W47">
            <v>2.93358</v>
          </cell>
          <cell r="X47">
            <v>2.93968</v>
          </cell>
          <cell r="Y47">
            <v>2.52107</v>
          </cell>
          <cell r="Z47">
            <v>2.05868</v>
          </cell>
          <cell r="AA47">
            <v>1.57037</v>
          </cell>
          <cell r="AB47">
            <v>1.29868</v>
          </cell>
        </row>
        <row r="48">
          <cell r="C48">
            <v>45977</v>
          </cell>
        </row>
        <row r="48">
          <cell r="E48">
            <v>1.50127</v>
          </cell>
          <cell r="F48">
            <v>1.32927</v>
          </cell>
          <cell r="G48">
            <v>1.42208</v>
          </cell>
          <cell r="H48">
            <v>1.33037</v>
          </cell>
          <cell r="I48">
            <v>1.34148</v>
          </cell>
          <cell r="J48">
            <v>1.31887</v>
          </cell>
          <cell r="K48">
            <v>1.24049</v>
          </cell>
          <cell r="L48">
            <v>1.20309</v>
          </cell>
          <cell r="M48">
            <v>2.03871</v>
          </cell>
          <cell r="N48">
            <v>2.2801</v>
          </cell>
          <cell r="O48">
            <v>2</v>
          </cell>
          <cell r="P48">
            <v>1.91721</v>
          </cell>
          <cell r="Q48">
            <v>1.5421</v>
          </cell>
          <cell r="R48">
            <v>1.64451</v>
          </cell>
          <cell r="S48">
            <v>2.24411</v>
          </cell>
          <cell r="T48">
            <v>2.2217</v>
          </cell>
          <cell r="U48">
            <v>2.21381</v>
          </cell>
          <cell r="V48">
            <v>2.1008</v>
          </cell>
          <cell r="W48">
            <v>1.44198</v>
          </cell>
          <cell r="X48">
            <v>1.33708</v>
          </cell>
          <cell r="Y48">
            <v>1.22528</v>
          </cell>
          <cell r="Z48">
            <v>1.12558</v>
          </cell>
          <cell r="AA48">
            <v>1.11877</v>
          </cell>
          <cell r="AB48">
            <v>1.08068</v>
          </cell>
        </row>
        <row r="49">
          <cell r="C49">
            <v>45978</v>
          </cell>
        </row>
        <row r="49">
          <cell r="E49">
            <v>1.09567</v>
          </cell>
          <cell r="F49">
            <v>1.11098</v>
          </cell>
          <cell r="G49">
            <v>1.14708</v>
          </cell>
          <cell r="H49">
            <v>1.10967</v>
          </cell>
          <cell r="I49">
            <v>1.19998</v>
          </cell>
          <cell r="J49">
            <v>1.26258</v>
          </cell>
          <cell r="K49">
            <v>1.15408</v>
          </cell>
          <cell r="L49">
            <v>1.6284</v>
          </cell>
          <cell r="M49">
            <v>3.54656</v>
          </cell>
          <cell r="N49">
            <v>4.04825</v>
          </cell>
          <cell r="O49">
            <v>3.44012</v>
          </cell>
          <cell r="P49">
            <v>3.33249</v>
          </cell>
          <cell r="Q49">
            <v>2.6702</v>
          </cell>
          <cell r="R49">
            <v>3.17545</v>
          </cell>
          <cell r="S49">
            <v>3.82397</v>
          </cell>
          <cell r="T49">
            <v>3.6626</v>
          </cell>
          <cell r="U49">
            <v>3.94138</v>
          </cell>
          <cell r="V49">
            <v>3.67397</v>
          </cell>
          <cell r="W49">
            <v>3.36728</v>
          </cell>
          <cell r="X49">
            <v>3.57718</v>
          </cell>
          <cell r="Y49">
            <v>3.00238</v>
          </cell>
          <cell r="Z49">
            <v>2.37588</v>
          </cell>
          <cell r="AA49">
            <v>1.84128</v>
          </cell>
          <cell r="AB49">
            <v>1.50388</v>
          </cell>
        </row>
        <row r="50">
          <cell r="C50">
            <v>45979</v>
          </cell>
        </row>
        <row r="50">
          <cell r="E50">
            <v>1.51227</v>
          </cell>
          <cell r="F50">
            <v>1.51758</v>
          </cell>
          <cell r="G50">
            <v>1.59188</v>
          </cell>
          <cell r="H50">
            <v>1.52348</v>
          </cell>
          <cell r="I50">
            <v>1.53907</v>
          </cell>
          <cell r="J50">
            <v>1.55588</v>
          </cell>
          <cell r="K50">
            <v>1.46758</v>
          </cell>
          <cell r="L50">
            <v>1.8907</v>
          </cell>
          <cell r="M50">
            <v>3.84641</v>
          </cell>
          <cell r="N50">
            <v>4.12536</v>
          </cell>
          <cell r="O50">
            <v>3.59713</v>
          </cell>
          <cell r="P50">
            <v>3.40923</v>
          </cell>
          <cell r="Q50">
            <v>2.75414</v>
          </cell>
          <cell r="R50">
            <v>3.2584</v>
          </cell>
          <cell r="S50">
            <v>3.81326</v>
          </cell>
          <cell r="T50">
            <v>3.64275</v>
          </cell>
          <cell r="U50">
            <v>3.63709</v>
          </cell>
          <cell r="V50">
            <v>3.43805</v>
          </cell>
          <cell r="W50">
            <v>3.19897</v>
          </cell>
          <cell r="X50">
            <v>3.29598</v>
          </cell>
          <cell r="Y50">
            <v>3.01887</v>
          </cell>
          <cell r="Z50">
            <v>2.35747</v>
          </cell>
          <cell r="AA50">
            <v>1.85027</v>
          </cell>
          <cell r="AB50">
            <v>1.52747</v>
          </cell>
        </row>
        <row r="51">
          <cell r="C51">
            <v>45980</v>
          </cell>
        </row>
        <row r="51">
          <cell r="E51">
            <v>1.54677</v>
          </cell>
          <cell r="F51">
            <v>1.62748</v>
          </cell>
          <cell r="G51">
            <v>1.50448</v>
          </cell>
          <cell r="H51">
            <v>1.50687</v>
          </cell>
          <cell r="I51">
            <v>1.44868</v>
          </cell>
          <cell r="J51">
            <v>1.42938</v>
          </cell>
          <cell r="K51">
            <v>1.41368</v>
          </cell>
          <cell r="L51">
            <v>1.8999</v>
          </cell>
          <cell r="M51">
            <v>3.87474</v>
          </cell>
          <cell r="N51">
            <v>4.07493</v>
          </cell>
          <cell r="O51">
            <v>3.46181</v>
          </cell>
          <cell r="P51">
            <v>3.3329</v>
          </cell>
          <cell r="Q51">
            <v>2.89293</v>
          </cell>
          <cell r="R51">
            <v>3.36903</v>
          </cell>
          <cell r="S51">
            <v>3.88002</v>
          </cell>
          <cell r="T51">
            <v>3.62718</v>
          </cell>
          <cell r="U51">
            <v>3.62685</v>
          </cell>
          <cell r="V51">
            <v>3.39511</v>
          </cell>
          <cell r="W51">
            <v>3.21955</v>
          </cell>
          <cell r="X51">
            <v>3.34059</v>
          </cell>
          <cell r="Y51">
            <v>2.81357</v>
          </cell>
          <cell r="Z51">
            <v>2.29058</v>
          </cell>
          <cell r="AA51">
            <v>1.66148</v>
          </cell>
          <cell r="AB51">
            <v>1.61438</v>
          </cell>
        </row>
        <row r="52">
          <cell r="C52">
            <v>45981</v>
          </cell>
        </row>
        <row r="52">
          <cell r="E52">
            <v>1.54117</v>
          </cell>
          <cell r="F52">
            <v>1.56698</v>
          </cell>
          <cell r="G52">
            <v>1.55768</v>
          </cell>
          <cell r="H52">
            <v>1.54818</v>
          </cell>
          <cell r="I52">
            <v>1.53518</v>
          </cell>
          <cell r="J52">
            <v>1.57798</v>
          </cell>
          <cell r="K52">
            <v>1.44599</v>
          </cell>
          <cell r="L52">
            <v>1.8749</v>
          </cell>
          <cell r="M52">
            <v>3.75335</v>
          </cell>
          <cell r="N52">
            <v>4.03019</v>
          </cell>
          <cell r="O52">
            <v>3.47397</v>
          </cell>
          <cell r="P52">
            <v>3.34034</v>
          </cell>
          <cell r="Q52">
            <v>2.80962</v>
          </cell>
          <cell r="R52">
            <v>3.22095</v>
          </cell>
          <cell r="S52">
            <v>3.73306</v>
          </cell>
          <cell r="T52">
            <v>3.6524</v>
          </cell>
          <cell r="U52">
            <v>3.60956</v>
          </cell>
          <cell r="V52">
            <v>3.43828</v>
          </cell>
          <cell r="W52">
            <v>3.06659</v>
          </cell>
          <cell r="X52">
            <v>3.17038</v>
          </cell>
          <cell r="Y52">
            <v>2.66468</v>
          </cell>
          <cell r="Z52">
            <v>2.24288</v>
          </cell>
          <cell r="AA52">
            <v>1.99027</v>
          </cell>
          <cell r="AB52">
            <v>1.68088</v>
          </cell>
        </row>
        <row r="53">
          <cell r="C53">
            <v>45982</v>
          </cell>
        </row>
        <row r="53">
          <cell r="E53">
            <v>1.49888</v>
          </cell>
          <cell r="F53">
            <v>1.51058</v>
          </cell>
          <cell r="G53">
            <v>1.54408</v>
          </cell>
          <cell r="H53">
            <v>1.46567</v>
          </cell>
          <cell r="I53">
            <v>1.43348</v>
          </cell>
          <cell r="J53">
            <v>1.38788</v>
          </cell>
          <cell r="K53">
            <v>1.38069</v>
          </cell>
          <cell r="L53">
            <v>1.7923</v>
          </cell>
          <cell r="M53">
            <v>3.65109</v>
          </cell>
          <cell r="N53">
            <v>3.9288</v>
          </cell>
          <cell r="O53">
            <v>3.15256</v>
          </cell>
          <cell r="P53">
            <v>2.90139</v>
          </cell>
          <cell r="Q53">
            <v>2.46961</v>
          </cell>
          <cell r="R53">
            <v>2.94238</v>
          </cell>
          <cell r="S53">
            <v>3.45006</v>
          </cell>
          <cell r="T53">
            <v>3.41325</v>
          </cell>
          <cell r="U53">
            <v>3.42881</v>
          </cell>
          <cell r="V53">
            <v>3.43177</v>
          </cell>
          <cell r="W53">
            <v>2.98289</v>
          </cell>
          <cell r="X53">
            <v>3.18648</v>
          </cell>
          <cell r="Y53">
            <v>2.71748</v>
          </cell>
          <cell r="Z53">
            <v>2.24367</v>
          </cell>
          <cell r="AA53">
            <v>1.81048</v>
          </cell>
          <cell r="AB53">
            <v>1.50698</v>
          </cell>
        </row>
        <row r="54">
          <cell r="C54">
            <v>45983</v>
          </cell>
        </row>
        <row r="54">
          <cell r="E54">
            <v>1.55008</v>
          </cell>
          <cell r="F54">
            <v>1.49968</v>
          </cell>
          <cell r="G54">
            <v>1.55528</v>
          </cell>
          <cell r="H54">
            <v>1.46042</v>
          </cell>
          <cell r="I54">
            <v>1.42528</v>
          </cell>
          <cell r="J54">
            <v>1.36968</v>
          </cell>
          <cell r="K54">
            <v>1.35608</v>
          </cell>
          <cell r="L54">
            <v>1.76891</v>
          </cell>
          <cell r="M54">
            <v>3.583</v>
          </cell>
          <cell r="N54">
            <v>3.76731</v>
          </cell>
          <cell r="O54">
            <v>3.16171</v>
          </cell>
          <cell r="P54">
            <v>3.07711</v>
          </cell>
          <cell r="Q54">
            <v>2.72141</v>
          </cell>
          <cell r="R54">
            <v>3.1896</v>
          </cell>
          <cell r="S54">
            <v>3.67391</v>
          </cell>
          <cell r="T54">
            <v>3.4706</v>
          </cell>
          <cell r="U54">
            <v>3.56301</v>
          </cell>
          <cell r="V54">
            <v>3.20409</v>
          </cell>
          <cell r="W54">
            <v>2.77389</v>
          </cell>
          <cell r="X54">
            <v>2.87328</v>
          </cell>
          <cell r="Y54">
            <v>2.58138</v>
          </cell>
          <cell r="Z54">
            <v>2.03787</v>
          </cell>
          <cell r="AA54">
            <v>1.74208</v>
          </cell>
          <cell r="AB54">
            <v>1.51307</v>
          </cell>
        </row>
        <row r="55">
          <cell r="C55">
            <v>45984</v>
          </cell>
        </row>
        <row r="55">
          <cell r="E55">
            <v>1.44128</v>
          </cell>
          <cell r="F55">
            <v>1.40938</v>
          </cell>
          <cell r="G55">
            <v>1.36867</v>
          </cell>
          <cell r="H55">
            <v>1.33688</v>
          </cell>
          <cell r="I55">
            <v>1.37128</v>
          </cell>
          <cell r="J55">
            <v>1.27767</v>
          </cell>
          <cell r="K55">
            <v>1.25039</v>
          </cell>
          <cell r="L55">
            <v>1.27089</v>
          </cell>
          <cell r="M55">
            <v>2.2945</v>
          </cell>
          <cell r="N55">
            <v>2.53071</v>
          </cell>
          <cell r="O55">
            <v>2.2483</v>
          </cell>
          <cell r="P55">
            <v>2.23411</v>
          </cell>
          <cell r="Q55">
            <v>1.87351</v>
          </cell>
          <cell r="R55">
            <v>1.7117</v>
          </cell>
          <cell r="S55">
            <v>2.41661</v>
          </cell>
          <cell r="T55">
            <v>2.3054</v>
          </cell>
          <cell r="U55">
            <v>2.36421</v>
          </cell>
          <cell r="V55">
            <v>2.0879</v>
          </cell>
          <cell r="W55">
            <v>1.54368</v>
          </cell>
          <cell r="X55">
            <v>1.53248</v>
          </cell>
          <cell r="Y55">
            <v>1.50428</v>
          </cell>
          <cell r="Z55">
            <v>1.33438</v>
          </cell>
          <cell r="AA55">
            <v>1.29148</v>
          </cell>
          <cell r="AB55">
            <v>1.31988</v>
          </cell>
        </row>
        <row r="56">
          <cell r="C56">
            <v>45985</v>
          </cell>
        </row>
        <row r="56">
          <cell r="E56">
            <v>1.29968</v>
          </cell>
          <cell r="F56">
            <v>1.36238</v>
          </cell>
          <cell r="G56">
            <v>1.31228</v>
          </cell>
          <cell r="H56">
            <v>1.21228</v>
          </cell>
          <cell r="I56">
            <v>1.24527</v>
          </cell>
          <cell r="J56">
            <v>1.20968</v>
          </cell>
          <cell r="K56">
            <v>1.21738</v>
          </cell>
          <cell r="L56">
            <v>1.6631</v>
          </cell>
          <cell r="M56">
            <v>3.36587</v>
          </cell>
          <cell r="N56">
            <v>3.73237</v>
          </cell>
          <cell r="O56">
            <v>3.18923</v>
          </cell>
          <cell r="P56">
            <v>3.19633</v>
          </cell>
          <cell r="Q56">
            <v>2.59118</v>
          </cell>
          <cell r="R56">
            <v>2.99557</v>
          </cell>
          <cell r="S56">
            <v>3.66009</v>
          </cell>
          <cell r="T56">
            <v>3.51811</v>
          </cell>
          <cell r="U56">
            <v>3.82679</v>
          </cell>
          <cell r="V56">
            <v>3.61466</v>
          </cell>
          <cell r="W56">
            <v>3.32498</v>
          </cell>
          <cell r="X56">
            <v>3.38299</v>
          </cell>
          <cell r="Y56">
            <v>2.81368</v>
          </cell>
          <cell r="Z56">
            <v>2.31188</v>
          </cell>
          <cell r="AA56">
            <v>1.80467</v>
          </cell>
          <cell r="AB56">
            <v>1.49308</v>
          </cell>
        </row>
        <row r="57">
          <cell r="C57">
            <v>45986</v>
          </cell>
        </row>
        <row r="57">
          <cell r="E57">
            <v>1.46748</v>
          </cell>
          <cell r="F57">
            <v>1.45308</v>
          </cell>
          <cell r="G57">
            <v>1.46698</v>
          </cell>
          <cell r="H57">
            <v>1.43508</v>
          </cell>
          <cell r="I57">
            <v>1.43428</v>
          </cell>
          <cell r="J57">
            <v>1.46028</v>
          </cell>
          <cell r="K57">
            <v>1.42448</v>
          </cell>
          <cell r="L57">
            <v>1.6871</v>
          </cell>
          <cell r="M57">
            <v>3.46754</v>
          </cell>
          <cell r="N57">
            <v>3.74443</v>
          </cell>
          <cell r="O57">
            <v>3.30846</v>
          </cell>
          <cell r="P57">
            <v>3.21925</v>
          </cell>
          <cell r="Q57">
            <v>2.51926</v>
          </cell>
          <cell r="R57">
            <v>2.96557</v>
          </cell>
          <cell r="S57">
            <v>3.51757</v>
          </cell>
          <cell r="T57">
            <v>3.36318</v>
          </cell>
          <cell r="U57">
            <v>3.548</v>
          </cell>
          <cell r="V57">
            <v>3.50255</v>
          </cell>
          <cell r="W57">
            <v>3.26566</v>
          </cell>
          <cell r="X57">
            <v>3.35785</v>
          </cell>
          <cell r="Y57">
            <v>2.94075</v>
          </cell>
          <cell r="Z57">
            <v>2.24645</v>
          </cell>
          <cell r="AA57">
            <v>1.83325</v>
          </cell>
          <cell r="AB57">
            <v>1.47665</v>
          </cell>
        </row>
        <row r="58">
          <cell r="C58">
            <v>45987</v>
          </cell>
        </row>
        <row r="58">
          <cell r="E58">
            <v>1.55004</v>
          </cell>
          <cell r="F58">
            <v>1.59555</v>
          </cell>
          <cell r="G58">
            <v>1.53505</v>
          </cell>
          <cell r="H58">
            <v>1.48525</v>
          </cell>
          <cell r="I58">
            <v>1.45385</v>
          </cell>
          <cell r="J58">
            <v>1.50105</v>
          </cell>
          <cell r="K58">
            <v>1.41445</v>
          </cell>
          <cell r="L58">
            <v>1.88787</v>
          </cell>
          <cell r="M58">
            <v>3.63709</v>
          </cell>
          <cell r="N58">
            <v>3.84917</v>
          </cell>
          <cell r="O58">
            <v>3.19191</v>
          </cell>
          <cell r="P58">
            <v>3.07946</v>
          </cell>
          <cell r="Q58">
            <v>2.60035</v>
          </cell>
          <cell r="R58">
            <v>3.11526</v>
          </cell>
          <cell r="S58">
            <v>3.57415</v>
          </cell>
          <cell r="T58">
            <v>3.40833</v>
          </cell>
          <cell r="U58">
            <v>3.69747</v>
          </cell>
          <cell r="V58">
            <v>3.63207</v>
          </cell>
          <cell r="W58">
            <v>3.33105</v>
          </cell>
          <cell r="X58">
            <v>3.38269</v>
          </cell>
          <cell r="Y58">
            <v>2.93508</v>
          </cell>
          <cell r="Z58">
            <v>2.51838</v>
          </cell>
          <cell r="AA58">
            <v>1.93887</v>
          </cell>
          <cell r="AB58">
            <v>1.62168</v>
          </cell>
        </row>
        <row r="59">
          <cell r="C59">
            <v>45988</v>
          </cell>
        </row>
        <row r="59">
          <cell r="E59">
            <v>1.55388</v>
          </cell>
          <cell r="F59">
            <v>1.62448</v>
          </cell>
          <cell r="G59">
            <v>1.49938</v>
          </cell>
          <cell r="H59">
            <v>1.54828</v>
          </cell>
          <cell r="I59">
            <v>1.54587</v>
          </cell>
          <cell r="J59">
            <v>1.49728</v>
          </cell>
          <cell r="K59">
            <v>1.47958</v>
          </cell>
          <cell r="L59">
            <v>1.8299</v>
          </cell>
          <cell r="M59">
            <v>3.65502</v>
          </cell>
          <cell r="N59">
            <v>3.8885</v>
          </cell>
          <cell r="O59">
            <v>3.38335</v>
          </cell>
          <cell r="P59">
            <v>3.20106</v>
          </cell>
          <cell r="Q59">
            <v>2.60826</v>
          </cell>
          <cell r="R59">
            <v>3.06408</v>
          </cell>
          <cell r="S59">
            <v>3.75736</v>
          </cell>
          <cell r="T59">
            <v>3.59339</v>
          </cell>
          <cell r="U59">
            <v>3.73101</v>
          </cell>
          <cell r="V59">
            <v>3.58215</v>
          </cell>
          <cell r="W59">
            <v>3.23407</v>
          </cell>
          <cell r="X59">
            <v>3.23299</v>
          </cell>
          <cell r="Y59">
            <v>2.72628</v>
          </cell>
          <cell r="Z59">
            <v>2.17248</v>
          </cell>
          <cell r="AA59">
            <v>1.84828</v>
          </cell>
          <cell r="AB59">
            <v>1.75688</v>
          </cell>
        </row>
        <row r="60">
          <cell r="C60">
            <v>45989</v>
          </cell>
        </row>
        <row r="60">
          <cell r="E60">
            <v>1.62417</v>
          </cell>
          <cell r="F60">
            <v>1.64668</v>
          </cell>
          <cell r="G60">
            <v>1.60708</v>
          </cell>
          <cell r="H60">
            <v>1.60768</v>
          </cell>
          <cell r="I60">
            <v>1.59698</v>
          </cell>
          <cell r="J60">
            <v>1.54788</v>
          </cell>
          <cell r="K60">
            <v>1.43988</v>
          </cell>
          <cell r="L60">
            <v>1.8257</v>
          </cell>
          <cell r="M60">
            <v>3.55485</v>
          </cell>
          <cell r="N60">
            <v>3.75917</v>
          </cell>
          <cell r="O60">
            <v>3.1758</v>
          </cell>
          <cell r="P60">
            <v>3.11415</v>
          </cell>
          <cell r="Q60">
            <v>2.66251</v>
          </cell>
          <cell r="R60">
            <v>3.04621</v>
          </cell>
          <cell r="S60">
            <v>3.62166</v>
          </cell>
          <cell r="T60">
            <v>3.5149</v>
          </cell>
          <cell r="U60">
            <v>3.76122</v>
          </cell>
          <cell r="V60">
            <v>3.46344</v>
          </cell>
          <cell r="W60">
            <v>3.23841</v>
          </cell>
          <cell r="X60">
            <v>3.37748</v>
          </cell>
          <cell r="Y60">
            <v>2.72358</v>
          </cell>
          <cell r="Z60">
            <v>2.25548</v>
          </cell>
          <cell r="AA60">
            <v>1.98228</v>
          </cell>
          <cell r="AB60">
            <v>1.72508</v>
          </cell>
        </row>
        <row r="61">
          <cell r="C61">
            <v>45990</v>
          </cell>
        </row>
        <row r="61">
          <cell r="E61">
            <v>1.66447</v>
          </cell>
          <cell r="F61">
            <v>1.51898</v>
          </cell>
          <cell r="G61">
            <v>1.44408</v>
          </cell>
          <cell r="H61">
            <v>1.45568</v>
          </cell>
          <cell r="I61">
            <v>1.40368</v>
          </cell>
          <cell r="J61">
            <v>1.46388</v>
          </cell>
          <cell r="K61">
            <v>1.41278</v>
          </cell>
          <cell r="L61">
            <v>1.8795</v>
          </cell>
          <cell r="M61">
            <v>3.67511</v>
          </cell>
          <cell r="N61">
            <v>3.8611</v>
          </cell>
          <cell r="O61">
            <v>3.24671</v>
          </cell>
          <cell r="P61">
            <v>3.11551</v>
          </cell>
          <cell r="Q61">
            <v>2.67851</v>
          </cell>
          <cell r="R61">
            <v>3.1486</v>
          </cell>
          <cell r="S61">
            <v>3.58281</v>
          </cell>
          <cell r="T61">
            <v>3.4301</v>
          </cell>
          <cell r="U61">
            <v>3.60511</v>
          </cell>
          <cell r="V61">
            <v>3.5878</v>
          </cell>
          <cell r="W61">
            <v>2.99268</v>
          </cell>
          <cell r="X61">
            <v>2.89008</v>
          </cell>
          <cell r="Y61">
            <v>2.48748</v>
          </cell>
          <cell r="Z61">
            <v>2.12108</v>
          </cell>
          <cell r="AA61">
            <v>1.85357</v>
          </cell>
          <cell r="AB61">
            <v>1.59428</v>
          </cell>
        </row>
        <row r="62">
          <cell r="C62">
            <v>45991</v>
          </cell>
        </row>
        <row r="62">
          <cell r="E62">
            <v>1.97778</v>
          </cell>
          <cell r="F62">
            <v>1.83201</v>
          </cell>
          <cell r="G62">
            <v>1.79153</v>
          </cell>
          <cell r="H62">
            <v>1.79394</v>
          </cell>
          <cell r="I62">
            <v>1.67681</v>
          </cell>
          <cell r="J62">
            <v>1.50557</v>
          </cell>
          <cell r="K62">
            <v>1.45525</v>
          </cell>
          <cell r="L62">
            <v>1.5787</v>
          </cell>
          <cell r="M62">
            <v>2.82307</v>
          </cell>
          <cell r="N62">
            <v>3.1709</v>
          </cell>
          <cell r="O62">
            <v>3.03024</v>
          </cell>
          <cell r="P62">
            <v>2.84043</v>
          </cell>
          <cell r="Q62">
            <v>2.12046</v>
          </cell>
          <cell r="R62">
            <v>2.44193</v>
          </cell>
          <cell r="S62">
            <v>2.98252</v>
          </cell>
          <cell r="T62">
            <v>2.99922</v>
          </cell>
          <cell r="U62">
            <v>3.11105</v>
          </cell>
          <cell r="V62">
            <v>2.8187</v>
          </cell>
          <cell r="W62">
            <v>1.88075</v>
          </cell>
          <cell r="X62">
            <v>1.66471</v>
          </cell>
          <cell r="Y62">
            <v>1.44874</v>
          </cell>
          <cell r="Z62">
            <v>1.30092</v>
          </cell>
          <cell r="AA62">
            <v>1.29092</v>
          </cell>
          <cell r="AB62">
            <v>1.08136</v>
          </cell>
        </row>
        <row r="63">
          <cell r="C63">
            <v>45992</v>
          </cell>
        </row>
        <row r="63">
          <cell r="E63">
            <v>0.97548</v>
          </cell>
          <cell r="F63">
            <v>0.96828</v>
          </cell>
          <cell r="G63">
            <v>0.91028</v>
          </cell>
          <cell r="H63">
            <v>0.76478</v>
          </cell>
          <cell r="I63">
            <v>0.73448</v>
          </cell>
          <cell r="J63">
            <v>0.78508</v>
          </cell>
          <cell r="K63">
            <v>0.91628</v>
          </cell>
          <cell r="L63">
            <v>1.2499</v>
          </cell>
          <cell r="M63">
            <v>2.59406</v>
          </cell>
          <cell r="N63">
            <v>3.04175</v>
          </cell>
          <cell r="O63">
            <v>2.33092</v>
          </cell>
          <cell r="P63">
            <v>2.16253</v>
          </cell>
          <cell r="Q63">
            <v>2.00264</v>
          </cell>
          <cell r="R63">
            <v>2.36233</v>
          </cell>
          <cell r="S63">
            <v>2.67971</v>
          </cell>
          <cell r="T63">
            <v>2.55263</v>
          </cell>
          <cell r="U63">
            <v>2.67433</v>
          </cell>
          <cell r="V63">
            <v>2.73079</v>
          </cell>
          <cell r="W63">
            <v>2.52265</v>
          </cell>
          <cell r="X63">
            <v>2.57349</v>
          </cell>
          <cell r="Y63">
            <v>2.25018</v>
          </cell>
          <cell r="Z63">
            <v>1.94228</v>
          </cell>
          <cell r="AA63">
            <v>1.47367</v>
          </cell>
          <cell r="AB63">
            <v>1.27768</v>
          </cell>
        </row>
        <row r="64">
          <cell r="C64">
            <v>45993</v>
          </cell>
        </row>
        <row r="64">
          <cell r="E64">
            <v>1.37378</v>
          </cell>
          <cell r="F64">
            <v>1.38868</v>
          </cell>
          <cell r="G64">
            <v>1.33768</v>
          </cell>
          <cell r="H64">
            <v>1.24928</v>
          </cell>
          <cell r="I64">
            <v>1.23887</v>
          </cell>
          <cell r="J64">
            <v>1.24198</v>
          </cell>
          <cell r="K64">
            <v>1.24028</v>
          </cell>
          <cell r="L64">
            <v>1.7035</v>
          </cell>
          <cell r="M64">
            <v>3.86847</v>
          </cell>
          <cell r="N64">
            <v>4.11645</v>
          </cell>
          <cell r="O64">
            <v>3.60857</v>
          </cell>
          <cell r="P64">
            <v>3.45861</v>
          </cell>
          <cell r="Q64">
            <v>2.85278</v>
          </cell>
          <cell r="R64">
            <v>3.52666</v>
          </cell>
          <cell r="S64">
            <v>4.05649</v>
          </cell>
          <cell r="T64">
            <v>3.882</v>
          </cell>
          <cell r="U64">
            <v>3.92852</v>
          </cell>
          <cell r="V64">
            <v>3.8313</v>
          </cell>
          <cell r="W64">
            <v>3.44412</v>
          </cell>
          <cell r="X64">
            <v>3.49018</v>
          </cell>
          <cell r="Y64">
            <v>3.08388</v>
          </cell>
          <cell r="Z64">
            <v>2.59048</v>
          </cell>
          <cell r="AA64">
            <v>2.01007</v>
          </cell>
          <cell r="AB64">
            <v>1.62108</v>
          </cell>
        </row>
        <row r="65">
          <cell r="C65">
            <v>45994</v>
          </cell>
        </row>
        <row r="65">
          <cell r="E65">
            <v>0.48618</v>
          </cell>
          <cell r="F65">
            <v>0.55628</v>
          </cell>
          <cell r="G65">
            <v>0.56828</v>
          </cell>
          <cell r="H65">
            <v>0.59827</v>
          </cell>
          <cell r="I65">
            <v>0.58068</v>
          </cell>
          <cell r="J65">
            <v>0.64338</v>
          </cell>
          <cell r="K65">
            <v>0.62088</v>
          </cell>
          <cell r="L65">
            <v>0.8825</v>
          </cell>
          <cell r="M65">
            <v>1.38567</v>
          </cell>
          <cell r="N65">
            <v>1.3619</v>
          </cell>
          <cell r="O65">
            <v>1.37398</v>
          </cell>
          <cell r="P65">
            <v>1.26892</v>
          </cell>
          <cell r="Q65">
            <v>0.71464</v>
          </cell>
          <cell r="R65">
            <v>0.82218</v>
          </cell>
          <cell r="S65">
            <v>1.32496</v>
          </cell>
          <cell r="T65">
            <v>1.37774</v>
          </cell>
          <cell r="U65">
            <v>1.50881</v>
          </cell>
          <cell r="V65">
            <v>1.24973</v>
          </cell>
          <cell r="W65">
            <v>0.92678</v>
          </cell>
          <cell r="X65">
            <v>1.03449</v>
          </cell>
          <cell r="Y65">
            <v>0.90628</v>
          </cell>
          <cell r="Z65">
            <v>0.78748</v>
          </cell>
          <cell r="AA65">
            <v>0.80997</v>
          </cell>
          <cell r="AB65">
            <v>0.69328</v>
          </cell>
        </row>
        <row r="66">
          <cell r="C66">
            <v>45995</v>
          </cell>
        </row>
        <row r="66">
          <cell r="E66">
            <v>1.67208</v>
          </cell>
          <cell r="F66">
            <v>1.68267</v>
          </cell>
          <cell r="G66">
            <v>1.63648</v>
          </cell>
          <cell r="H66">
            <v>1.65778</v>
          </cell>
          <cell r="I66">
            <v>1.63788</v>
          </cell>
          <cell r="J66">
            <v>1.64348</v>
          </cell>
          <cell r="K66">
            <v>1.59948</v>
          </cell>
          <cell r="L66">
            <v>2.05259</v>
          </cell>
          <cell r="M66">
            <v>4.16844</v>
          </cell>
          <cell r="N66">
            <v>4.46096</v>
          </cell>
          <cell r="O66">
            <v>3.89931</v>
          </cell>
          <cell r="P66">
            <v>3.50934</v>
          </cell>
          <cell r="Q66">
            <v>2.90451</v>
          </cell>
          <cell r="R66">
            <v>3.36021</v>
          </cell>
          <cell r="S66">
            <v>3.96701</v>
          </cell>
          <cell r="T66">
            <v>3.6719</v>
          </cell>
          <cell r="U66">
            <v>3.91845</v>
          </cell>
          <cell r="V66">
            <v>3.79772</v>
          </cell>
          <cell r="W66">
            <v>3.45884</v>
          </cell>
          <cell r="X66">
            <v>3.47788</v>
          </cell>
          <cell r="Y66">
            <v>3.05138</v>
          </cell>
          <cell r="Z66">
            <v>2.53528</v>
          </cell>
          <cell r="AA66">
            <v>2.07488</v>
          </cell>
          <cell r="AB66">
            <v>1.77968</v>
          </cell>
        </row>
        <row r="67">
          <cell r="C67">
            <v>45996</v>
          </cell>
        </row>
        <row r="67">
          <cell r="E67">
            <v>0.86707</v>
          </cell>
          <cell r="F67">
            <v>0.80818</v>
          </cell>
          <cell r="G67">
            <v>0.80388</v>
          </cell>
          <cell r="H67">
            <v>0.79568</v>
          </cell>
          <cell r="I67">
            <v>0.79968</v>
          </cell>
          <cell r="J67">
            <v>0.77507</v>
          </cell>
          <cell r="K67">
            <v>0.81578</v>
          </cell>
          <cell r="L67">
            <v>1.2639</v>
          </cell>
          <cell r="M67">
            <v>2.51691</v>
          </cell>
          <cell r="N67">
            <v>2.59892</v>
          </cell>
          <cell r="O67">
            <v>2.53629</v>
          </cell>
          <cell r="P67">
            <v>2.40101</v>
          </cell>
          <cell r="Q67">
            <v>1.36287</v>
          </cell>
          <cell r="R67">
            <v>1.66046</v>
          </cell>
          <cell r="S67">
            <v>2.46382</v>
          </cell>
          <cell r="T67">
            <v>2.68221</v>
          </cell>
          <cell r="U67">
            <v>2.63206</v>
          </cell>
          <cell r="V67">
            <v>2.50977</v>
          </cell>
          <cell r="W67">
            <v>2.05498</v>
          </cell>
          <cell r="X67">
            <v>2.11969</v>
          </cell>
          <cell r="Y67">
            <v>1.98918</v>
          </cell>
          <cell r="Z67">
            <v>1.58648</v>
          </cell>
          <cell r="AA67">
            <v>1.17277</v>
          </cell>
          <cell r="AB67">
            <v>1.03808</v>
          </cell>
        </row>
        <row r="68">
          <cell r="C68">
            <v>45997</v>
          </cell>
        </row>
        <row r="68">
          <cell r="E68">
            <v>1.60088</v>
          </cell>
          <cell r="F68">
            <v>1.64338</v>
          </cell>
          <cell r="G68">
            <v>1.59288</v>
          </cell>
          <cell r="H68">
            <v>1.57418</v>
          </cell>
          <cell r="I68">
            <v>1.54688</v>
          </cell>
          <cell r="J68">
            <v>1.57958</v>
          </cell>
          <cell r="K68">
            <v>1.57908</v>
          </cell>
          <cell r="L68">
            <v>1.9618</v>
          </cell>
          <cell r="M68">
            <v>3.8489</v>
          </cell>
          <cell r="N68">
            <v>4.18291</v>
          </cell>
          <cell r="O68">
            <v>3.57761</v>
          </cell>
          <cell r="P68">
            <v>3.4861</v>
          </cell>
          <cell r="Q68">
            <v>2.84401</v>
          </cell>
          <cell r="R68">
            <v>3.349</v>
          </cell>
          <cell r="S68">
            <v>3.9564</v>
          </cell>
          <cell r="T68">
            <v>3.73871</v>
          </cell>
          <cell r="U68">
            <v>3.6861</v>
          </cell>
          <cell r="V68">
            <v>3.541</v>
          </cell>
          <cell r="W68">
            <v>3.10888</v>
          </cell>
          <cell r="X68">
            <v>3.13088</v>
          </cell>
          <cell r="Y68">
            <v>2.80768</v>
          </cell>
          <cell r="Z68">
            <v>2.32647</v>
          </cell>
          <cell r="AA68">
            <v>1.90698</v>
          </cell>
          <cell r="AB68">
            <v>1.60808</v>
          </cell>
        </row>
        <row r="69">
          <cell r="C69">
            <v>45998</v>
          </cell>
        </row>
        <row r="69">
          <cell r="E69">
            <v>1.73207</v>
          </cell>
          <cell r="F69">
            <v>1.61768</v>
          </cell>
          <cell r="G69">
            <v>1.57388</v>
          </cell>
          <cell r="H69">
            <v>1.43137</v>
          </cell>
          <cell r="I69">
            <v>1.45188</v>
          </cell>
          <cell r="J69">
            <v>1.44648</v>
          </cell>
          <cell r="K69">
            <v>1.40108</v>
          </cell>
          <cell r="L69">
            <v>1.41949</v>
          </cell>
          <cell r="M69">
            <v>2.53221</v>
          </cell>
          <cell r="N69">
            <v>2.7341</v>
          </cell>
          <cell r="O69">
            <v>2.45751</v>
          </cell>
          <cell r="P69">
            <v>2.3773</v>
          </cell>
          <cell r="Q69">
            <v>2.25511</v>
          </cell>
          <cell r="R69">
            <v>1.97251</v>
          </cell>
          <cell r="S69">
            <v>2.4729</v>
          </cell>
          <cell r="T69">
            <v>2.45271</v>
          </cell>
          <cell r="U69">
            <v>2.4651</v>
          </cell>
          <cell r="V69">
            <v>2.2881</v>
          </cell>
          <cell r="W69">
            <v>1.51529</v>
          </cell>
          <cell r="X69">
            <v>1.45328</v>
          </cell>
          <cell r="Y69">
            <v>1.47128</v>
          </cell>
          <cell r="Z69">
            <v>1.36488</v>
          </cell>
          <cell r="AA69">
            <v>1.28368</v>
          </cell>
          <cell r="AB69">
            <v>1.21078</v>
          </cell>
        </row>
        <row r="70">
          <cell r="C70">
            <v>45999</v>
          </cell>
        </row>
        <row r="70">
          <cell r="E70">
            <v>1.29138</v>
          </cell>
          <cell r="F70">
            <v>1.32488</v>
          </cell>
          <cell r="G70">
            <v>1.35148</v>
          </cell>
          <cell r="H70">
            <v>1.37997</v>
          </cell>
          <cell r="I70">
            <v>1.32348</v>
          </cell>
          <cell r="J70">
            <v>1.32938</v>
          </cell>
          <cell r="K70">
            <v>1.27218</v>
          </cell>
          <cell r="L70">
            <v>1.7535</v>
          </cell>
          <cell r="M70">
            <v>3.45095</v>
          </cell>
          <cell r="N70">
            <v>3.8818</v>
          </cell>
          <cell r="O70">
            <v>3.25381</v>
          </cell>
          <cell r="P70">
            <v>3.16883</v>
          </cell>
          <cell r="Q70">
            <v>2.67746</v>
          </cell>
          <cell r="R70">
            <v>3.19675</v>
          </cell>
          <cell r="S70">
            <v>3.71115</v>
          </cell>
          <cell r="T70">
            <v>3.58041</v>
          </cell>
          <cell r="U70">
            <v>3.76944</v>
          </cell>
          <cell r="V70">
            <v>3.64234</v>
          </cell>
          <cell r="W70">
            <v>3.24259</v>
          </cell>
          <cell r="X70">
            <v>3.23459</v>
          </cell>
          <cell r="Y70">
            <v>2.87618</v>
          </cell>
          <cell r="Z70">
            <v>2.43398</v>
          </cell>
          <cell r="AA70">
            <v>1.88258</v>
          </cell>
          <cell r="AB70">
            <v>1.60759</v>
          </cell>
        </row>
        <row r="71">
          <cell r="C71">
            <v>46000</v>
          </cell>
        </row>
        <row r="71">
          <cell r="E71">
            <v>1.38458</v>
          </cell>
          <cell r="F71">
            <v>1.45978</v>
          </cell>
          <cell r="G71">
            <v>1.39528</v>
          </cell>
          <cell r="H71">
            <v>1.39458</v>
          </cell>
          <cell r="I71">
            <v>1.42398</v>
          </cell>
          <cell r="J71">
            <v>1.45619</v>
          </cell>
          <cell r="K71">
            <v>1.35738</v>
          </cell>
          <cell r="L71">
            <v>1.7168</v>
          </cell>
          <cell r="M71">
            <v>3.15919</v>
          </cell>
          <cell r="N71">
            <v>3.33225</v>
          </cell>
          <cell r="O71">
            <v>2.9329</v>
          </cell>
          <cell r="P71">
            <v>2.69998</v>
          </cell>
          <cell r="Q71">
            <v>2.12089</v>
          </cell>
          <cell r="R71">
            <v>2.49852</v>
          </cell>
          <cell r="S71">
            <v>3.11993</v>
          </cell>
          <cell r="T71">
            <v>3.01372</v>
          </cell>
          <cell r="U71">
            <v>3.1632</v>
          </cell>
          <cell r="V71">
            <v>3.1023</v>
          </cell>
          <cell r="W71">
            <v>2.70695</v>
          </cell>
          <cell r="X71">
            <v>2.75528</v>
          </cell>
          <cell r="Y71">
            <v>2.35608</v>
          </cell>
          <cell r="Z71">
            <v>1.99698</v>
          </cell>
          <cell r="AA71">
            <v>1.56267</v>
          </cell>
          <cell r="AB71">
            <v>1.45308</v>
          </cell>
        </row>
        <row r="72">
          <cell r="C72">
            <v>46001</v>
          </cell>
        </row>
        <row r="72">
          <cell r="E72">
            <v>1.64458</v>
          </cell>
          <cell r="F72">
            <v>1.62727</v>
          </cell>
          <cell r="G72">
            <v>1.61588</v>
          </cell>
          <cell r="H72">
            <v>1.55478</v>
          </cell>
          <cell r="I72">
            <v>1.63398</v>
          </cell>
          <cell r="J72">
            <v>1.68528</v>
          </cell>
          <cell r="K72">
            <v>1.61398</v>
          </cell>
          <cell r="L72">
            <v>2.0254</v>
          </cell>
          <cell r="M72">
            <v>3.92775</v>
          </cell>
          <cell r="N72">
            <v>4.28924</v>
          </cell>
          <cell r="O72">
            <v>3.60665</v>
          </cell>
          <cell r="P72">
            <v>3.61902</v>
          </cell>
          <cell r="Q72">
            <v>2.95385</v>
          </cell>
          <cell r="R72">
            <v>3.50611</v>
          </cell>
          <cell r="S72">
            <v>4.06636</v>
          </cell>
          <cell r="T72">
            <v>3.94571</v>
          </cell>
          <cell r="U72">
            <v>3.98242</v>
          </cell>
          <cell r="V72">
            <v>3.7209</v>
          </cell>
          <cell r="W72">
            <v>3.28849</v>
          </cell>
          <cell r="X72">
            <v>3.48118</v>
          </cell>
          <cell r="Y72">
            <v>2.97588</v>
          </cell>
          <cell r="Z72">
            <v>2.49378</v>
          </cell>
          <cell r="AA72">
            <v>1.97048</v>
          </cell>
          <cell r="AB72">
            <v>1.57977</v>
          </cell>
        </row>
        <row r="73">
          <cell r="C73">
            <v>46002</v>
          </cell>
        </row>
        <row r="73">
          <cell r="E73">
            <v>1.59688</v>
          </cell>
          <cell r="F73">
            <v>1.70238</v>
          </cell>
          <cell r="G73">
            <v>1.60448</v>
          </cell>
          <cell r="H73">
            <v>1.68118</v>
          </cell>
          <cell r="I73">
            <v>1.60117</v>
          </cell>
          <cell r="J73">
            <v>1.61098</v>
          </cell>
          <cell r="K73">
            <v>1.56298</v>
          </cell>
          <cell r="L73">
            <v>1.8924</v>
          </cell>
          <cell r="M73">
            <v>3.98729</v>
          </cell>
          <cell r="N73">
            <v>4.47961</v>
          </cell>
          <cell r="O73">
            <v>3.80085</v>
          </cell>
          <cell r="P73">
            <v>3.50781</v>
          </cell>
          <cell r="Q73">
            <v>2.7735</v>
          </cell>
          <cell r="R73">
            <v>3.35876</v>
          </cell>
          <cell r="S73">
            <v>4.12932</v>
          </cell>
          <cell r="T73">
            <v>3.98978</v>
          </cell>
          <cell r="U73">
            <v>4.26091</v>
          </cell>
          <cell r="V73">
            <v>3.90676</v>
          </cell>
          <cell r="W73">
            <v>3.39236</v>
          </cell>
          <cell r="X73">
            <v>3.61018</v>
          </cell>
          <cell r="Y73">
            <v>3.13828</v>
          </cell>
          <cell r="Z73">
            <v>2.54868</v>
          </cell>
          <cell r="AA73">
            <v>1.92167</v>
          </cell>
          <cell r="AB73">
            <v>1.62888</v>
          </cell>
        </row>
        <row r="74">
          <cell r="C74">
            <v>46003</v>
          </cell>
        </row>
        <row r="74">
          <cell r="E74">
            <v>1.73038</v>
          </cell>
          <cell r="F74">
            <v>1.71368</v>
          </cell>
          <cell r="G74">
            <v>1.72667</v>
          </cell>
          <cell r="H74">
            <v>1.65428</v>
          </cell>
          <cell r="I74">
            <v>1.67448</v>
          </cell>
          <cell r="J74">
            <v>1.67768</v>
          </cell>
          <cell r="K74">
            <v>1.63738</v>
          </cell>
          <cell r="L74">
            <v>2.0256</v>
          </cell>
          <cell r="M74">
            <v>3.86001</v>
          </cell>
          <cell r="N74">
            <v>4.04835</v>
          </cell>
          <cell r="O74">
            <v>3.48557</v>
          </cell>
          <cell r="P74">
            <v>3.21803</v>
          </cell>
          <cell r="Q74">
            <v>2.72502</v>
          </cell>
          <cell r="R74">
            <v>3.18762</v>
          </cell>
          <cell r="S74">
            <v>3.69835</v>
          </cell>
          <cell r="T74">
            <v>3.6778</v>
          </cell>
          <cell r="U74">
            <v>3.77108</v>
          </cell>
          <cell r="V74">
            <v>3.65049</v>
          </cell>
          <cell r="W74">
            <v>3.38008</v>
          </cell>
          <cell r="X74">
            <v>3.35268</v>
          </cell>
          <cell r="Y74">
            <v>2.92468</v>
          </cell>
          <cell r="Z74">
            <v>2.34298</v>
          </cell>
          <cell r="AA74">
            <v>1.80187</v>
          </cell>
          <cell r="AB74">
            <v>1.71008</v>
          </cell>
        </row>
        <row r="75">
          <cell r="C75">
            <v>46004</v>
          </cell>
        </row>
        <row r="75">
          <cell r="E75">
            <v>1.61458</v>
          </cell>
          <cell r="F75">
            <v>1.70738</v>
          </cell>
          <cell r="G75">
            <v>1.67638</v>
          </cell>
          <cell r="H75">
            <v>1.69799</v>
          </cell>
          <cell r="I75">
            <v>1.71158</v>
          </cell>
          <cell r="J75">
            <v>1.70078</v>
          </cell>
          <cell r="K75">
            <v>1.66217</v>
          </cell>
          <cell r="L75">
            <v>1.9679</v>
          </cell>
          <cell r="M75">
            <v>3.86166</v>
          </cell>
          <cell r="N75">
            <v>4.34658</v>
          </cell>
          <cell r="O75">
            <v>3.58827</v>
          </cell>
          <cell r="P75">
            <v>3.53361</v>
          </cell>
          <cell r="Q75">
            <v>2.9955</v>
          </cell>
          <cell r="R75">
            <v>3.7345</v>
          </cell>
          <cell r="S75">
            <v>4.14641</v>
          </cell>
          <cell r="T75">
            <v>4.0946</v>
          </cell>
          <cell r="U75">
            <v>4.0036</v>
          </cell>
          <cell r="V75">
            <v>3.5882</v>
          </cell>
          <cell r="W75">
            <v>2.88418</v>
          </cell>
          <cell r="X75">
            <v>2.90928</v>
          </cell>
          <cell r="Y75">
            <v>2.61417</v>
          </cell>
          <cell r="Z75">
            <v>2.30368</v>
          </cell>
          <cell r="AA75">
            <v>2.00537</v>
          </cell>
          <cell r="AB75">
            <v>1.81928</v>
          </cell>
        </row>
        <row r="76">
          <cell r="C76">
            <v>46005</v>
          </cell>
        </row>
        <row r="76">
          <cell r="E76">
            <v>1.56177</v>
          </cell>
          <cell r="F76">
            <v>1.63678</v>
          </cell>
          <cell r="G76">
            <v>1.59858</v>
          </cell>
          <cell r="H76">
            <v>1.53098</v>
          </cell>
          <cell r="I76">
            <v>1.52968</v>
          </cell>
          <cell r="J76">
            <v>1.54128</v>
          </cell>
          <cell r="K76">
            <v>1.45987</v>
          </cell>
          <cell r="L76">
            <v>1.5348</v>
          </cell>
          <cell r="M76">
            <v>2.3664</v>
          </cell>
          <cell r="N76">
            <v>2.64021</v>
          </cell>
          <cell r="O76">
            <v>2.1929</v>
          </cell>
          <cell r="P76">
            <v>2.07281</v>
          </cell>
          <cell r="Q76">
            <v>2.06791</v>
          </cell>
          <cell r="R76">
            <v>1.8405</v>
          </cell>
          <cell r="S76">
            <v>2.24841</v>
          </cell>
          <cell r="T76">
            <v>2.12171</v>
          </cell>
          <cell r="U76">
            <v>2.059</v>
          </cell>
          <cell r="V76">
            <v>2.2695</v>
          </cell>
          <cell r="W76">
            <v>1.56689</v>
          </cell>
          <cell r="X76">
            <v>1.58388</v>
          </cell>
          <cell r="Y76">
            <v>1.35278</v>
          </cell>
          <cell r="Z76">
            <v>1.29428</v>
          </cell>
          <cell r="AA76">
            <v>1.19968</v>
          </cell>
          <cell r="AB76">
            <v>1.12968</v>
          </cell>
        </row>
        <row r="77">
          <cell r="C77">
            <v>46006</v>
          </cell>
        </row>
        <row r="77">
          <cell r="E77">
            <v>1.13078</v>
          </cell>
          <cell r="F77">
            <v>1.25608</v>
          </cell>
          <cell r="G77">
            <v>1.23808</v>
          </cell>
          <cell r="H77">
            <v>1.19648</v>
          </cell>
          <cell r="I77">
            <v>1.13958</v>
          </cell>
          <cell r="J77">
            <v>1.13418</v>
          </cell>
          <cell r="K77">
            <v>1.11077</v>
          </cell>
          <cell r="L77">
            <v>1.6247</v>
          </cell>
          <cell r="M77">
            <v>3.55875</v>
          </cell>
          <cell r="N77">
            <v>3.8807</v>
          </cell>
          <cell r="O77">
            <v>3.29522</v>
          </cell>
          <cell r="P77">
            <v>3.19773</v>
          </cell>
          <cell r="Q77">
            <v>2.72989</v>
          </cell>
          <cell r="R77">
            <v>3.27116</v>
          </cell>
          <cell r="S77">
            <v>3.89638</v>
          </cell>
          <cell r="T77">
            <v>3.69298</v>
          </cell>
          <cell r="U77">
            <v>3.81225</v>
          </cell>
          <cell r="V77">
            <v>3.55615</v>
          </cell>
          <cell r="W77">
            <v>3.2864</v>
          </cell>
          <cell r="X77">
            <v>3.38596</v>
          </cell>
          <cell r="Y77">
            <v>2.80945</v>
          </cell>
          <cell r="Z77">
            <v>2.31166</v>
          </cell>
          <cell r="AA77">
            <v>1.89585</v>
          </cell>
          <cell r="AB77">
            <v>1.56546</v>
          </cell>
        </row>
        <row r="78">
          <cell r="C78">
            <v>46007</v>
          </cell>
        </row>
        <row r="78">
          <cell r="E78">
            <v>1.57925</v>
          </cell>
          <cell r="F78">
            <v>1.53965</v>
          </cell>
          <cell r="G78">
            <v>1.45086</v>
          </cell>
          <cell r="H78">
            <v>1.46085</v>
          </cell>
          <cell r="I78">
            <v>1.42515</v>
          </cell>
          <cell r="J78">
            <v>1.47456</v>
          </cell>
          <cell r="K78">
            <v>1.43345</v>
          </cell>
          <cell r="L78">
            <v>1.95127</v>
          </cell>
          <cell r="M78">
            <v>3.87545</v>
          </cell>
          <cell r="N78">
            <v>4.00907</v>
          </cell>
          <cell r="O78">
            <v>3.38419</v>
          </cell>
          <cell r="P78">
            <v>3.28061</v>
          </cell>
          <cell r="Q78">
            <v>2.73796</v>
          </cell>
          <cell r="R78">
            <v>3.22925</v>
          </cell>
          <cell r="S78">
            <v>3.8041</v>
          </cell>
          <cell r="T78">
            <v>3.73527</v>
          </cell>
          <cell r="U78">
            <v>3.89588</v>
          </cell>
          <cell r="V78">
            <v>3.61789</v>
          </cell>
          <cell r="W78">
            <v>3.25043</v>
          </cell>
          <cell r="X78">
            <v>3.41228</v>
          </cell>
          <cell r="Y78">
            <v>3.00768</v>
          </cell>
          <cell r="Z78">
            <v>2.51578</v>
          </cell>
          <cell r="AA78">
            <v>2.00667</v>
          </cell>
          <cell r="AB78">
            <v>1.65498</v>
          </cell>
        </row>
        <row r="79">
          <cell r="C79">
            <v>46008</v>
          </cell>
        </row>
        <row r="79">
          <cell r="E79">
            <v>1.69087</v>
          </cell>
          <cell r="F79">
            <v>1.71088</v>
          </cell>
          <cell r="G79">
            <v>1.73078</v>
          </cell>
          <cell r="H79">
            <v>1.78878</v>
          </cell>
          <cell r="I79">
            <v>1.73527</v>
          </cell>
          <cell r="J79">
            <v>1.63728</v>
          </cell>
          <cell r="K79">
            <v>1.52698</v>
          </cell>
          <cell r="L79">
            <v>1.95309</v>
          </cell>
          <cell r="M79">
            <v>4.01473</v>
          </cell>
          <cell r="N79">
            <v>4.16685</v>
          </cell>
          <cell r="O79">
            <v>3.56064</v>
          </cell>
          <cell r="P79">
            <v>3.43765</v>
          </cell>
          <cell r="Q79">
            <v>2.799</v>
          </cell>
          <cell r="R79">
            <v>3.36431</v>
          </cell>
          <cell r="S79">
            <v>3.87247</v>
          </cell>
          <cell r="T79">
            <v>3.71132</v>
          </cell>
          <cell r="U79">
            <v>3.94598</v>
          </cell>
          <cell r="V79">
            <v>3.71508</v>
          </cell>
          <cell r="W79">
            <v>3.50601</v>
          </cell>
          <cell r="X79">
            <v>3.55491</v>
          </cell>
          <cell r="Y79">
            <v>3.16561</v>
          </cell>
          <cell r="Z79">
            <v>2.58971</v>
          </cell>
          <cell r="AA79">
            <v>2.05921</v>
          </cell>
          <cell r="AB79">
            <v>1.86341</v>
          </cell>
        </row>
        <row r="80">
          <cell r="C80">
            <v>46009</v>
          </cell>
        </row>
        <row r="80">
          <cell r="E80">
            <v>1.8796</v>
          </cell>
          <cell r="F80">
            <v>1.90741</v>
          </cell>
          <cell r="G80">
            <v>1.879</v>
          </cell>
          <cell r="H80">
            <v>1.86321</v>
          </cell>
          <cell r="I80">
            <v>1.82321</v>
          </cell>
          <cell r="J80">
            <v>1.81051</v>
          </cell>
          <cell r="K80">
            <v>1.7297</v>
          </cell>
          <cell r="L80">
            <v>2.10073</v>
          </cell>
          <cell r="M80">
            <v>3.94415</v>
          </cell>
          <cell r="N80">
            <v>4.0941</v>
          </cell>
          <cell r="O80">
            <v>3.42341</v>
          </cell>
          <cell r="P80">
            <v>3.29982</v>
          </cell>
          <cell r="Q80">
            <v>2.70684</v>
          </cell>
          <cell r="R80">
            <v>3.34876</v>
          </cell>
          <cell r="S80">
            <v>4.00849</v>
          </cell>
          <cell r="T80">
            <v>3.82135</v>
          </cell>
          <cell r="U80">
            <v>3.99157</v>
          </cell>
          <cell r="V80">
            <v>3.83198</v>
          </cell>
          <cell r="W80">
            <v>3.4581</v>
          </cell>
          <cell r="X80">
            <v>3.75461</v>
          </cell>
          <cell r="Y80">
            <v>3.20171</v>
          </cell>
          <cell r="Z80">
            <v>2.56821</v>
          </cell>
          <cell r="AA80">
            <v>1.91141</v>
          </cell>
          <cell r="AB80">
            <v>1.86581</v>
          </cell>
        </row>
        <row r="81">
          <cell r="C81">
            <v>46010</v>
          </cell>
        </row>
        <row r="81">
          <cell r="E81">
            <v>1.88601</v>
          </cell>
          <cell r="F81">
            <v>1.92101</v>
          </cell>
          <cell r="G81">
            <v>1.915</v>
          </cell>
          <cell r="H81">
            <v>1.81691</v>
          </cell>
          <cell r="I81">
            <v>1.77481</v>
          </cell>
          <cell r="J81">
            <v>1.86231</v>
          </cell>
          <cell r="K81">
            <v>1.7454</v>
          </cell>
          <cell r="L81">
            <v>2.14543</v>
          </cell>
          <cell r="M81">
            <v>4.14062</v>
          </cell>
          <cell r="N81">
            <v>4.30786</v>
          </cell>
          <cell r="O81">
            <v>3.83778</v>
          </cell>
          <cell r="P81">
            <v>3.80741</v>
          </cell>
          <cell r="Q81">
            <v>2.95158</v>
          </cell>
          <cell r="R81">
            <v>3.54948</v>
          </cell>
          <cell r="S81">
            <v>4.23995</v>
          </cell>
          <cell r="T81">
            <v>3.94989</v>
          </cell>
          <cell r="U81">
            <v>4.07376</v>
          </cell>
          <cell r="V81">
            <v>3.92139</v>
          </cell>
          <cell r="W81">
            <v>3.51817</v>
          </cell>
          <cell r="X81">
            <v>3.82021</v>
          </cell>
          <cell r="Y81">
            <v>3.40381</v>
          </cell>
          <cell r="Z81">
            <v>2.80791</v>
          </cell>
          <cell r="AA81">
            <v>2.2022</v>
          </cell>
          <cell r="AB81">
            <v>1.78201</v>
          </cell>
        </row>
        <row r="82">
          <cell r="C82">
            <v>46011</v>
          </cell>
        </row>
        <row r="82">
          <cell r="E82">
            <v>1.8671</v>
          </cell>
          <cell r="F82">
            <v>1.87881</v>
          </cell>
          <cell r="G82">
            <v>1.86381</v>
          </cell>
          <cell r="H82">
            <v>1.85511</v>
          </cell>
          <cell r="I82">
            <v>1.8132</v>
          </cell>
          <cell r="J82">
            <v>1.82661</v>
          </cell>
          <cell r="K82">
            <v>1.7026</v>
          </cell>
          <cell r="L82">
            <v>1.99203</v>
          </cell>
          <cell r="M82">
            <v>4.11813</v>
          </cell>
          <cell r="N82">
            <v>4.22354</v>
          </cell>
          <cell r="O82">
            <v>3.63033</v>
          </cell>
          <cell r="P82">
            <v>3.40534</v>
          </cell>
          <cell r="Q82">
            <v>2.74564</v>
          </cell>
          <cell r="R82">
            <v>3.29223</v>
          </cell>
          <cell r="S82">
            <v>3.68093</v>
          </cell>
          <cell r="T82">
            <v>3.61454</v>
          </cell>
          <cell r="U82">
            <v>3.79713</v>
          </cell>
          <cell r="V82">
            <v>3.64342</v>
          </cell>
          <cell r="W82">
            <v>3.09521</v>
          </cell>
          <cell r="X82">
            <v>3.23801</v>
          </cell>
          <cell r="Y82">
            <v>2.9454</v>
          </cell>
          <cell r="Z82">
            <v>2.57361</v>
          </cell>
          <cell r="AA82">
            <v>1.8122</v>
          </cell>
          <cell r="AB82">
            <v>1.66201</v>
          </cell>
        </row>
        <row r="83">
          <cell r="C83">
            <v>46012</v>
          </cell>
        </row>
        <row r="83">
          <cell r="E83">
            <v>1.6937</v>
          </cell>
          <cell r="F83">
            <v>1.77841</v>
          </cell>
          <cell r="G83">
            <v>1.6873</v>
          </cell>
          <cell r="H83">
            <v>1.62611</v>
          </cell>
          <cell r="I83">
            <v>1.614</v>
          </cell>
          <cell r="J83">
            <v>1.59291</v>
          </cell>
          <cell r="K83">
            <v>1.487</v>
          </cell>
          <cell r="L83">
            <v>1.32092</v>
          </cell>
          <cell r="M83">
            <v>2.48814</v>
          </cell>
          <cell r="N83">
            <v>2.65973</v>
          </cell>
          <cell r="O83">
            <v>2.26524</v>
          </cell>
          <cell r="P83">
            <v>2.22883</v>
          </cell>
          <cell r="Q83">
            <v>1.90464</v>
          </cell>
          <cell r="R83">
            <v>2.10453</v>
          </cell>
          <cell r="S83">
            <v>2.49504</v>
          </cell>
          <cell r="T83">
            <v>2.42253</v>
          </cell>
          <cell r="U83">
            <v>2.54344</v>
          </cell>
          <cell r="V83">
            <v>2.26883</v>
          </cell>
          <cell r="W83">
            <v>1.58892</v>
          </cell>
          <cell r="X83">
            <v>1.49661</v>
          </cell>
          <cell r="Y83">
            <v>1.45141</v>
          </cell>
          <cell r="Z83">
            <v>1.44291</v>
          </cell>
          <cell r="AA83">
            <v>1.34231</v>
          </cell>
          <cell r="AB83">
            <v>1.35161</v>
          </cell>
        </row>
        <row r="84">
          <cell r="C84">
            <v>46013</v>
          </cell>
        </row>
        <row r="84">
          <cell r="E84">
            <v>1.3751</v>
          </cell>
          <cell r="F84">
            <v>1.40991</v>
          </cell>
          <cell r="G84">
            <v>1.41371</v>
          </cell>
          <cell r="H84">
            <v>1.4274</v>
          </cell>
          <cell r="I84">
            <v>1.38901</v>
          </cell>
          <cell r="J84">
            <v>1.38611</v>
          </cell>
          <cell r="K84">
            <v>1.30481</v>
          </cell>
          <cell r="L84">
            <v>1.77413</v>
          </cell>
          <cell r="M84">
            <v>3.88892</v>
          </cell>
          <cell r="N84">
            <v>4.14497</v>
          </cell>
          <cell r="O84">
            <v>3.53648</v>
          </cell>
          <cell r="P84">
            <v>3.38944</v>
          </cell>
          <cell r="Q84">
            <v>2.86163</v>
          </cell>
          <cell r="R84">
            <v>3.33239</v>
          </cell>
          <cell r="S84">
            <v>3.92647</v>
          </cell>
          <cell r="T84">
            <v>3.82303</v>
          </cell>
          <cell r="U84">
            <v>3.98967</v>
          </cell>
          <cell r="V84">
            <v>3.64605</v>
          </cell>
          <cell r="W84">
            <v>3.25298</v>
          </cell>
          <cell r="X84">
            <v>3.51951</v>
          </cell>
          <cell r="Y84">
            <v>3.27361</v>
          </cell>
          <cell r="Z84">
            <v>2.70111</v>
          </cell>
          <cell r="AA84">
            <v>1.96841</v>
          </cell>
          <cell r="AB84">
            <v>1.65421</v>
          </cell>
        </row>
        <row r="85">
          <cell r="C85">
            <v>46014</v>
          </cell>
        </row>
        <row r="85">
          <cell r="E85">
            <v>1.6903</v>
          </cell>
          <cell r="F85">
            <v>1.69411</v>
          </cell>
          <cell r="G85">
            <v>1.67781</v>
          </cell>
          <cell r="H85">
            <v>1.68741</v>
          </cell>
          <cell r="I85">
            <v>1.7304</v>
          </cell>
          <cell r="J85">
            <v>1.73181</v>
          </cell>
          <cell r="K85">
            <v>1.62371</v>
          </cell>
          <cell r="L85">
            <v>1.96682</v>
          </cell>
          <cell r="M85">
            <v>4.07294</v>
          </cell>
          <cell r="N85">
            <v>4.24907</v>
          </cell>
          <cell r="O85">
            <v>3.65544</v>
          </cell>
          <cell r="P85">
            <v>3.66278</v>
          </cell>
          <cell r="Q85">
            <v>2.86817</v>
          </cell>
          <cell r="R85">
            <v>3.56252</v>
          </cell>
          <cell r="S85">
            <v>3.99381</v>
          </cell>
          <cell r="T85">
            <v>3.78436</v>
          </cell>
          <cell r="U85">
            <v>4.05429</v>
          </cell>
          <cell r="V85">
            <v>3.89545</v>
          </cell>
          <cell r="W85">
            <v>3.54186</v>
          </cell>
          <cell r="X85">
            <v>3.67838</v>
          </cell>
          <cell r="Y85">
            <v>3.27357</v>
          </cell>
          <cell r="Z85">
            <v>2.68528</v>
          </cell>
          <cell r="AA85">
            <v>1.98187</v>
          </cell>
          <cell r="AB85">
            <v>1.68638</v>
          </cell>
        </row>
        <row r="86">
          <cell r="C86">
            <v>46015</v>
          </cell>
        </row>
        <row r="86">
          <cell r="E86">
            <v>1.68727</v>
          </cell>
          <cell r="F86">
            <v>1.71178</v>
          </cell>
          <cell r="G86">
            <v>1.62057</v>
          </cell>
          <cell r="H86">
            <v>1.60758</v>
          </cell>
          <cell r="I86">
            <v>1.67607</v>
          </cell>
          <cell r="J86">
            <v>1.66848</v>
          </cell>
          <cell r="K86">
            <v>1.61397</v>
          </cell>
          <cell r="L86">
            <v>1.9478</v>
          </cell>
          <cell r="M86">
            <v>4.05182</v>
          </cell>
          <cell r="N86">
            <v>4.43578</v>
          </cell>
          <cell r="O86">
            <v>3.93367</v>
          </cell>
          <cell r="P86">
            <v>3.68606</v>
          </cell>
          <cell r="Q86">
            <v>2.93946</v>
          </cell>
          <cell r="R86">
            <v>3.44794</v>
          </cell>
          <cell r="S86">
            <v>4.0618</v>
          </cell>
          <cell r="T86">
            <v>3.79319</v>
          </cell>
          <cell r="U86">
            <v>4.01706</v>
          </cell>
          <cell r="V86">
            <v>3.67491</v>
          </cell>
          <cell r="W86">
            <v>3.38375</v>
          </cell>
          <cell r="X86">
            <v>3.67008</v>
          </cell>
          <cell r="Y86">
            <v>3.18688</v>
          </cell>
          <cell r="Z86">
            <v>2.57228</v>
          </cell>
          <cell r="AA86">
            <v>1.93557</v>
          </cell>
          <cell r="AB86">
            <v>1.73358</v>
          </cell>
        </row>
        <row r="87">
          <cell r="C87">
            <v>46016</v>
          </cell>
        </row>
        <row r="87">
          <cell r="E87">
            <v>5.51401</v>
          </cell>
          <cell r="F87">
            <v>5.25062</v>
          </cell>
          <cell r="G87">
            <v>5.05302</v>
          </cell>
          <cell r="H87">
            <v>5.25501</v>
          </cell>
          <cell r="I87">
            <v>5.19412</v>
          </cell>
          <cell r="J87">
            <v>4.94581</v>
          </cell>
          <cell r="K87">
            <v>5.18852</v>
          </cell>
          <cell r="L87">
            <v>6.08573</v>
          </cell>
          <cell r="M87">
            <v>9.89649</v>
          </cell>
          <cell r="N87">
            <v>10.99338</v>
          </cell>
          <cell r="O87">
            <v>10.30432</v>
          </cell>
          <cell r="P87">
            <v>9.73142</v>
          </cell>
          <cell r="Q87">
            <v>7.83853</v>
          </cell>
          <cell r="R87">
            <v>8.78798</v>
          </cell>
          <cell r="S87">
            <v>10.03678</v>
          </cell>
          <cell r="T87">
            <v>9.83312</v>
          </cell>
          <cell r="U87">
            <v>10.30008</v>
          </cell>
          <cell r="V87">
            <v>9.99774</v>
          </cell>
          <cell r="W87">
            <v>9.39231</v>
          </cell>
          <cell r="X87">
            <v>9.54972</v>
          </cell>
          <cell r="Y87">
            <v>8.43612</v>
          </cell>
          <cell r="Z87">
            <v>7.50392</v>
          </cell>
          <cell r="AA87">
            <v>6.21341</v>
          </cell>
          <cell r="AB87">
            <v>5.48913</v>
          </cell>
        </row>
        <row r="88">
          <cell r="C88">
            <v>46017</v>
          </cell>
        </row>
        <row r="88">
          <cell r="E88">
            <v>5.29312</v>
          </cell>
          <cell r="F88">
            <v>5.06402</v>
          </cell>
          <cell r="G88">
            <v>5.04682</v>
          </cell>
          <cell r="H88">
            <v>4.94231</v>
          </cell>
          <cell r="I88">
            <v>4.82222</v>
          </cell>
          <cell r="J88">
            <v>4.91222</v>
          </cell>
          <cell r="K88">
            <v>5.10952</v>
          </cell>
          <cell r="L88">
            <v>6.12523</v>
          </cell>
          <cell r="M88">
            <v>9.83235</v>
          </cell>
          <cell r="N88">
            <v>10.92835</v>
          </cell>
          <cell r="O88">
            <v>10.45499</v>
          </cell>
          <cell r="P88">
            <v>10.09799</v>
          </cell>
          <cell r="Q88">
            <v>8.05034</v>
          </cell>
          <cell r="R88">
            <v>8.98525</v>
          </cell>
          <cell r="S88">
            <v>10.51218</v>
          </cell>
          <cell r="T88">
            <v>10.48834</v>
          </cell>
          <cell r="U88">
            <v>10.73234</v>
          </cell>
          <cell r="V88">
            <v>10.15554</v>
          </cell>
          <cell r="W88">
            <v>9.17822</v>
          </cell>
          <cell r="X88">
            <v>9.67672</v>
          </cell>
          <cell r="Y88">
            <v>8.70091</v>
          </cell>
          <cell r="Z88">
            <v>7.27632</v>
          </cell>
          <cell r="AA88">
            <v>6.00012</v>
          </cell>
          <cell r="AB88">
            <v>5.42553</v>
          </cell>
        </row>
        <row r="89">
          <cell r="C89">
            <v>46018</v>
          </cell>
        </row>
        <row r="89">
          <cell r="E89">
            <v>5.07471</v>
          </cell>
          <cell r="F89">
            <v>4.89222</v>
          </cell>
          <cell r="G89">
            <v>4.59442</v>
          </cell>
          <cell r="H89">
            <v>4.56331</v>
          </cell>
          <cell r="I89">
            <v>4.58692</v>
          </cell>
          <cell r="J89">
            <v>4.57242</v>
          </cell>
          <cell r="K89">
            <v>4.45541</v>
          </cell>
          <cell r="L89">
            <v>5.36543</v>
          </cell>
          <cell r="M89">
            <v>8.93745</v>
          </cell>
          <cell r="N89">
            <v>10.00804</v>
          </cell>
          <cell r="O89">
            <v>9.29155</v>
          </cell>
          <cell r="P89">
            <v>8.30294</v>
          </cell>
          <cell r="Q89">
            <v>6.91084</v>
          </cell>
          <cell r="R89">
            <v>8.30885</v>
          </cell>
          <cell r="S89">
            <v>8.92504</v>
          </cell>
          <cell r="T89">
            <v>9.12024</v>
          </cell>
          <cell r="U89">
            <v>9.31474</v>
          </cell>
          <cell r="V89">
            <v>9.50214</v>
          </cell>
          <cell r="W89">
            <v>8.65052</v>
          </cell>
          <cell r="X89">
            <v>8.64611</v>
          </cell>
          <cell r="Y89">
            <v>8.01122</v>
          </cell>
          <cell r="Z89">
            <v>6.67131</v>
          </cell>
          <cell r="AA89">
            <v>5.93382</v>
          </cell>
          <cell r="AB89">
            <v>5.46602</v>
          </cell>
        </row>
        <row r="90">
          <cell r="C90">
            <v>46019</v>
          </cell>
        </row>
        <row r="90">
          <cell r="E90">
            <v>4.90602</v>
          </cell>
          <cell r="F90">
            <v>4.93721</v>
          </cell>
          <cell r="G90">
            <v>4.77462</v>
          </cell>
          <cell r="H90">
            <v>4.70671</v>
          </cell>
          <cell r="I90">
            <v>4.50891</v>
          </cell>
          <cell r="J90">
            <v>4.78702</v>
          </cell>
          <cell r="K90">
            <v>4.64782</v>
          </cell>
          <cell r="L90">
            <v>4.57843</v>
          </cell>
          <cell r="M90">
            <v>6.87464</v>
          </cell>
          <cell r="N90">
            <v>7.24004</v>
          </cell>
          <cell r="O90">
            <v>7.09524</v>
          </cell>
          <cell r="P90">
            <v>7.07825</v>
          </cell>
          <cell r="Q90">
            <v>5.75514</v>
          </cell>
          <cell r="R90">
            <v>6.14075</v>
          </cell>
          <cell r="S90">
            <v>6.92774</v>
          </cell>
          <cell r="T90">
            <v>7.00954</v>
          </cell>
          <cell r="U90">
            <v>7.16285</v>
          </cell>
          <cell r="V90">
            <v>6.86714</v>
          </cell>
          <cell r="W90">
            <v>5.91972</v>
          </cell>
          <cell r="X90">
            <v>5.77852</v>
          </cell>
          <cell r="Y90">
            <v>5.38872</v>
          </cell>
          <cell r="Z90">
            <v>5.10542</v>
          </cell>
          <cell r="AA90">
            <v>4.77312</v>
          </cell>
          <cell r="AB90">
            <v>4.54462</v>
          </cell>
        </row>
        <row r="91">
          <cell r="C91">
            <v>46020</v>
          </cell>
        </row>
        <row r="91">
          <cell r="E91">
            <v>4.39962</v>
          </cell>
          <cell r="F91">
            <v>4.12741</v>
          </cell>
          <cell r="G91">
            <v>3.94142</v>
          </cell>
          <cell r="H91">
            <v>3.96941</v>
          </cell>
          <cell r="I91">
            <v>3.72312</v>
          </cell>
          <cell r="J91">
            <v>3.84752</v>
          </cell>
          <cell r="K91">
            <v>4.18331</v>
          </cell>
          <cell r="L91">
            <v>5.08334</v>
          </cell>
          <cell r="M91">
            <v>8.51041</v>
          </cell>
          <cell r="N91">
            <v>9.53605</v>
          </cell>
          <cell r="O91">
            <v>9.08689</v>
          </cell>
          <cell r="P91">
            <v>8.76488</v>
          </cell>
          <cell r="Q91">
            <v>7.03567</v>
          </cell>
          <cell r="R91">
            <v>8.01908</v>
          </cell>
          <cell r="S91">
            <v>9.36378</v>
          </cell>
          <cell r="T91">
            <v>9.63404</v>
          </cell>
          <cell r="U91">
            <v>9.85818</v>
          </cell>
          <cell r="V91">
            <v>9.79785</v>
          </cell>
          <cell r="W91">
            <v>9.15101</v>
          </cell>
          <cell r="X91">
            <v>9.02322</v>
          </cell>
          <cell r="Y91">
            <v>8.84132</v>
          </cell>
          <cell r="Z91">
            <v>7.36282</v>
          </cell>
          <cell r="AA91">
            <v>6.12801</v>
          </cell>
          <cell r="AB91">
            <v>5.67843</v>
          </cell>
        </row>
        <row r="92">
          <cell r="C92" t="str">
            <v>均值</v>
          </cell>
        </row>
        <row r="92">
          <cell r="E92">
            <v>1.30220666666667</v>
          </cell>
          <cell r="F92">
            <v>1.29574666666667</v>
          </cell>
          <cell r="G92">
            <v>1.28381333333333</v>
          </cell>
          <cell r="H92">
            <v>1.22041</v>
          </cell>
          <cell r="I92">
            <v>1.25381</v>
          </cell>
          <cell r="J92">
            <v>1.25331333333333</v>
          </cell>
          <cell r="K92">
            <v>1.21544666666667</v>
          </cell>
          <cell r="L92">
            <v>1.63960333333333</v>
          </cell>
          <cell r="M92">
            <v>3.50978666666667</v>
          </cell>
          <cell r="N92">
            <v>3.91536666666667</v>
          </cell>
          <cell r="O92">
            <v>3.35939</v>
          </cell>
          <cell r="P92">
            <v>3.32386666666667</v>
          </cell>
          <cell r="Q92">
            <v>2.63950333333333</v>
          </cell>
          <cell r="R92">
            <v>3.11898</v>
          </cell>
          <cell r="S92">
            <v>3.76082</v>
          </cell>
          <cell r="T92">
            <v>3.64734</v>
          </cell>
          <cell r="U92">
            <v>3.87830333333333</v>
          </cell>
          <cell r="V92">
            <v>3.66051333333333</v>
          </cell>
          <cell r="W92">
            <v>3.30313666666667</v>
          </cell>
          <cell r="X92">
            <v>3.41511666666667</v>
          </cell>
          <cell r="Y92">
            <v>2.90924666666667</v>
          </cell>
          <cell r="Z92">
            <v>2.37564666666667</v>
          </cell>
          <cell r="AA92">
            <v>1.87167666666667</v>
          </cell>
          <cell r="AB92">
            <v>1.57374666666667</v>
          </cell>
        </row>
        <row r="93">
          <cell r="E93">
            <v>0.0214436934121936</v>
          </cell>
          <cell r="F93">
            <v>0.0213373153210744</v>
          </cell>
          <cell r="G93">
            <v>0.02114080677298</v>
          </cell>
          <cell r="H93">
            <v>0.0200967316072527</v>
          </cell>
          <cell r="I93">
            <v>0.0206467359792935</v>
          </cell>
          <cell r="J93">
            <v>0.0206385572715655</v>
          </cell>
          <cell r="K93">
            <v>0.0200149994206291</v>
          </cell>
          <cell r="L93">
            <v>0.0269996707109553</v>
          </cell>
          <cell r="M93">
            <v>0.0577963476526039</v>
          </cell>
          <cell r="N93">
            <v>0.0644751133176423</v>
          </cell>
          <cell r="O93">
            <v>0.0553197361493996</v>
          </cell>
          <cell r="P93">
            <v>0.0547347664295555</v>
          </cell>
          <cell r="Q93">
            <v>0.0434652207589654</v>
          </cell>
          <cell r="R93">
            <v>0.05136085737448</v>
          </cell>
          <cell r="S93">
            <v>0.0619301629478522</v>
          </cell>
          <cell r="T93">
            <v>0.0600614654586551</v>
          </cell>
          <cell r="U93">
            <v>0.0638647841147759</v>
          </cell>
          <cell r="V93">
            <v>0.0602783933307414</v>
          </cell>
          <cell r="W93">
            <v>0.0543934014405614</v>
          </cell>
          <cell r="X93">
            <v>0.0562373981346069</v>
          </cell>
          <cell r="Y93">
            <v>0.0479071373057372</v>
          </cell>
          <cell r="Z93">
            <v>0.0391202411104994</v>
          </cell>
          <cell r="AA93">
            <v>0.0308212679554883</v>
          </cell>
          <cell r="AB93">
            <v>0.0259151960224913</v>
          </cell>
        </row>
        <row r="96">
          <cell r="E96">
            <v>1.280795</v>
          </cell>
          <cell r="F96">
            <v>1.29726</v>
          </cell>
          <cell r="G96">
            <v>1.27868</v>
          </cell>
          <cell r="H96">
            <v>1.206897</v>
          </cell>
          <cell r="I96">
            <v>1.245865</v>
          </cell>
          <cell r="J96">
            <v>1.24115</v>
          </cell>
          <cell r="K96">
            <v>1.20989</v>
          </cell>
          <cell r="L96">
            <v>1.645532</v>
          </cell>
          <cell r="M96">
            <v>3.470289</v>
          </cell>
          <cell r="N96">
            <v>3.873756</v>
          </cell>
          <cell r="O96">
            <v>3.316415</v>
          </cell>
          <cell r="P96">
            <v>3.286468</v>
          </cell>
          <cell r="Q96">
            <v>2.628076</v>
          </cell>
          <cell r="R96">
            <v>3.087604</v>
          </cell>
          <cell r="S96">
            <v>3.736916</v>
          </cell>
          <cell r="T96">
            <v>3.610097</v>
          </cell>
          <cell r="U96">
            <v>3.869157</v>
          </cell>
          <cell r="V96">
            <v>3.648103</v>
          </cell>
          <cell r="W96">
            <v>3.316104</v>
          </cell>
          <cell r="X96">
            <v>3.421685</v>
          </cell>
          <cell r="Y96">
            <v>2.88989</v>
          </cell>
          <cell r="Z96">
            <v>2.35654</v>
          </cell>
          <cell r="AA96">
            <v>1.848535</v>
          </cell>
          <cell r="AB96">
            <v>1.54256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2" displayName="表2" ref="A1:AB93" totalsRowShown="0">
  <autoFilter xmlns:etc="http://www.wps.cn/officeDocument/2017/etCustomData" ref="A1:AB93" etc:filterBottomFollowUsedRange="0"/>
  <tableColumns count="28">
    <tableColumn id="1" name="序号"/>
    <tableColumn id="2" name="星期">
      <calculatedColumnFormula>#REF!</calculatedColumnFormula>
    </tableColumn>
    <tableColumn id="3" name="日期"/>
    <tableColumn id="4" name="总量">
      <calculatedColumnFormula>SUM(#REF!)</calculatedColumnFormula>
    </tableColumn>
    <tableColumn id="5" name="00:00"/>
    <tableColumn id="6" name="01:00"/>
    <tableColumn id="7" name="02:00"/>
    <tableColumn id="8" name="03:00"/>
    <tableColumn id="9" name="04:00"/>
    <tableColumn id="10" name="05:00"/>
    <tableColumn id="11" name="06:00"/>
    <tableColumn id="12" name="07:00"/>
    <tableColumn id="13" name="08:00"/>
    <tableColumn id="14" name="09:00"/>
    <tableColumn id="15" name="10:00"/>
    <tableColumn id="16" name="11:00"/>
    <tableColumn id="17" name="12:00"/>
    <tableColumn id="18" name="13:00"/>
    <tableColumn id="19" name="14:00"/>
    <tableColumn id="20" name="15:00"/>
    <tableColumn id="21" name="16:00"/>
    <tableColumn id="22" name="17:00"/>
    <tableColumn id="23" name="18:00"/>
    <tableColumn id="24" name="19:00"/>
    <tableColumn id="25" name="20:00"/>
    <tableColumn id="26" name="21:00"/>
    <tableColumn id="27" name="22:00"/>
    <tableColumn id="28" name="23: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 filterMode="1"/>
  <ns0:dimension ref="A1:DB536"/>
  <ns0:sheetViews>
    <ns0:sheetView workbookViewId="0">
      <ns0:pane xSplit="3" topLeftCell="D1" activePane="topRight" state="frozen"/>
      <ns0:selection/>
      <ns0:selection pane="topRight" activeCell="D87" sqref="D87:D93"/>
    </ns0:sheetView>
  </ns0:sheetViews>
  <ns0:sheetFormatPr defaultColWidth="9" defaultRowHeight="16.8"/>
  <ns0:cols>
    <ns0:col min="1" max="1" width="9" style="89"/>
    <ns0:col min="2" max="2" width="10.8846153846154" style="89" customWidth="1"/>
    <ns0:col min="3" max="3" width="23.25" style="90" customWidth="1"/>
    <ns0:col min="4" max="4" width="11.5096153846154" style="90" customWidth="1"/>
    <ns0:col min="5" max="5" width="10.5096153846154" style="90" customWidth="1"/>
    <ns0:col min="6" max="28" width="12.8173076923077" style="89"/>
    <ns0:col min="29" max="29" width="11.2211538461538" style="89" customWidth="1"/>
    <ns0:col min="30" max="33" width="11.2211538461538" customWidth="1"/>
    <ns0:col min="34" max="53" width="12.7980769230769"/>
  </ns0:cols>
  <ns0:sheetData>
    <ns0:row r="1" ht="20" customHeight="1" spans="1:53">
      <ns0:c r="A1" s="10" t="s">
        <ns0:v>0</ns0:v>
      </ns0:c>
      <ns0:c r="B1" s="91" t="s">
        <ns0:v>1</ns0:v>
      </ns0:c>
      <ns0:c r="C1" s="10" t="s">
        <ns0:v>2</ns0:v>
      </ns0:c>
      <ns0:c r="D1" s="10" t="s">
        <ns0:v>3</ns0:v>
      </ns0:c>
      <ns0:c r="E1" s="10" t="s">
        <ns0:v>4</ns0:v>
      </ns0:c>
      <ns0:c r="F1" s="10" t="s">
        <ns0:v>5</ns0:v>
      </ns0:c>
      <ns0:c r="G1" s="10" t="s">
        <ns0:v>6</ns0:v>
      </ns0:c>
      <ns0:c r="H1" s="10" t="s">
        <ns0:v>7</ns0:v>
      </ns0:c>
      <ns0:c r="I1" s="10" t="s">
        <ns0:v>8</ns0:v>
      </ns0:c>
      <ns0:c r="J1" s="10" t="s">
        <ns0:v>9</ns0:v>
      </ns0:c>
      <ns0:c r="K1" s="10" t="s">
        <ns0:v>10</ns0:v>
      </ns0:c>
      <ns0:c r="L1" s="10" t="s">
        <ns0:v>11</ns0:v>
      </ns0:c>
      <ns0:c r="M1" s="10" t="s">
        <ns0:v>12</ns0:v>
      </ns0:c>
      <ns0:c r="N1" s="10" t="s">
        <ns0:v>13</ns0:v>
      </ns0:c>
      <ns0:c r="O1" s="10" t="s">
        <ns0:v>14</ns0:v>
      </ns0:c>
      <ns0:c r="P1" s="10" t="s">
        <ns0:v>15</ns0:v>
      </ns0:c>
      <ns0:c r="Q1" s="10" t="s">
        <ns0:v>16</ns0:v>
      </ns0:c>
      <ns0:c r="R1" s="10" t="s">
        <ns0:v>17</ns0:v>
      </ns0:c>
      <ns0:c r="S1" s="10" t="s">
        <ns0:v>18</ns0:v>
      </ns0:c>
      <ns0:c r="T1" s="10" t="s">
        <ns0:v>19</ns0:v>
      </ns0:c>
      <ns0:c r="U1" s="10" t="s">
        <ns0:v>20</ns0:v>
      </ns0:c>
      <ns0:c r="V1" s="10" t="s">
        <ns0:v>21</ns0:v>
      </ns0:c>
      <ns0:c r="W1" s="10" t="s">
        <ns0:v>22</ns0:v>
      </ns0:c>
      <ns0:c r="X1" s="10" t="s">
        <ns0:v>23</ns0:v>
      </ns0:c>
      <ns0:c r="Y1" s="10" t="s">
        <ns0:v>24</ns0:v>
      </ns0:c>
      <ns0:c r="Z1" s="10" t="s">
        <ns0:v>25</ns0:v>
      </ns0:c>
      <ns0:c r="AA1" s="10" t="s">
        <ns0:v>26</ns0:v>
      </ns0:c>
      <ns0:c r="AB1" s="10" t="s">
        <ns0:v>27</ns0:v>
      </ns0:c>
      <ns0:c r="AC1"/>
      <ns0:c r="AD1" s="97"/>
      <ns0:c r="AE1" s="98"/>
      <ns0:c r="AF1" s="98"/>
      <ns0:c r="AG1" s="98"/>
      <ns0:c r="AH1" s="98"/>
      <ns0:c r="AI1" s="98"/>
      <ns0:c r="AJ1" s="98"/>
      <ns0:c r="AK1" s="98"/>
      <ns0:c r="AL1" s="98"/>
      <ns0:c r="AM1" s="98"/>
      <ns0:c r="AN1" s="98"/>
      <ns0:c r="AO1" s="98"/>
      <ns0:c r="AP1" s="98"/>
      <ns0:c r="AQ1" s="98"/>
      <ns0:c r="AR1" s="98"/>
      <ns0:c r="AS1" s="98"/>
      <ns0:c r="AT1" s="98"/>
      <ns0:c r="AU1" s="98"/>
      <ns0:c r="AV1" s="98"/>
      <ns0:c r="AW1" s="98"/>
      <ns0:c r="AX1" s="98"/>
      <ns0:c r="AY1" s="98"/>
      <ns0:c r="AZ1" s="98"/>
      <ns0:c r="BA1" s="98"/>
    </ns0:row>
    <ns0:row r="2" ht="20" customHeight="1" spans="1:53">
      <ns0:c r="A2" s="13">
        <ns0:v>1</ns0:v>
      </ns0:c>
      <ns0:c r="B2" s="92">
        <ns0:f>C2</ns0:f>
        <ns0:v>45931</ns0:v>
      </ns0:c>
      <ns0:c r="C2" s="93">
        <ns0:v>45931</ns0:v>
      </ns0:c>
      <ns0:c r="D2" s="94">
        <ns0:f>SUM(E2:AB2)</ns0:f>
        <ns0:v>20.77046</ns0:v>
      </ns0:c>
      <ns0:c r="E2" s="95">
        <ns0:v>1.2664</ns0:v>
      </ns0:c>
      <ns0:c r="F2" s="95">
        <ns0:v>1.18774</ns0:v>
      </ns0:c>
      <ns0:c r="G2" s="95">
        <ns0:v>1.24266</ns0:v>
      </ns0:c>
      <ns0:c r="H2" s="95">
        <ns0:v>1.23672</ns0:v>
      </ns0:c>
      <ns0:c r="I2" s="95">
        <ns0:v>1.15367</ns0:v>
      </ns0:c>
      <ns0:c r="J2" s="95">
        <ns0:v>1.04228</ns0:v>
      </ns0:c>
      <ns0:c r="K2" s="95">
        <ns0:v>0.93327</ns0:v>
      </ns0:c>
      <ns0:c r="L2" s="95">
        <ns0:v>0.66341</ns0:v>
      </ns0:c>
      <ns0:c r="M2" s="95">
        <ns0:v>0.68589</ns0:v>
      </ns0:c>
      <ns0:c r="N2" s="95">
        <ns0:v>0.78397</ns0:v>
      </ns0:c>
      <ns0:c r="O2" s="95">
        <ns0:v>0.94954</ns0:v>
      </ns0:c>
      <ns0:c r="P2" s="95">
        <ns0:v>0.93449</ns0:v>
      </ns0:c>
      <ns0:c r="Q2" s="95">
        <ns0:v>0.73847</ns0:v>
      </ns0:c>
      <ns0:c r="R2" s="95">
        <ns0:v>0.88078</ns0:v>
      </ns0:c>
      <ns0:c r="S2" s="95">
        <ns0:v>0.98988</ns0:v>
      </ns0:c>
      <ns0:c r="T2" s="95">
        <ns0:v>1.00992</ns0:v>
      </ns0:c>
      <ns0:c r="U2" s="95">
        <ns0:v>0.9678</ns0:v>
      </ns0:c>
      <ns0:c r="V2" s="95">
        <ns0:v>0.87166</ns0:v>
      </ns0:c>
      <ns0:c r="W2" s="95">
        <ns0:v>0.66245</ns0:v>
      </ns0:c>
      <ns0:c r="X2" s="95">
        <ns0:v>0.6359</ns0:v>
      </ns0:c>
      <ns0:c r="Y2" s="95">
        <ns0:v>0.62194</ns0:v>
      </ns0:c>
      <ns0:c r="Z2" s="95">
        <ns0:v>0.54841</ns0:v>
      </ns0:c>
      <ns0:c r="AA2" s="95">
        <ns0:v>0.41793</ns0:v>
      </ns0:c>
      <ns0:c r="AB2" s="95">
        <ns0:v>0.34528</ns0:v>
      </ns0:c>
      <ns0:c r="AC2"/>
      <ns0:c r="AD2" s="99"/>
      <ns0:c r="AE2" s="99"/>
      <ns0:c r="AF2" s="99"/>
      <ns0:c r="AG2" s="99"/>
      <ns0:c r="AH2" s="99"/>
      <ns0:c r="AI2" s="99"/>
      <ns0:c r="AJ2" s="99"/>
      <ns0:c r="AK2" s="99"/>
      <ns0:c r="AL2" s="99"/>
      <ns0:c r="AM2" s="99"/>
      <ns0:c r="AN2" s="99"/>
      <ns0:c r="AO2" s="99"/>
      <ns0:c r="AP2" s="99"/>
      <ns0:c r="AQ2" s="99"/>
      <ns0:c r="AR2" s="99"/>
      <ns0:c r="AS2" s="99"/>
      <ns0:c r="AT2" s="99"/>
      <ns0:c r="AU2" s="99"/>
      <ns0:c r="AV2" s="99"/>
      <ns0:c r="AW2" s="99"/>
      <ns0:c r="AX2" s="99"/>
      <ns0:c r="AY2" s="99"/>
      <ns0:c r="AZ2" s="99"/>
      <ns0:c r="BA2" s="99"/>
    </ns0:row>
    <ns0:row r="3" ht="20" customHeight="1" spans="1:53">
      <ns0:c r="A3" s="13">
        <ns0:v>2</ns0:v>
      </ns0:c>
      <ns0:c r="B3" s="92">
        <ns0:f>C3</ns0:f>
        <ns0:v>45932</ns0:v>
      </ns0:c>
      <ns0:c r="C3" s="93">
        <ns0:v>45932</ns0:v>
      </ns0:c>
      <ns0:c r="D3" s="94">
        <ns0:f>SUM(E3:AB3)</ns0:f>
        <ns0:v>21.70481</ns0:v>
      </ns0:c>
      <ns0:c r="E3" s="95">
        <ns0:v>0.29893</ns0:v>
      </ns0:c>
      <ns0:c r="F3" s="95">
        <ns0:v>0.30473</ns0:v>
      </ns0:c>
      <ns0:c r="G3" s="95">
        <ns0:v>0.24734</ns0:v>
      </ns0:c>
      <ns0:c r="H3" s="95">
        <ns0:v>0.25046</ns0:v>
      </ns0:c>
      <ns0:c r="I3" s="95">
        <ns0:v>0.25572</ns0:v>
      </ns0:c>
      <ns0:c r="J3" s="95">
        <ns0:v>0.25163</ns0:v>
      </ns0:c>
      <ns0:c r="K3" s="95">
        <ns0:v>0.28264</ns0:v>
      </ns0:c>
      <ns0:c r="L3" s="95">
        <ns0:v>0.33616</ns0:v>
      </ns0:c>
      <ns0:c r="M3" s="95">
        <ns0:v>1.28602</ns0:v>
      </ns0:c>
      <ns0:c r="N3" s="95">
        <ns0:v>1.43732</ns0:v>
      </ns0:c>
      <ns0:c r="O3" s="95">
        <ns0:v>1.57358</ns0:v>
      </ns0:c>
      <ns0:c r="P3" s="95">
        <ns0:v>1.43899</ns0:v>
      </ns0:c>
      <ns0:c r="Q3" s="95">
        <ns0:v>1.20335</ns0:v>
      </ns0:c>
      <ns0:c r="R3" s="95">
        <ns0:v>1.35331</ns0:v>
      </ns0:c>
      <ns0:c r="S3" s="95">
        <ns0:v>1.62547</ns0:v>
      </ns0:c>
      <ns0:c r="T3" s="95">
        <ns0:v>1.58249</ns0:v>
      </ns0:c>
      <ns0:c r="U3" s="95">
        <ns0:v>1.56137</ns0:v>
      </ns0:c>
      <ns0:c r="V3" s="95">
        <ns0:v>1.43147</ns0:v>
      </ns0:c>
      <ns0:c r="W3" s="95">
        <ns0:v>0.96805</ns0:v>
      </ns0:c>
      <ns0:c r="X3" s="95">
        <ns0:v>0.98906</ns0:v>
      </ns0:c>
      <ns0:c r="Y3" s="95">
        <ns0:v>0.94549</ns0:v>
      </ns0:c>
      <ns0:c r="Z3" s="95">
        <ns0:v>0.78499</ns0:v>
      </ns0:c>
      <ns0:c r="AA3" s="95">
        <ns0:v>0.66771</ns0:v>
      </ns0:c>
      <ns0:c r="AB3" s="95">
        <ns0:v>0.62853</ns0:v>
      </ns0:c>
      <ns0:c r="AC3" s="100"/>
      <ns0:c r="AD3" s="101"/>
      <ns0:c r="AE3" s="101"/>
      <ns0:c r="AF3" s="101"/>
      <ns0:c r="AG3" s="101"/>
      <ns0:c r="AH3" s="101"/>
      <ns0:c r="AI3" s="101"/>
      <ns0:c r="AJ3" s="101"/>
      <ns0:c r="AK3" s="101"/>
      <ns0:c r="AL3" s="101"/>
      <ns0:c r="AM3" s="101"/>
      <ns0:c r="AN3" s="101"/>
      <ns0:c r="AO3" s="101"/>
      <ns0:c r="AP3" s="101"/>
      <ns0:c r="AQ3" s="101"/>
      <ns0:c r="AR3" s="101"/>
      <ns0:c r="AS3" s="101"/>
      <ns0:c r="AT3" s="101"/>
      <ns0:c r="AU3" s="101"/>
      <ns0:c r="AV3" s="101"/>
      <ns0:c r="AW3" s="101"/>
      <ns0:c r="AX3" s="101"/>
      <ns0:c r="AY3" s="101"/>
      <ns0:c r="AZ3" s="101"/>
      <ns0:c r="BA3" s="101"/>
    </ns0:row>
    <ns0:row r="4" ht="20" customHeight="1" spans="1:53">
      <ns0:c r="A4" s="13">
        <ns0:v>3</ns0:v>
      </ns0:c>
      <ns0:c r="B4" s="92">
        <ns0:f>C4</ns0:f>
        <ns0:v>45933</ns0:v>
      </ns0:c>
      <ns0:c r="C4" s="93">
        <ns0:v>45933</ns0:v>
      </ns0:c>
      <ns0:c r="D4" s="94">
        <ns0:f>SUM(E4:AB4)</ns0:f>
        <ns0:v>31.89282</ns0:v>
      </ns0:c>
      <ns0:c r="E4" s="95">
        <ns0:v>0.6789</ns0:v>
      </ns0:c>
      <ns0:c r="F4" s="95">
        <ns0:v>0.68611</ns0:v>
      </ns0:c>
      <ns0:c r="G4" s="95">
        <ns0:v>0.66885</ns0:v>
      </ns0:c>
      <ns0:c r="H4" s="95">
        <ns0:v>0.57192</ns0:v>
      </ns0:c>
      <ns0:c r="I4" s="95">
        <ns0:v>0.59829</ns0:v>
      </ns0:c>
      <ns0:c r="J4" s="95">
        <ns0:v>0.55767</ns0:v>
      </ns0:c>
      <ns0:c r="K4" s="95">
        <ns0:v>0.56011</ns0:v>
      </ns0:c>
      <ns0:c r="L4" s="95">
        <ns0:v>0.63879</ns0:v>
      </ns0:c>
      <ns0:c r="M4" s="95">
        <ns0:v>1.683</ns0:v>
      </ns0:c>
      <ns0:c r="N4" s="95">
        <ns0:v>1.88571</ns0:v>
      </ns0:c>
      <ns0:c r="O4" s="95">
        <ns0:v>2.01355</ns0:v>
      </ns0:c>
      <ns0:c r="P4" s="95">
        <ns0:v>1.99894</ns0:v>
      </ns0:c>
      <ns0:c r="Q4" s="95">
        <ns0:v>1.46709</ns0:v>
      </ns0:c>
      <ns0:c r="R4" s="95">
        <ns0:v>1.77157</ns0:v>
      </ns0:c>
      <ns0:c r="S4" s="95">
        <ns0:v>2.23428</ns0:v>
      </ns0:c>
      <ns0:c r="T4" s="95">
        <ns0:v>2.2495</ns0:v>
      </ns0:c>
      <ns0:c r="U4" s="95">
        <ns0:v>2.20547</ns0:v>
      </ns0:c>
      <ns0:c r="V4" s="95">
        <ns0:v>2.02151</ns0:v>
      </ns0:c>
      <ns0:c r="W4" s="95">
        <ns0:v>1.52818</ns0:v>
      </ns0:c>
      <ns0:c r="X4" s="95">
        <ns0:v>1.57691</ns0:v>
      </ns0:c>
      <ns0:c r="Y4" s="95">
        <ns0:v>1.40141</ns0:v>
      </ns0:c>
      <ns0:c r="Z4" s="95">
        <ns0:v>1.08632</ns0:v>
      </ns0:c>
      <ns0:c r="AA4" s="95">
        <ns0:v>0.92214</ns0:v>
      </ns0:c>
      <ns0:c r="AB4" s="95">
        <ns0:v>0.8866</ns0:v>
      </ns0:c>
      <ns0:c r="AC4"/>
      <ns0:c r="AD4" s="101"/>
      <ns0:c r="AE4" s="101"/>
      <ns0:c r="AF4" s="101"/>
      <ns0:c r="AG4" s="101"/>
      <ns0:c r="AH4" s="101"/>
      <ns0:c r="AI4" s="101"/>
      <ns0:c r="AJ4" s="101"/>
      <ns0:c r="AK4" s="101"/>
      <ns0:c r="AL4" s="101"/>
      <ns0:c r="AM4" s="101"/>
      <ns0:c r="AN4" s="101"/>
      <ns0:c r="AO4" s="101"/>
      <ns0:c r="AP4" s="101"/>
      <ns0:c r="AQ4" s="101"/>
      <ns0:c r="AR4" s="101"/>
      <ns0:c r="AS4" s="101"/>
      <ns0:c r="AT4" s="101"/>
      <ns0:c r="AU4" s="101"/>
      <ns0:c r="AV4" s="101"/>
      <ns0:c r="AW4" s="101"/>
      <ns0:c r="AX4" s="101"/>
      <ns0:c r="AY4" s="101"/>
      <ns0:c r="AZ4" s="101"/>
      <ns0:c r="BA4" s="101"/>
    </ns0:row>
    <ns0:row r="5" ht="20" customHeight="1" spans="1:53">
      <ns0:c r="A5" s="13">
        <ns0:v>4</ns0:v>
      </ns0:c>
      <ns0:c r="B5" s="92">
        <ns0:f>C5</ns0:f>
        <ns0:v>45934</ns0:v>
      </ns0:c>
      <ns0:c r="C5" s="93">
        <ns0:v>45934</ns0:v>
      </ns0:c>
      <ns0:c r="D5" s="94">
        <ns0:f>SUM(E5:AB5)</ns0:f>
        <ns0:v>41.35415</ns0:v>
      </ns0:c>
      <ns0:c r="E5" s="95">
        <ns0:v>0.89318</ns0:v>
      </ns0:c>
      <ns0:c r="F5" s="95">
        <ns0:v>0.8077</ns0:v>
      </ns0:c>
      <ns0:c r="G5" s="95">
        <ns0:v>0.8703</ns0:v>
      </ns0:c>
      <ns0:c r="H5" s="95">
        <ns0:v>0.73245</ns0:v>
      </ns0:c>
      <ns0:c r="I5" s="95">
        <ns0:v>0.72095</ns0:v>
      </ns0:c>
      <ns0:c r="J5" s="95">
        <ns0:v>0.68582</ns0:v>
      </ns0:c>
      <ns0:c r="K5" s="95">
        <ns0:v>0.68442</ns0:v>
      </ns0:c>
      <ns0:c r="L5" s="95">
        <ns0:v>0.95431</ns0:v>
      </ns0:c>
      <ns0:c r="M5" s="95">
        <ns0:v>2.29083</ns0:v>
      </ns0:c>
      <ns0:c r="N5" s="95">
        <ns0:v>2.57318</ns0:v>
      </ns0:c>
      <ns0:c r="O5" s="95">
        <ns0:v>2.77514</ns0:v>
      </ns0:c>
      <ns0:c r="P5" s="95">
        <ns0:v>2.68983</ns0:v>
      </ns0:c>
      <ns0:c r="Q5" s="95">
        <ns0:v>2.04478</ns0:v>
      </ns0:c>
      <ns0:c r="R5" s="95">
        <ns0:v>2.20291</ns0:v>
      </ns0:c>
      <ns0:c r="S5" s="95">
        <ns0:v>3.03991</ns0:v>
      </ns0:c>
      <ns0:c r="T5" s="95">
        <ns0:v>2.90944</ns0:v>
      </ns0:c>
      <ns0:c r="U5" s="95">
        <ns0:v>2.9804</ns0:v>
      </ns0:c>
      <ns0:c r="V5" s="95">
        <ns0:v>2.74497</ns0:v>
      </ns0:c>
      <ns0:c r="W5" s="95">
        <ns0:v>1.79068</ns0:v>
      </ns0:c>
      <ns0:c r="X5" s="95">
        <ns0:v>1.72979</ns0:v>
      </ns0:c>
      <ns0:c r="Y5" s="95">
        <ns0:v>1.60424</ns0:v>
      </ns0:c>
      <ns0:c r="Z5" s="95">
        <ns0:v>1.33198</ns0:v>
      </ns0:c>
      <ns0:c r="AA5" s="95">
        <ns0:v>1.16769</ns0:v>
      </ns0:c>
      <ns0:c r="AB5" s="95">
        <ns0:v>1.12925</ns0:v>
      </ns0:c>
      <ns0:c r="AC5"/>
      <ns0:c r="AD5" s="102"/>
      <ns0:c r="AE5" s="102"/>
      <ns0:c r="AF5" s="102"/>
      <ns0:c r="AG5" s="102"/>
      <ns0:c r="AH5" s="102"/>
      <ns0:c r="AI5" s="102"/>
      <ns0:c r="AJ5" s="102"/>
      <ns0:c r="AK5" s="102"/>
      <ns0:c r="AL5" s="102"/>
      <ns0:c r="AM5" s="102"/>
      <ns0:c r="AN5" s="102"/>
      <ns0:c r="AO5" s="102"/>
      <ns0:c r="AP5" s="102"/>
      <ns0:c r="AQ5" s="102"/>
      <ns0:c r="AR5" s="102"/>
      <ns0:c r="AS5" s="102"/>
      <ns0:c r="AT5" s="102"/>
      <ns0:c r="AU5" s="102"/>
      <ns0:c r="AV5" s="102"/>
      <ns0:c r="AW5" s="102"/>
      <ns0:c r="AX5" s="102"/>
      <ns0:c r="AY5" s="102"/>
      <ns0:c r="AZ5" s="102"/>
      <ns0:c r="BA5" s="102"/>
    </ns0:row>
    <ns0:row r="6" ht="20" customHeight="1" spans="1:53">
      <ns0:c r="A6" s="13">
        <ns0:v>5</ns0:v>
      </ns0:c>
      <ns0:c r="B6" s="92">
        <ns0:f>C6</ns0:f>
        <ns0:v>45935</ns0:v>
      </ns0:c>
      <ns0:c r="C6" s="93">
        <ns0:v>45935</ns0:v>
      </ns0:c>
      <ns0:c r="D6" s="94">
        <ns0:f>SUM(E6:AB6)</ns0:f>
        <ns0:v>38.84321</ns0:v>
      </ns0:c>
      <ns0:c r="E6" s="95">
        <ns0:v>1.03426</ns0:v>
      </ns0:c>
      <ns0:c r="F6" s="95">
        <ns0:v>1.08078</ns0:v>
      </ns0:c>
      <ns0:c r="G6" s="95">
        <ns0:v>1.04938</ns0:v>
      </ns0:c>
      <ns0:c r="H6" s="95">
        <ns0:v>0.99695</ns0:v>
      </ns0:c>
      <ns0:c r="I6" s="95">
        <ns0:v>1.04401</ns0:v>
      </ns0:c>
      <ns0:c r="J6" s="95">
        <ns0:v>0.996</ns0:v>
      </ns0:c>
      <ns0:c r="K6" s="95">
        <ns0:v>0.9035</ns0:v>
      </ns0:c>
      <ns0:c r="L6" s="95">
        <ns0:v>1.02736</ns0:v>
      </ns0:c>
      <ns0:c r="M6" s="95">
        <ns0:v>2.17305</ns0:v>
      </ns0:c>
      <ns0:c r="N6" s="95">
        <ns0:v>2.39446</ns0:v>
      </ns0:c>
      <ns0:c r="O6" s="95">
        <ns0:v>2.33722</ns0:v>
      </ns0:c>
      <ns0:c r="P6" s="95">
        <ns0:v>2.40218</ns0:v>
      </ns0:c>
      <ns0:c r="Q6" s="95">
        <ns0:v>2.16227</ns0:v>
      </ns0:c>
      <ns0:c r="R6" s="95">
        <ns0:v>2.11782</ns0:v>
      </ns0:c>
      <ns0:c r="S6" s="95">
        <ns0:v>2.66808</ns0:v>
      </ns0:c>
      <ns0:c r="T6" s="95">
        <ns0:v>2.58669</ns0:v>
      </ns0:c>
      <ns0:c r="U6" s="95">
        <ns0:v>2.33102</ns0:v>
      </ns0:c>
      <ns0:c r="V6" s="95">
        <ns0:v>2.13753</ns0:v>
      </ns0:c>
      <ns0:c r="W6" s="95">
        <ns0:v>1.48516</ns0:v>
      </ns0:c>
      <ns0:c r="X6" s="95">
        <ns0:v>1.30007</ns0:v>
      </ns0:c>
      <ns0:c r="Y6" s="95">
        <ns0:v>1.18835</ns0:v>
      </ns0:c>
      <ns0:c r="Z6" s="95">
        <ns0:v>1.11112</ns0:v>
      </ns0:c>
      <ns0:c r="AA6" s="95">
        <ns0:v>1.1611</ns0:v>
      </ns0:c>
      <ns0:c r="AB6" s="95">
        <ns0:v>1.15485</ns0:v>
      </ns0:c>
      <ns0:c r="AC6"/>
      <ns0:c r="AD6" s="102"/>
      <ns0:c r="AE6" s="102"/>
      <ns0:c r="AF6" s="102"/>
      <ns0:c r="AG6" s="102"/>
      <ns0:c r="AH6" s="102"/>
      <ns0:c r="AI6" s="102"/>
      <ns0:c r="AJ6" s="102"/>
      <ns0:c r="AK6" s="102"/>
      <ns0:c r="AL6" s="102"/>
      <ns0:c r="AM6" s="102"/>
      <ns0:c r="AN6" s="102"/>
      <ns0:c r="AO6" s="102"/>
      <ns0:c r="AP6" s="102"/>
      <ns0:c r="AQ6" s="102"/>
      <ns0:c r="AR6" s="102"/>
      <ns0:c r="AS6" s="102"/>
      <ns0:c r="AT6" s="102"/>
      <ns0:c r="AU6" s="102"/>
      <ns0:c r="AV6" s="102"/>
      <ns0:c r="AW6" s="102"/>
      <ns0:c r="AX6" s="102"/>
      <ns0:c r="AY6" s="102"/>
      <ns0:c r="AZ6" s="102"/>
      <ns0:c r="BA6" s="102"/>
    </ns0:row>
    <ns0:row r="7" ht="20" customHeight="1" spans="1:53">
      <ns0:c r="A7" s="13">
        <ns0:v>6</ns0:v>
      </ns0:c>
      <ns0:c r="B7" s="92">
        <ns0:f>C7</ns0:f>
        <ns0:v>45936</ns0:v>
      </ns0:c>
      <ns0:c r="C7" s="93">
        <ns0:v>45936</ns0:v>
      </ns0:c>
      <ns0:c r="D7" s="94">
        <ns0:f>SUM(E7:AB7)</ns0:f>
        <ns0:v>20.52011</ns0:v>
      </ns0:c>
      <ns0:c r="E7" s="95">
        <ns0:v>1.1381</ns0:v>
      </ns0:c>
      <ns0:c r="F7" s="95">
        <ns0:v>1.18915</ns0:v>
      </ns0:c>
      <ns0:c r="G7" s="95">
        <ns0:v>1.15745</ns0:v>
      </ns0:c>
      <ns0:c r="H7" s="95">
        <ns0:v>1.11352</ns0:v>
      </ns0:c>
      <ns0:c r="I7" s="95">
        <ns0:v>1.13122</ns0:v>
      </ns0:c>
      <ns0:c r="J7" s="95">
        <ns0:v>1.10322</ns0:v>
      </ns0:c>
      <ns0:c r="K7" s="95">
        <ns0:v>0.92006</ns0:v>
      </ns0:c>
      <ns0:c r="L7" s="95">
        <ns0:v>0.76688</ns0:v>
      </ns0:c>
      <ns0:c r="M7" s="95">
        <ns0:v>0.6714</ns0:v>
      </ns0:c>
      <ns0:c r="N7" s="95">
        <ns0:v>0.72899</ns0:v>
      </ns0:c>
      <ns0:c r="O7" s="95">
        <ns0:v>0.91187</ns0:v>
      </ns0:c>
      <ns0:c r="P7" s="95">
        <ns0:v>0.99933</ns0:v>
      </ns0:c>
      <ns0:c r="Q7" s="95">
        <ns0:v>0.94385</ns0:v>
      </ns0:c>
      <ns0:c r="R7" s="95">
        <ns0:v>0.92496</ns0:v>
      </ns0:c>
      <ns0:c r="S7" s="95">
        <ns0:v>0.94664</ns0:v>
      </ns0:c>
      <ns0:c r="T7" s="95">
        <ns0:v>0.95852</ns0:v>
      </ns0:c>
      <ns0:c r="U7" s="95">
        <ns0:v>0.97884</ns0:v>
      </ns0:c>
      <ns0:c r="V7" s="95">
        <ns0:v>0.7634</ns0:v>
      </ns0:c>
      <ns0:c r="W7" s="95">
        <ns0:v>0.59687</ns0:v>
      </ns0:c>
      <ns0:c r="X7" s="95">
        <ns0:v>0.51345</ns0:v>
      </ns0:c>
      <ns0:c r="Y7" s="95">
        <ns0:v>0.53486</ns0:v>
      </ns0:c>
      <ns0:c r="Z7" s="95">
        <ns0:v>0.52975</ns0:v>
      </ns0:c>
      <ns0:c r="AA7" s="95">
        <ns0:v>0.50346</ns0:v>
      </ns0:c>
      <ns0:c r="AB7" s="95">
        <ns0:v>0.49432</ns0:v>
      </ns0:c>
      <ns0:c r="AC7"/>
      <ns0:c r="AD7" s="100"/>
      <ns0:c r="AE7" s="100"/>
      <ns0:c r="AF7" s="100"/>
      <ns0:c r="AG7" s="100"/>
      <ns0:c r="AH7" s="100"/>
      <ns0:c r="AI7" s="100"/>
      <ns0:c r="AJ7" s="100"/>
      <ns0:c r="AK7" s="100"/>
      <ns0:c r="AL7" s="100"/>
      <ns0:c r="AM7" s="100"/>
      <ns0:c r="AN7" s="100"/>
      <ns0:c r="AO7" s="100"/>
      <ns0:c r="AP7" s="100"/>
      <ns0:c r="AQ7" s="100"/>
      <ns0:c r="AR7" s="100"/>
      <ns0:c r="AS7" s="100"/>
      <ns0:c r="AT7" s="100"/>
      <ns0:c r="AU7" s="100"/>
      <ns0:c r="AV7" s="100"/>
      <ns0:c r="AW7" s="100"/>
      <ns0:c r="AX7" s="100"/>
      <ns0:c r="AY7" s="100"/>
      <ns0:c r="AZ7" s="100"/>
      <ns0:c r="BA7" s="100"/>
    </ns0:row>
    <ns0:row r="8" ht="20" customHeight="1" spans="1:53">
      <ns0:c r="A8" s="13">
        <ns0:v>7</ns0:v>
      </ns0:c>
      <ns0:c r="B8" s="92">
        <ns0:f>C8</ns0:f>
        <ns0:v>45937</ns0:v>
      </ns0:c>
      <ns0:c r="C8" s="93">
        <ns0:v>45937</ns0:v>
      </ns0:c>
      <ns0:c r="D8" s="94">
        <ns0:f>SUM(E8:AB8)</ns0:f>
        <ns0:v>51.85555</ns0:v>
      </ns0:c>
      <ns0:c r="E8" s="95">
        <ns0:v>0.59029</ns0:v>
      </ns0:c>
      <ns0:c r="F8" s="95">
        <ns0:v>0.46305</ns0:v>
      </ns0:c>
      <ns0:c r="G8" s="95">
        <ns0:v>0.39333</ns0:v>
      </ns0:c>
      <ns0:c r="H8" s="95">
        <ns0:v>0.43113</ns0:v>
      </ns0:c>
      <ns0:c r="I8" s="95">
        <ns0:v>0.39638</ns0:v>
      </ns0:c>
      <ns0:c r="J8" s="95">
        <ns0:v>0.45065</ns0:v>
      </ns0:c>
      <ns0:c r="K8" s="95">
        <ns0:v>0.59085</ns0:v>
      </ns0:c>
      <ns0:c r="L8" s="95">
        <ns0:v>0.88929</ns0:v>
      </ns0:c>
      <ns0:c r="M8" s="95">
        <ns0:v>2.91122</ns0:v>
      </ns0:c>
      <ns0:c r="N8" s="95">
        <ns0:v>3.3464</ns0:v>
      </ns0:c>
      <ns0:c r="O8" s="95">
        <ns0:v>3.35975</ns0:v>
      </ns0:c>
      <ns0:c r="P8" s="95">
        <ns0:v>3.53455</ns0:v>
      </ns0:c>
      <ns0:c r="Q8" s="95">
        <ns0:v>2.85483</ns0:v>
      </ns0:c>
      <ns0:c r="R8" s="95">
        <ns0:v>3.05624</ns0:v>
      </ns0:c>
      <ns0:c r="S8" s="95">
        <ns0:v>3.91172</ns0:v>
      </ns0:c>
      <ns0:c r="T8" s="95">
        <ns0:v>3.796</ns0:v>
      </ns0:c>
      <ns0:c r="U8" s="95">
        <ns0:v>3.85697</ns0:v>
      </ns0:c>
      <ns0:c r="V8" s="95">
        <ns0:v>3.77677</ns0:v>
      </ns0:c>
      <ns0:c r="W8" s="95">
        <ns0:v>2.9354</ns0:v>
      </ns0:c>
      <ns0:c r="X8" s="95">
        <ns0:v>2.84298</ns0:v>
      </ns0:c>
      <ns0:c r="Y8" s="95">
        <ns0:v>2.39666</ns0:v>
      </ns0:c>
      <ns0:c r="Z8" s="95">
        <ns0:v>1.91296</ns0:v>
      </ns0:c>
      <ns0:c r="AA8" s="95">
        <ns0:v>1.58881</ns0:v>
      </ns0:c>
      <ns0:c r="AB8" s="95">
        <ns0:v>1.56932</ns0:v>
      </ns0:c>
      <ns0:c r="AC8"/>
      <ns0:c r="AD8" s="100"/>
      <ns0:c r="AE8" s="100"/>
      <ns0:c r="AF8" s="100"/>
      <ns0:c r="AG8" s="100"/>
      <ns0:c r="AH8" s="100"/>
      <ns0:c r="AI8" s="100"/>
      <ns0:c r="AJ8" s="100"/>
      <ns0:c r="AK8" s="100"/>
      <ns0:c r="AL8" s="100"/>
      <ns0:c r="AM8" s="100"/>
      <ns0:c r="AN8" s="100"/>
      <ns0:c r="AO8" s="100"/>
      <ns0:c r="AP8" s="100"/>
      <ns0:c r="AQ8" s="100"/>
      <ns0:c r="AR8" s="100"/>
      <ns0:c r="AS8" s="100"/>
      <ns0:c r="AT8" s="100"/>
      <ns0:c r="AU8" s="100"/>
      <ns0:c r="AV8" s="100"/>
      <ns0:c r="AW8" s="100"/>
      <ns0:c r="AX8" s="100"/>
      <ns0:c r="AY8" s="100"/>
      <ns0:c r="AZ8" s="100"/>
      <ns0:c r="BA8" s="100"/>
    </ns0:row>
    <ns0:row r="9" ht="20" customHeight="1" spans="1:53">
      <ns0:c r="A9" s="13">
        <ns0:v>8</ns0:v>
      </ns0:c>
      <ns0:c r="B9" s="92">
        <ns0:f>C9</ns0:f>
        <ns0:v>45938</ns0:v>
      </ns0:c>
      <ns0:c r="C9" s="93">
        <ns0:v>45938</ns0:v>
      </ns0:c>
      <ns0:c r="D9" s="94">
        <ns0:f>SUM(E9:AB9)</ns0:f>
        <ns0:v>70.64122</ns0:v>
      </ns0:c>
      <ns0:c r="E9" s="95">
        <ns0:v>1.49164</ns0:v>
      </ns0:c>
      <ns0:c r="F9" s="95">
        <ns0:v>1.50493</ns0:v>
      </ns0:c>
      <ns0:c r="G9" s="95">
        <ns0:v>1.49015</ns0:v>
      </ns0:c>
      <ns0:c r="H9" s="95">
        <ns0:v>1.46299</ns0:v>
      </ns0:c>
      <ns0:c r="I9" s="95">
        <ns0:v>1.42022</ns0:v>
      </ns0:c>
      <ns0:c r="J9" s="95">
        <ns0:v>1.46684</ns0:v>
      </ns0:c>
      <ns0:c r="K9" s="95">
        <ns0:v>1.37888</ns0:v>
      </ns0:c>
      <ns0:c r="L9" s="95">
        <ns0:v>1.80363</ns0:v>
      </ns0:c>
      <ns0:c r="M9" s="95">
        <ns0:v>3.90932</ns0:v>
      </ns0:c>
      <ns0:c r="N9" s="95">
        <ns0:v>4.15694</ns0:v>
      </ns0:c>
      <ns0:c r="O9" s="95">
        <ns0:v>4.1299</ns0:v>
      </ns0:c>
      <ns0:c r="P9" s="95">
        <ns0:v>4.01119</ns0:v>
      </ns0:c>
      <ns0:c r="Q9" s="95">
        <ns0:v>3.21231</ns0:v>
      </ns0:c>
      <ns0:c r="R9" s="95">
        <ns0:v>3.60306</ns0:v>
      </ns0:c>
      <ns0:c r="S9" s="95">
        <ns0:v>4.66636</ns0:v>
      </ns0:c>
      <ns0:c r="T9" s="95">
        <ns0:v>4.6259</ns0:v>
      </ns0:c>
      <ns0:c r="U9" s="95">
        <ns0:v>4.76109</ns0:v>
      </ns0:c>
      <ns0:c r="V9" s="95">
        <ns0:v>4.34157</ns0:v>
      </ns0:c>
      <ns0:c r="W9" s="95">
        <ns0:v>3.73818</ns0:v>
      </ns0:c>
      <ns0:c r="X9" s="95">
        <ns0:v>3.71584</ns0:v>
      </ns0:c>
      <ns0:c r="Y9" s="95">
        <ns0:v>3.07339</ns0:v>
      </ns0:c>
      <ns0:c r="Z9" s="95">
        <ns0:v>2.65643</ns0:v>
      </ns0:c>
      <ns0:c r="AA9" s="95">
        <ns0:v>2.11311</ns0:v>
      </ns0:c>
      <ns0:c r="AB9" s="95">
        <ns0:v>1.90735</ns0:v>
      </ns0:c>
      <ns0:c r="AC9"/>
      <ns0:c r="AD9" s="99"/>
      <ns0:c r="AE9" s="99"/>
      <ns0:c r="AF9" s="99"/>
      <ns0:c r="AG9" s="99"/>
      <ns0:c r="AH9" s="99"/>
      <ns0:c r="AI9" s="99"/>
      <ns0:c r="AJ9" s="99"/>
      <ns0:c r="AK9" s="99"/>
      <ns0:c r="AL9" s="99"/>
      <ns0:c r="AM9" s="99"/>
      <ns0:c r="AN9" s="99"/>
      <ns0:c r="AO9" s="99"/>
      <ns0:c r="AP9" s="99"/>
      <ns0:c r="AQ9" s="99"/>
      <ns0:c r="AR9" s="99"/>
      <ns0:c r="AS9" s="99"/>
      <ns0:c r="AT9" s="99"/>
      <ns0:c r="AU9" s="99"/>
      <ns0:c r="AV9" s="99"/>
      <ns0:c r="AW9" s="99"/>
      <ns0:c r="AX9" s="99"/>
      <ns0:c r="AY9" s="99"/>
      <ns0:c r="AZ9" s="99"/>
      <ns0:c r="BA9" s="99"/>
    </ns0:row>
    <ns0:row r="10" ht="20" customHeight="1" spans="1:53">
      <ns0:c r="A10" s="13">
        <ns0:v>9</ns0:v>
      </ns0:c>
      <ns0:c r="B10" s="92">
        <ns0:f>C10</ns0:f>
        <ns0:v>45939</ns0:v>
      </ns0:c>
      <ns0:c r="C10" s="93">
        <ns0:v>45939</ns0:v>
      </ns0:c>
      <ns0:c r="D10" s="94">
        <ns0:f>SUM(E10:AB10)</ns0:f>
        <ns0:v>76.25156</ns0:v>
      </ns0:c>
      <ns0:c r="E10" s="95">
        <ns0:v>1.67031</ns0:v>
      </ns0:c>
      <ns0:c r="F10" s="95">
        <ns0:v>1.69653</ns0:v>
      </ns0:c>
      <ns0:c r="G10" s="95">
        <ns0:v>1.66822</ns0:v>
      </ns0:c>
      <ns0:c r="H10" s="95">
        <ns0:v>1.63995</ns0:v>
      </ns0:c>
      <ns0:c r="I10" s="95">
        <ns0:v>1.66311</ns0:v>
      </ns0:c>
      <ns0:c r="J10" s="95">
        <ns0:v>1.60603</ns0:v>
      </ns0:c>
      <ns0:c r="K10" s="95">
        <ns0:v>1.52792</ns0:v>
      </ns0:c>
      <ns0:c r="L10" s="95">
        <ns0:v>1.87559</ns0:v>
      </ns0:c>
      <ns0:c r="M10" s="95">
        <ns0:v>4.29728</ns0:v>
      </ns0:c>
      <ns0:c r="N10" s="95">
        <ns0:v>4.91414</ns0:v>
      </ns0:c>
      <ns0:c r="O10" s="95">
        <ns0:v>4.62009</ns0:v>
      </ns0:c>
      <ns0:c r="P10" s="95">
        <ns0:v>4.61254</ns0:v>
      </ns0:c>
      <ns0:c r="Q10" s="95">
        <ns0:v>3.35539</ns0:v>
      </ns0:c>
      <ns0:c r="R10" s="95">
        <ns0:v>4.15278</ns0:v>
      </ns0:c>
      <ns0:c r="S10" s="95">
        <ns0:v>5.09229</ns0:v>
      </ns0:c>
      <ns0:c r="T10" s="95">
        <ns0:v>4.83925</ns0:v>
      </ns0:c>
      <ns0:c r="U10" s="95">
        <ns0:v>4.93753</ns0:v>
      </ns0:c>
      <ns0:c r="V10" s="95">
        <ns0:v>4.65243</ns0:v>
      </ns0:c>
      <ns0:c r="W10" s="95">
        <ns0:v>3.71898</ns0:v>
      </ns0:c>
      <ns0:c r="X10" s="95">
        <ns0:v>3.75189</ns0:v>
      </ns0:c>
      <ns0:c r="Y10" s="95">
        <ns0:v>3.37906</ns0:v>
      </ns0:c>
      <ns0:c r="Z10" s="95">
        <ns0:v>2.68385</ns0:v>
      </ns0:c>
      <ns0:c r="AA10" s="95">
        <ns0:v>2.03409</ns0:v>
      </ns0:c>
      <ns0:c r="AB10" s="95">
        <ns0:v>1.86231</ns0:v>
      </ns0:c>
      <ns0:c r="AC10"/>
      <ns0:c r="AD10" s="101"/>
      <ns0:c r="AE10" s="101"/>
      <ns0:c r="AF10" s="101"/>
      <ns0:c r="AG10" s="101"/>
      <ns0:c r="AH10" s="101"/>
      <ns0:c r="AI10" s="101"/>
      <ns0:c r="AJ10" s="101"/>
      <ns0:c r="AK10" s="101"/>
      <ns0:c r="AL10" s="101"/>
      <ns0:c r="AM10" s="101"/>
      <ns0:c r="AN10" s="101"/>
      <ns0:c r="AO10" s="101"/>
      <ns0:c r="AP10" s="101"/>
      <ns0:c r="AQ10" s="101"/>
      <ns0:c r="AR10" s="101"/>
      <ns0:c r="AS10" s="101"/>
      <ns0:c r="AT10" s="101"/>
      <ns0:c r="AU10" s="101"/>
      <ns0:c r="AV10" s="101"/>
      <ns0:c r="AW10" s="101"/>
      <ns0:c r="AX10" s="101"/>
      <ns0:c r="AY10" s="101"/>
      <ns0:c r="AZ10" s="101"/>
      <ns0:c r="BA10" s="101"/>
    </ns0:row>
    <ns0:row r="11" ht="20" customHeight="1" spans="1:53">
      <ns0:c r="A11" s="13">
        <ns0:v>10</ns0:v>
      </ns0:c>
      <ns0:c r="B11" s="92">
        <ns0:f>C11</ns0:f>
        <ns0:v>45940</ns0:v>
      </ns0:c>
      <ns0:c r="C11" s="93">
        <ns0:v>45940</ns0:v>
      </ns0:c>
      <ns0:c r="D11" s="94">
        <ns0:f>SUM(E11:AB11)</ns0:f>
        <ns0:v>76.33316</ns0:v>
      </ns0:c>
      <ns0:c r="E11" s="95">
        <ns0:v>1.77645</ns0:v>
      </ns0:c>
      <ns0:c r="F11" s="95">
        <ns0:v>1.82855</ns0:v>
      </ns0:c>
      <ns0:c r="G11" s="95">
        <ns0:v>1.77759</ns0:v>
      </ns0:c>
      <ns0:c r="H11" s="95">
        <ns0:v>1.71229</ns0:v>
      </ns0:c>
      <ns0:c r="I11" s="95">
        <ns0:v>1.7126</ns0:v>
      </ns0:c>
      <ns0:c r="J11" s="95">
        <ns0:v>1.66514</ns0:v>
      </ns0:c>
      <ns0:c r="K11" s="95">
        <ns0:v>1.55681</ns0:v>
      </ns0:c>
      <ns0:c r="L11" s="95">
        <ns0:v>1.95757</ns0:v>
      </ns0:c>
      <ns0:c r="M11" s="95">
        <ns0:v>4.22734</ns0:v>
      </ns0:c>
      <ns0:c r="N11" s="95">
        <ns0:v>4.58681</ns0:v>
      </ns0:c>
      <ns0:c r="O11" s="95">
        <ns0:v>4.47061</ns0:v>
      </ns0:c>
      <ns0:c r="P11" s="95">
        <ns0:v>4.57372</ns0:v>
      </ns0:c>
      <ns0:c r="Q11" s="95">
        <ns0:v>3.4137</ns0:v>
      </ns0:c>
      <ns0:c r="R11" s="95">
        <ns0:v>3.97083</ns0:v>
      </ns0:c>
      <ns0:c r="S11" s="95">
        <ns0:v>4.82567</ns0:v>
      </ns0:c>
      <ns0:c r="T11" s="95">
        <ns0:v>4.68602</ns0:v>
      </ns0:c>
      <ns0:c r="U11" s="95">
        <ns0:v>4.83709</ns0:v>
      </ns0:c>
      <ns0:c r="V11" s="95">
        <ns0:v>4.56864</ns0:v>
      </ns0:c>
      <ns0:c r="W11" s="95">
        <ns0:v>3.85917</ns0:v>
      </ns0:c>
      <ns0:c r="X11" s="95">
        <ns0:v>4.00643</ns0:v>
      </ns0:c>
      <ns0:c r="Y11" s="95">
        <ns0:v>3.48924</ns0:v>
      </ns0:c>
      <ns0:c r="Z11" s="95">
        <ns0:v>2.76203</ns0:v>
      </ns0:c>
      <ns0:c r="AA11" s="95">
        <ns0:v>2.18129</ns0:v>
      </ns0:c>
      <ns0:c r="AB11" s="95">
        <ns0:v>1.88757</ns0:v>
      </ns0:c>
      <ns0:c r="AC11"/>
      <ns0:c r="AD11" s="101"/>
      <ns0:c r="AE11" s="101"/>
      <ns0:c r="AF11" s="101"/>
      <ns0:c r="AG11" s="101"/>
      <ns0:c r="AH11" s="101"/>
      <ns0:c r="AI11" s="101"/>
      <ns0:c r="AJ11" s="101"/>
      <ns0:c r="AK11" s="101"/>
      <ns0:c r="AL11" s="101"/>
      <ns0:c r="AM11" s="101"/>
      <ns0:c r="AN11" s="101"/>
      <ns0:c r="AO11" s="101"/>
      <ns0:c r="AP11" s="101"/>
      <ns0:c r="AQ11" s="101"/>
      <ns0:c r="AR11" s="101"/>
      <ns0:c r="AS11" s="101"/>
      <ns0:c r="AT11" s="101"/>
      <ns0:c r="AU11" s="101"/>
      <ns0:c r="AV11" s="101"/>
      <ns0:c r="AW11" s="101"/>
      <ns0:c r="AX11" s="101"/>
      <ns0:c r="AY11" s="101"/>
      <ns0:c r="AZ11" s="101"/>
      <ns0:c r="BA11" s="101"/>
    </ns0:row>
    <ns0:row r="12" ht="20" customHeight="1" spans="1:53">
      <ns0:c r="A12" s="13">
        <ns0:v>11</ns0:v>
      </ns0:c>
      <ns0:c r="B12" s="92">
        <ns0:f>C12</ns0:f>
        <ns0:v>45941</ns0:v>
      </ns0:c>
      <ns0:c r="C12" s="93">
        <ns0:v>45941</ns0:v>
      </ns0:c>
      <ns0:c r="D12" s="94">
        <ns0:f>SUM(E12:AB12)</ns0:f>
        <ns0:v>78.49222</ns0:v>
      </ns0:c>
      <ns0:c r="E12" s="95">
        <ns0:v>1.80639</ns0:v>
      </ns0:c>
      <ns0:c r="F12" s="95">
        <ns0:v>1.84775</ns0:v>
      </ns0:c>
      <ns0:c r="G12" s="95">
        <ns0:v>1.78924</ns0:v>
      </ns0:c>
      <ns0:c r="H12" s="95">
        <ns0:v>1.7739</ns0:v>
      </ns0:c>
      <ns0:c r="I12" s="95">
        <ns0:v>1.72647</ns0:v>
      </ns0:c>
      <ns0:c r="J12" s="95">
        <ns0:v>1.72132</ns0:v>
      </ns0:c>
      <ns0:c r="K12" s="95">
        <ns0:v>1.80219</ns0:v>
      </ns0:c>
      <ns0:c r="L12" s="95">
        <ns0:v>2.19791</ns0:v>
      </ns0:c>
      <ns0:c r="M12" s="95">
        <ns0:v>4.39915</ns0:v>
      </ns0:c>
      <ns0:c r="N12" s="95">
        <ns0:v>4.83099</ns0:v>
      </ns0:c>
      <ns0:c r="O12" s="95">
        <ns0:v>4.99015</ns0:v>
      </ns0:c>
      <ns0:c r="P12" s="95">
        <ns0:v>4.62171</ns0:v>
      </ns0:c>
      <ns0:c r="Q12" s="95">
        <ns0:v>3.48106</ns0:v>
      </ns0:c>
      <ns0:c r="R12" s="95">
        <ns0:v>3.94414</ns0:v>
      </ns0:c>
      <ns0:c r="S12" s="95">
        <ns0:v>4.91458</ns0:v>
      </ns0:c>
      <ns0:c r="T12" s="95">
        <ns0:v>4.74216</ns0:v>
      </ns0:c>
      <ns0:c r="U12" s="95">
        <ns0:v>4.98511</ns0:v>
      </ns0:c>
      <ns0:c r="V12" s="95">
        <ns0:v>4.70094</ns0:v>
      </ns0:c>
      <ns0:c r="W12" s="95">
        <ns0:v>3.80087</ns0:v>
      </ns0:c>
      <ns0:c r="X12" s="95">
        <ns0:v>3.85878</ns0:v>
      </ns0:c>
      <ns0:c r="Y12" s="95">
        <ns0:v>3.52539</ns0:v>
      </ns0:c>
      <ns0:c r="Z12" s="95">
        <ns0:v>2.79383</ns0:v>
      </ns0:c>
      <ns0:c r="AA12" s="95">
        <ns0:v>2.25163</ns0:v>
      </ns0:c>
      <ns0:c r="AB12" s="95">
        <ns0:v>1.98656</ns0:v>
      </ns0:c>
      <ns0:c r="AC12"/>
      <ns0:c r="AD12" s="101"/>
      <ns0:c r="AE12" s="101"/>
      <ns0:c r="AF12" s="101"/>
      <ns0:c r="AG12" s="101"/>
      <ns0:c r="AH12" s="101"/>
      <ns0:c r="AI12" s="101"/>
      <ns0:c r="AJ12" s="101"/>
      <ns0:c r="AK12" s="101"/>
      <ns0:c r="AL12" s="101"/>
      <ns0:c r="AM12" s="101"/>
      <ns0:c r="AN12" s="101"/>
      <ns0:c r="AO12" s="101"/>
      <ns0:c r="AP12" s="101"/>
      <ns0:c r="AQ12" s="101"/>
      <ns0:c r="AR12" s="101"/>
      <ns0:c r="AS12" s="101"/>
      <ns0:c r="AT12" s="101"/>
      <ns0:c r="AU12" s="101"/>
      <ns0:c r="AV12" s="101"/>
      <ns0:c r="AW12" s="101"/>
      <ns0:c r="AX12" s="101"/>
      <ns0:c r="AY12" s="101"/>
      <ns0:c r="AZ12" s="101"/>
      <ns0:c r="BA12" s="101"/>
    </ns0:row>
    <ns0:row r="13" ht="20" customHeight="1" spans="1:53">
      <ns0:c r="A13" s="13">
        <ns0:v>12</ns0:v>
      </ns0:c>
      <ns0:c r="B13" s="92">
        <ns0:f>C13</ns0:f>
        <ns0:v>45942</ns0:v>
      </ns0:c>
      <ns0:c r="C13" s="93">
        <ns0:v>45942</ns0:v>
      </ns0:c>
      <ns0:c r="D13" s="94">
        <ns0:f>SUM(E13:AB13)</ns0:f>
        <ns0:v>69.66251</ns0:v>
      </ns0:c>
      <ns0:c r="E13" s="95">
        <ns0:v>1.94087</ns0:v>
      </ns0:c>
      <ns0:c r="F13" s="95">
        <ns0:v>1.8655</ns0:v>
      </ns0:c>
      <ns0:c r="G13" s="95">
        <ns0:v>1.8814</ns0:v>
      </ns0:c>
      <ns0:c r="H13" s="95">
        <ns0:v>1.85474</ns0:v>
      </ns0:c>
      <ns0:c r="I13" s="95">
        <ns0:v>1.73296</ns0:v>
      </ns0:c>
      <ns0:c r="J13" s="95">
        <ns0:v>1.70851</ns0:v>
      </ns0:c>
      <ns0:c r="K13" s="95">
        <ns0:v>1.64791</ns0:v>
      </ns0:c>
      <ns0:c r="L13" s="95">
        <ns0:v>1.87765</ns0:v>
      </ns0:c>
      <ns0:c r="M13" s="95">
        <ns0:v>4.15269</ns0:v>
      </ns0:c>
      <ns0:c r="N13" s="95">
        <ns0:v>4.66774</ns0:v>
      </ns0:c>
      <ns0:c r="O13" s="95">
        <ns0:v>4.40638</ns0:v>
      </ns0:c>
      <ns0:c r="P13" s="95">
        <ns0:v>4.30614</ns0:v>
      </ns0:c>
      <ns0:c r="Q13" s="95">
        <ns0:v>3.45087</ns0:v>
      </ns0:c>
      <ns0:c r="R13" s="95">
        <ns0:v>3.87102</ns0:v>
      </ns0:c>
      <ns0:c r="S13" s="95">
        <ns0:v>4.7299</ns0:v>
      </ns0:c>
      <ns0:c r="T13" s="95">
        <ns0:v>4.40096</ns0:v>
      </ns0:c>
      <ns0:c r="U13" s="95">
        <ns0:v>4.57264</ns0:v>
      </ns0:c>
      <ns0:c r="V13" s="95">
        <ns0:v>3.91522</ns0:v>
      </ns0:c>
      <ns0:c r="W13" s="95">
        <ns0:v>2.56514</ns0:v>
      </ns0:c>
      <ns0:c r="X13" s="95">
        <ns0:v>2.45377</ns0:v>
      </ns0:c>
      <ns0:c r="Y13" s="95">
        <ns0:v>2.13401</ns0:v>
      </ns0:c>
      <ns0:c r="Z13" s="95">
        <ns0:v>1.98198</ns0:v>
      </ns0:c>
      <ns0:c r="AA13" s="95">
        <ns0:v>1.83246</ns0:v>
      </ns0:c>
      <ns0:c r="AB13" s="95">
        <ns0:v>1.71205</ns0:v>
      </ns0:c>
      <ns0:c r="AC13"/>
      <ns0:c r="AD13" s="100"/>
      <ns0:c r="AE13" s="100"/>
      <ns0:c r="AF13" s="100"/>
      <ns0:c r="AG13" s="100"/>
      <ns0:c r="AH13" s="100"/>
      <ns0:c r="AI13" s="100"/>
      <ns0:c r="AJ13" s="100"/>
      <ns0:c r="AK13" s="100"/>
      <ns0:c r="AL13" s="100"/>
      <ns0:c r="AM13" s="100"/>
      <ns0:c r="AN13" s="100"/>
      <ns0:c r="AO13" s="100"/>
      <ns0:c r="AP13" s="100"/>
      <ns0:c r="AQ13" s="100"/>
      <ns0:c r="AR13" s="100"/>
      <ns0:c r="AS13" s="100"/>
      <ns0:c r="AT13" s="100"/>
      <ns0:c r="AU13" s="100"/>
      <ns0:c r="AV13" s="100"/>
      <ns0:c r="AW13" s="100"/>
      <ns0:c r="AX13" s="100"/>
      <ns0:c r="AY13" s="100"/>
      <ns0:c r="AZ13" s="100"/>
      <ns0:c r="BA13" s="100"/>
    </ns0:row>
    <ns0:row r="14" ht="20" customHeight="1" spans="1:53">
      <ns0:c r="A14" s="13">
        <ns0:v>13</ns0:v>
      </ns0:c>
      <ns0:c r="B14" s="92">
        <ns0:f>C14</ns0:f>
        <ns0:v>45943</ns0:v>
      </ns0:c>
      <ns0:c r="C14" s="93">
        <ns0:v>45943</ns0:v>
      </ns0:c>
      <ns0:c r="D14" s="94">
        <ns0:f>SUM(E14:AB14)</ns0:f>
        <ns0:v>76.90106</ns0:v>
      </ns0:c>
      <ns0:c r="E14" s="95">
        <ns0:v>1.62813</ns0:v>
      </ns0:c>
      <ns0:c r="F14" s="95">
        <ns0:v>1.70629</ns0:v>
      </ns0:c>
      <ns0:c r="G14" s="95">
        <ns0:v>1.67492</ns0:v>
      </ns0:c>
      <ns0:c r="H14" s="95">
        <ns0:v>1.62406</ns0:v>
      </ns0:c>
      <ns0:c r="I14" s="95">
        <ns0:v>1.57346</ns0:v>
      </ns0:c>
      <ns0:c r="J14" s="95">
        <ns0:v>1.6159</ns0:v>
      </ns0:c>
      <ns0:c r="K14" s="95">
        <ns0:v>1.52033</ns0:v>
      </ns0:c>
      <ns0:c r="L14" s="95">
        <ns0:v>2.06893</ns0:v>
      </ns0:c>
      <ns0:c r="M14" s="95">
        <ns0:v>4.41376</ns0:v>
      </ns0:c>
      <ns0:c r="N14" s="95">
        <ns0:v>4.67775</ns0:v>
      </ns0:c>
      <ns0:c r="O14" s="95">
        <ns0:v>4.51275</ns0:v>
      </ns0:c>
      <ns0:c r="P14" s="95">
        <ns0:v>4.43699</ns0:v>
      </ns0:c>
      <ns0:c r="Q14" s="95">
        <ns0:v>3.24061</ns0:v>
      </ns0:c>
      <ns0:c r="R14" s="95">
        <ns0:v>3.83529</ns0:v>
      </ns0:c>
      <ns0:c r="S14" s="95">
        <ns0:v>5.27677</ns0:v>
      </ns0:c>
      <ns0:c r="T14" s="95">
        <ns0:v>5.02604</ns0:v>
      </ns0:c>
      <ns0:c r="U14" s="95">
        <ns0:v>5.16284</ns0:v>
      </ns0:c>
      <ns0:c r="V14" s="95">
        <ns0:v>4.7047</ns0:v>
      </ns0:c>
      <ns0:c r="W14" s="95">
        <ns0:v>3.90545</ns0:v>
      </ns0:c>
      <ns0:c r="X14" s="95">
        <ns0:v>3.97267</ns0:v>
      </ns0:c>
      <ns0:c r="Y14" s="95">
        <ns0:v>3.46776</ns0:v>
      </ns0:c>
      <ns0:c r="Z14" s="95">
        <ns0:v>2.77965</ns0:v>
      </ns0:c>
      <ns0:c r="AA14" s="95">
        <ns0:v>2.20327</ns0:v>
      </ns0:c>
      <ns0:c r="AB14" s="95">
        <ns0:v>1.87274</ns0:v>
      </ns0:c>
      <ns0:c r="AC14"/>
      <ns0:c r="AD14" s="101"/>
      <ns0:c r="AE14" s="101"/>
      <ns0:c r="AF14" s="101"/>
      <ns0:c r="AG14" s="101"/>
      <ns0:c r="AH14" s="101"/>
      <ns0:c r="AI14" s="101"/>
      <ns0:c r="AJ14" s="101"/>
      <ns0:c r="AK14" s="101"/>
      <ns0:c r="AL14" s="101"/>
      <ns0:c r="AM14" s="101"/>
      <ns0:c r="AN14" s="101"/>
      <ns0:c r="AO14" s="101"/>
      <ns0:c r="AP14" s="101"/>
      <ns0:c r="AQ14" s="101"/>
      <ns0:c r="AR14" s="101"/>
      <ns0:c r="AS14" s="101"/>
      <ns0:c r="AT14" s="101"/>
      <ns0:c r="AU14" s="101"/>
      <ns0:c r="AV14" s="101"/>
      <ns0:c r="AW14" s="101"/>
      <ns0:c r="AX14" s="101"/>
      <ns0:c r="AY14" s="101"/>
      <ns0:c r="AZ14" s="101"/>
      <ns0:c r="BA14" s="101"/>
    </ns0:row>
    <ns0:row r="15" ht="20" customHeight="1" spans="1:53">
      <ns0:c r="A15" s="13">
        <ns0:v>14</ns0:v>
      </ns0:c>
      <ns0:c r="B15" s="92">
        <ns0:f>C15</ns0:f>
        <ns0:v>45944</ns0:v>
      </ns0:c>
      <ns0:c r="C15" s="93">
        <ns0:v>45944</ns0:v>
      </ns0:c>
      <ns0:c r="D15" s="94">
        <ns0:f>SUM(E15:AB15)</ns0:f>
        <ns0:v>79.01914</ns0:v>
      </ns0:c>
      <ns0:c r="E15" s="95">
        <ns0:v>1.79101</ns0:v>
      </ns0:c>
      <ns0:c r="F15" s="95">
        <ns0:v>1.88899</ns0:v>
      </ns0:c>
      <ns0:c r="G15" s="95">
        <ns0:v>1.784</ns0:v>
      </ns0:c>
      <ns0:c r="H15" s="95">
        <ns0:v>1.83611</ns0:v>
      </ns0:c>
      <ns0:c r="I15" s="95">
        <ns0:v>1.73195</ns0:v>
      </ns0:c>
      <ns0:c r="J15" s="95">
        <ns0:v>1.75301</ns0:v>
      </ns0:c>
      <ns0:c r="K15" s="95">
        <ns0:v>1.66374</ns0:v>
      </ns0:c>
      <ns0:c r="L15" s="95">
        <ns0:v>2.14936</ns0:v>
      </ns0:c>
      <ns0:c r="M15" s="95">
        <ns0:v>4.6584</ns0:v>
      </ns0:c>
      <ns0:c r="N15" s="95">
        <ns0:v>5.15423</ns0:v>
      </ns0:c>
      <ns0:c r="O15" s="95">
        <ns0:v>4.76469</ns0:v>
      </ns0:c>
      <ns0:c r="P15" s="95">
        <ns0:v>4.59632</ns0:v>
      </ns0:c>
      <ns0:c r="Q15" s="95">
        <ns0:v>3.36287</ns0:v>
      </ns0:c>
      <ns0:c r="R15" s="95">
        <ns0:v>3.91289</ns0:v>
      </ns0:c>
      <ns0:c r="S15" s="95">
        <ns0:v>5.12631</ns0:v>
      </ns0:c>
      <ns0:c r="T15" s="95">
        <ns0:v>5.06918</ns0:v>
      </ns0:c>
      <ns0:c r="U15" s="95">
        <ns0:v>5.22802</ns0:v>
      </ns0:c>
      <ns0:c r="V15" s="95">
        <ns0:v>4.60644</ns0:v>
      </ns0:c>
      <ns0:c r="W15" s="95">
        <ns0:v>3.88235</ns0:v>
      </ns0:c>
      <ns0:c r="X15" s="95">
        <ns0:v>3.90669</ns0:v>
      </ns0:c>
      <ns0:c r="Y15" s="95">
        <ns0:v>3.44023</ns0:v>
      </ns0:c>
      <ns0:c r="Z15" s="95">
        <ns0:v>2.67336</ns0:v>
      </ns0:c>
      <ns0:c r="AA15" s="95">
        <ns0:v>2.18834</ns0:v>
      </ns0:c>
      <ns0:c r="AB15" s="95">
        <ns0:v>1.85065</ns0:v>
      </ns0:c>
      <ns0:c r="AC15"/>
      <ns0:c r="AD15" s="101"/>
      <ns0:c r="AE15" s="101"/>
      <ns0:c r="AF15" s="101"/>
      <ns0:c r="AG15" s="101"/>
      <ns0:c r="AH15" s="101"/>
      <ns0:c r="AI15" s="101"/>
      <ns0:c r="AJ15" s="101"/>
      <ns0:c r="AK15" s="101"/>
      <ns0:c r="AL15" s="101"/>
      <ns0:c r="AM15" s="101"/>
      <ns0:c r="AN15" s="101"/>
      <ns0:c r="AO15" s="101"/>
      <ns0:c r="AP15" s="101"/>
      <ns0:c r="AQ15" s="101"/>
      <ns0:c r="AR15" s="101"/>
      <ns0:c r="AS15" s="101"/>
      <ns0:c r="AT15" s="101"/>
      <ns0:c r="AU15" s="101"/>
      <ns0:c r="AV15" s="101"/>
      <ns0:c r="AW15" s="101"/>
      <ns0:c r="AX15" s="101"/>
      <ns0:c r="AY15" s="101"/>
      <ns0:c r="AZ15" s="101"/>
      <ns0:c r="BA15" s="101"/>
    </ns0:row>
    <ns0:row r="16" ht="20" customHeight="1" spans="1:53">
      <ns0:c r="A16" s="13">
        <ns0:v>15</ns0:v>
      </ns0:c>
      <ns0:c r="B16" s="92">
        <ns0:f>C16</ns0:f>
        <ns0:v>45945</ns0:v>
      </ns0:c>
      <ns0:c r="C16" s="93">
        <ns0:v>45945</ns0:v>
      </ns0:c>
      <ns0:c r="D16" s="94">
        <ns0:f>SUM(E16:AB16)</ns0:f>
        <ns0:v>75.97232</ns0:v>
      </ns0:c>
      <ns0:c r="E16" s="95">
        <ns0:v>1.67867</ns0:v>
      </ns0:c>
      <ns0:c r="F16" s="95">
        <ns0:v>1.74737</ns0:v>
      </ns0:c>
      <ns0:c r="G16" s="95">
        <ns0:v>1.69201</ns0:v>
      </ns0:c>
      <ns0:c r="H16" s="95">
        <ns0:v>1.58828</ns0:v>
      </ns0:c>
      <ns0:c r="I16" s="95">
        <ns0:v>1.6125</ns0:v>
      </ns0:c>
      <ns0:c r="J16" s="95">
        <ns0:v>1.5548</ns0:v>
      </ns0:c>
      <ns0:c r="K16" s="95">
        <ns0:v>1.50116</ns0:v>
      </ns0:c>
      <ns0:c r="L16" s="95">
        <ns0:v>1.97315</ns0:v>
      </ns0:c>
      <ns0:c r="M16" s="95">
        <ns0:v>4.4317</ns0:v>
      </ns0:c>
      <ns0:c r="N16" s="95">
        <ns0:v>4.87665</ns0:v>
      </ns0:c>
      <ns0:c r="O16" s="95">
        <ns0:v>4.74939</ns0:v>
      </ns0:c>
      <ns0:c r="P16" s="95">
        <ns0:v>4.65876</ns0:v>
      </ns0:c>
      <ns0:c r="Q16" s="95">
        <ns0:v>3.4272</ns0:v>
      </ns0:c>
      <ns0:c r="R16" s="95">
        <ns0:v>4.00539</ns0:v>
      </ns0:c>
      <ns0:c r="S16" s="95">
        <ns0:v>5.09018</ns0:v>
      </ns0:c>
      <ns0:c r="T16" s="95">
        <ns0:v>4.87175</ns0:v>
      </ns0:c>
      <ns0:c r="U16" s="95">
        <ns0:v>5.06844</ns0:v>
      </ns0:c>
      <ns0:c r="V16" s="95">
        <ns0:v>4.73722</ns0:v>
      </ns0:c>
      <ns0:c r="W16" s="95">
        <ns0:v>3.76734</ns0:v>
      </ns0:c>
      <ns0:c r="X16" s="95">
        <ns0:v>3.60744</ns0:v>
      </ns0:c>
      <ns0:c r="Y16" s="95">
        <ns0:v>3.06399</ns0:v>
      </ns0:c>
      <ns0:c r="Z16" s="95">
        <ns0:v>2.58438</ns0:v>
      </ns0:c>
      <ns0:c r="AA16" s="95">
        <ns0:v>1.95012</ns0:v>
      </ns0:c>
      <ns0:c r="AB16" s="95">
        <ns0:v>1.73443</ns0:v>
      </ns0:c>
      <ns0:c r="AC16"/>
      <ns0:c r="AD16" s="101"/>
      <ns0:c r="AE16" s="101"/>
      <ns0:c r="AF16" s="101"/>
      <ns0:c r="AG16" s="101"/>
      <ns0:c r="AH16" s="101"/>
      <ns0:c r="AI16" s="101"/>
      <ns0:c r="AJ16" s="101"/>
      <ns0:c r="AK16" s="101"/>
      <ns0:c r="AL16" s="101"/>
      <ns0:c r="AM16" s="101"/>
      <ns0:c r="AN16" s="101"/>
      <ns0:c r="AO16" s="101"/>
      <ns0:c r="AP16" s="101"/>
      <ns0:c r="AQ16" s="101"/>
      <ns0:c r="AR16" s="101"/>
      <ns0:c r="AS16" s="101"/>
      <ns0:c r="AT16" s="101"/>
      <ns0:c r="AU16" s="101"/>
      <ns0:c r="AV16" s="101"/>
      <ns0:c r="AW16" s="101"/>
      <ns0:c r="AX16" s="101"/>
      <ns0:c r="AY16" s="101"/>
      <ns0:c r="AZ16" s="101"/>
      <ns0:c r="BA16" s="101"/>
    </ns0:row>
    <ns0:row r="17" ht="20" customHeight="1" spans="1:53">
      <ns0:c r="A17" s="13">
        <ns0:v>16</ns0:v>
      </ns0:c>
      <ns0:c r="B17" s="92">
        <ns0:f>C17</ns0:f>
        <ns0:v>45946</ns0:v>
      </ns0:c>
      <ns0:c r="C17" s="93">
        <ns0:v>45946</ns0:v>
      </ns0:c>
      <ns0:c r="D17" s="94">
        <ns0:f>SUM(E17:AB17)</ns0:f>
        <ns0:v>75.79444</ns0:v>
      </ns0:c>
      <ns0:c r="E17" s="95">
        <ns0:v>1.63016</ns0:v>
      </ns0:c>
      <ns0:c r="F17" s="95">
        <ns0:v>1.65341</ns0:v>
      </ns0:c>
      <ns0:c r="G17" s="95">
        <ns0:v>1.61794</ns0:v>
      </ns0:c>
      <ns0:c r="H17" s="95">
        <ns0:v>1.59225</ns0:v>
      </ns0:c>
      <ns0:c r="I17" s="95">
        <ns0:v>1.50079</ns0:v>
      </ns0:c>
      <ns0:c r="J17" s="95">
        <ns0:v>1.56496</ns0:v>
      </ns0:c>
      <ns0:c r="K17" s="95">
        <ns0:v>1.56489</ns0:v>
      </ns0:c>
      <ns0:c r="L17" s="95">
        <ns0:v>1.99702</ns0:v>
      </ns0:c>
      <ns0:c r="M17" s="95">
        <ns0:v>4.22097</ns0:v>
      </ns0:c>
      <ns0:c r="N17" s="95">
        <ns0:v>4.77302</ns0:v>
      </ns0:c>
      <ns0:c r="O17" s="95">
        <ns0:v>4.67247</ns0:v>
      </ns0:c>
      <ns0:c r="P17" s="95">
        <ns0:v>4.52944</ns0:v>
      </ns0:c>
      <ns0:c r="Q17" s="95">
        <ns0:v>3.25048</ns0:v>
      </ns0:c>
      <ns0:c r="R17" s="95">
        <ns0:v>3.98531</ns0:v>
      </ns0:c>
      <ns0:c r="S17" s="95">
        <ns0:v>5.0736</ns0:v>
      </ns0:c>
      <ns0:c r="T17" s="95">
        <ns0:v>4.84085</ns0:v>
      </ns0:c>
      <ns0:c r="U17" s="95">
        <ns0:v>5.10671</ns0:v>
      </ns0:c>
      <ns0:c r="V17" s="95">
        <ns0:v>4.71703</ns0:v>
      </ns0:c>
      <ns0:c r="W17" s="95">
        <ns0:v>3.91256</ns0:v>
      </ns0:c>
      <ns0:c r="X17" s="95">
        <ns0:v>3.80685</ns0:v>
      </ns0:c>
      <ns0:c r="Y17" s="95">
        <ns0:v>3.29552</ns0:v>
      </ns0:c>
      <ns0:c r="Z17" s="95">
        <ns0:v>2.64104</ns0:v>
      </ns0:c>
      <ns0:c r="AA17" s="95">
        <ns0:v>2.05937</ns0:v>
      </ns0:c>
      <ns0:c r="AB17" s="95">
        <ns0:v>1.7878</ns0:v>
      </ns0:c>
      <ns0:c r="AC17"/>
      <ns0:c r="AD17" s="102"/>
      <ns0:c r="AE17" s="102"/>
      <ns0:c r="AF17" s="102"/>
      <ns0:c r="AG17" s="102"/>
      <ns0:c r="AH17" s="102"/>
      <ns0:c r="AI17" s="102"/>
      <ns0:c r="AJ17" s="102"/>
      <ns0:c r="AK17" s="102"/>
      <ns0:c r="AL17" s="102"/>
      <ns0:c r="AM17" s="102"/>
      <ns0:c r="AN17" s="102"/>
      <ns0:c r="AO17" s="102"/>
      <ns0:c r="AP17" s="102"/>
      <ns0:c r="AQ17" s="102"/>
      <ns0:c r="AR17" s="102"/>
      <ns0:c r="AS17" s="102"/>
      <ns0:c r="AT17" s="102"/>
      <ns0:c r="AU17" s="102"/>
      <ns0:c r="AV17" s="102"/>
      <ns0:c r="AW17" s="102"/>
      <ns0:c r="AX17" s="102"/>
      <ns0:c r="AY17" s="102"/>
      <ns0:c r="AZ17" s="102"/>
      <ns0:c r="BA17" s="102"/>
    </ns0:row>
    <ns0:row r="18" ht="20" customHeight="1" spans="1:53">
      <ns0:c r="A18" s="13">
        <ns0:v>17</ns0:v>
      </ns0:c>
      <ns0:c r="B18" s="92">
        <ns0:f>C18</ns0:f>
        <ns0:v>45947</ns0:v>
      </ns0:c>
      <ns0:c r="C18" s="93">
        <ns0:v>45947</ns0:v>
      </ns0:c>
      <ns0:c r="D18" s="94">
        <ns0:f>SUM(E18:AB18)</ns0:f>
        <ns0:v>77.84525</ns0:v>
      </ns0:c>
      <ns0:c r="E18" s="95">
        <ns0:v>1.66262</ns0:v>
      </ns0:c>
      <ns0:c r="F18" s="95">
        <ns0:v>1.73021</ns0:v>
      </ns0:c>
      <ns0:c r="G18" s="95">
        <ns0:v>1.61002</ns0:v>
      </ns0:c>
      <ns0:c r="H18" s="95">
        <ns0:v>1.58143</ns0:v>
      </ns0:c>
      <ns0:c r="I18" s="95">
        <ns0:v>1.57248</ns0:v>
      </ns0:c>
      <ns0:c r="J18" s="95">
        <ns0:v>1.55405</ns0:v>
      </ns0:c>
      <ns0:c r="K18" s="95">
        <ns0:v>1.46305</ns0:v>
      </ns0:c>
      <ns0:c r="L18" s="95">
        <ns0:v>1.99627</ns0:v>
      </ns0:c>
      <ns0:c r="M18" s="95">
        <ns0:v>4.43516</ns0:v>
      </ns0:c>
      <ns0:c r="N18" s="95">
        <ns0:v>4.88138</ns0:v>
      </ns0:c>
      <ns0:c r="O18" s="95">
        <ns0:v>4.79523</ns0:v>
      </ns0:c>
      <ns0:c r="P18" s="95">
        <ns0:v>4.71191</ns0:v>
      </ns0:c>
      <ns0:c r="Q18" s="95">
        <ns0:v>3.49963</ns0:v>
      </ns0:c>
      <ns0:c r="R18" s="95">
        <ns0:v>4.10961</ns0:v>
      </ns0:c>
      <ns0:c r="S18" s="95">
        <ns0:v>5.29086</ns0:v>
      </ns0:c>
      <ns0:c r="T18" s="95">
        <ns0:v>5.15918</ns0:v>
      </ns0:c>
      <ns0:c r="U18" s="95">
        <ns0:v>5.18801</ns0:v>
      </ns0:c>
      <ns0:c r="V18" s="95">
        <ns0:v>4.80738</ns0:v>
      </ns0:c>
      <ns0:c r="W18" s="95">
        <ns0:v>3.88767</ns0:v>
      </ns0:c>
      <ns0:c r="X18" s="95">
        <ns0:v>3.88992</ns0:v>
      </ns0:c>
      <ns0:c r="Y18" s="95">
        <ns0:v>3.40555</ns0:v>
      </ns0:c>
      <ns0:c r="Z18" s="95">
        <ns0:v>2.66032</ns0:v>
      </ns0:c>
      <ns0:c r="AA18" s="95">
        <ns0:v>2.13544</ns0:v>
      </ns0:c>
      <ns0:c r="AB18" s="95">
        <ns0:v>1.81787</ns0:v>
      </ns0:c>
      <ns0:c r="AC18"/>
      <ns0:c r="AD18" s="100"/>
      <ns0:c r="AE18" s="100"/>
      <ns0:c r="AF18" s="100"/>
      <ns0:c r="AG18" s="100"/>
      <ns0:c r="AH18" s="100"/>
      <ns0:c r="AI18" s="100"/>
      <ns0:c r="AJ18" s="100"/>
      <ns0:c r="AK18" s="100"/>
      <ns0:c r="AL18" s="100"/>
      <ns0:c r="AM18" s="100"/>
      <ns0:c r="AN18" s="100"/>
      <ns0:c r="AO18" s="100"/>
      <ns0:c r="AP18" s="100"/>
      <ns0:c r="AQ18" s="100"/>
      <ns0:c r="AR18" s="100"/>
      <ns0:c r="AS18" s="100"/>
      <ns0:c r="AT18" s="100"/>
      <ns0:c r="AU18" s="100"/>
      <ns0:c r="AV18" s="100"/>
      <ns0:c r="AW18" s="100"/>
      <ns0:c r="AX18" s="100"/>
      <ns0:c r="AY18" s="100"/>
      <ns0:c r="AZ18" s="100"/>
      <ns0:c r="BA18" s="100"/>
    </ns0:row>
    <ns0:row r="19" ht="20" customHeight="1" spans="1:53">
      <ns0:c r="A19" s="13">
        <ns0:v>18</ns0:v>
      </ns0:c>
      <ns0:c r="B19" s="92">
        <ns0:f>C19</ns0:f>
        <ns0:v>45948</ns0:v>
      </ns0:c>
      <ns0:c r="C19" s="93">
        <ns0:v>45948</ns0:v>
      </ns0:c>
      <ns0:c r="D19" s="94">
        <ns0:f>SUM(E19:AB19)</ns0:f>
        <ns0:v>74.37746</ns0:v>
      </ns0:c>
      <ns0:c r="E19" s="95">
        <ns0:v>1.71222</ns0:v>
      </ns0:c>
      <ns0:c r="F19" s="95">
        <ns0:v>1.73325</ns0:v>
      </ns0:c>
      <ns0:c r="G19" s="95">
        <ns0:v>1.72852</ns0:v>
      </ns0:c>
      <ns0:c r="H19" s="95">
        <ns0:v>1.70061</ns0:v>
      </ns0:c>
      <ns0:c r="I19" s="95">
        <ns0:v>1.60831</ns0:v>
      </ns0:c>
      <ns0:c r="J19" s="95">
        <ns0:v>1.61593</ns0:v>
      </ns0:c>
      <ns0:c r="K19" s="95">
        <ns0:v>1.54859</ns0:v>
      </ns0:c>
      <ns0:c r="L19" s="95">
        <ns0:v>1.88084</ns0:v>
      </ns0:c>
      <ns0:c r="M19" s="95">
        <ns0:v>4.29231</ns0:v>
      </ns0:c>
      <ns0:c r="N19" s="95">
        <ns0:v>4.73537</ns0:v>
      </ns0:c>
      <ns0:c r="O19" s="95">
        <ns0:v>4.55713</ns0:v>
      </ns0:c>
      <ns0:c r="P19" s="95">
        <ns0:v>4.22008</ns0:v>
      </ns0:c>
      <ns0:c r="Q19" s="95">
        <ns0:v>3.15507</ns0:v>
      </ns0:c>
      <ns0:c r="R19" s="95">
        <ns0:v>3.72147</ns0:v>
      </ns0:c>
      <ns0:c r="S19" s="95">
        <ns0:v>4.87497</ns0:v>
      </ns0:c>
      <ns0:c r="T19" s="95">
        <ns0:v>4.67484</ns0:v>
      </ns0:c>
      <ns0:c r="U19" s="95">
        <ns0:v>4.89994</ns0:v>
      </ns0:c>
      <ns0:c r="V19" s="95">
        <ns0:v>4.5111</ns0:v>
      </ns0:c>
      <ns0:c r="W19" s="95">
        <ns0:v>3.75311</ns0:v>
      </ns0:c>
      <ns0:c r="X19" s="95">
        <ns0:v>3.77185</ns0:v>
      </ns0:c>
      <ns0:c r="Y19" s="95">
        <ns0:v>3.20737</ns0:v>
      </ns0:c>
      <ns0:c r="Z19" s="95">
        <ns0:v>2.62872</ns0:v>
      </ns0:c>
      <ns0:c r="AA19" s="95">
        <ns0:v>2.04357</ns0:v>
      </ns0:c>
      <ns0:c r="AB19" s="95">
        <ns0:v>1.80229</ns0:v>
      </ns0:c>
      <ns0:c r="AC19" s="64"/>
      <ns0:c r="AD19" s="101"/>
      <ns0:c r="AE19" s="101"/>
      <ns0:c r="AF19" s="101"/>
      <ns0:c r="AG19" s="101"/>
      <ns0:c r="AH19" s="101"/>
      <ns0:c r="AI19" s="101"/>
      <ns0:c r="AJ19" s="101"/>
      <ns0:c r="AK19" s="101"/>
      <ns0:c r="AL19" s="101"/>
      <ns0:c r="AM19" s="101"/>
      <ns0:c r="AN19" s="101"/>
      <ns0:c r="AO19" s="101"/>
      <ns0:c r="AP19" s="101"/>
      <ns0:c r="AQ19" s="101"/>
      <ns0:c r="AR19" s="101"/>
      <ns0:c r="AS19" s="101"/>
      <ns0:c r="AT19" s="101"/>
      <ns0:c r="AU19" s="101"/>
      <ns0:c r="AV19" s="101"/>
      <ns0:c r="AW19" s="101"/>
      <ns0:c r="AX19" s="101"/>
      <ns0:c r="AY19" s="101"/>
      <ns0:c r="AZ19" s="101"/>
      <ns0:c r="BA19" s="101"/>
    </ns0:row>
    <ns0:row r="20" ht="20" customHeight="1" spans="1:29">
      <ns0:c r="A20" s="13">
        <ns0:v>19</ns0:v>
      </ns0:c>
      <ns0:c r="B20" s="92">
        <ns0:f>C20</ns0:f>
        <ns0:v>45949</ns0:v>
      </ns0:c>
      <ns0:c r="C20" s="93">
        <ns0:v>45949</ns0:v>
      </ns0:c>
      <ns0:c r="D20" s="94">
        <ns0:f>SUM(E20:AB20)</ns0:f>
        <ns0:v>55.77475</ns0:v>
      </ns0:c>
      <ns0:c r="E20" s="95">
        <ns0:v>1.60115</ns0:v>
      </ns0:c>
      <ns0:c r="F20" s="95">
        <ns0:v>1.68228</ns0:v>
      </ns0:c>
      <ns0:c r="G20" s="95">
        <ns0:v>1.68983</ns0:v>
      </ns0:c>
      <ns0:c r="H20" s="95">
        <ns0:v>1.66214</ns0:v>
      </ns0:c>
      <ns0:c r="I20" s="95">
        <ns0:v>1.51686</ns0:v>
      </ns0:c>
      <ns0:c r="J20" s="95">
        <ns0:v>1.46932</ns0:v>
      </ns0:c>
      <ns0:c r="K20" s="95">
        <ns0:v>1.28992</ns0:v>
      </ns0:c>
      <ns0:c r="L20" s="95">
        <ns0:v>1.55884</ns0:v>
      </ns0:c>
      <ns0:c r="M20" s="95">
        <ns0:v>3.11419</ns0:v>
      </ns0:c>
      <ns0:c r="N20" s="95">
        <ns0:v>3.55027</ns0:v>
      </ns0:c>
      <ns0:c r="O20" s="95">
        <ns0:v>3.44325</ns0:v>
      </ns0:c>
      <ns0:c r="P20" s="95">
        <ns0:v>3.42038</ns0:v>
      </ns0:c>
      <ns0:c r="Q20" s="95">
        <ns0:v>2.66052</ns0:v>
      </ns0:c>
      <ns0:c r="R20" s="95">
        <ns0:v>2.81821</ns0:v>
      </ns0:c>
      <ns0:c r="S20" s="95">
        <ns0:v>3.57319</ns0:v>
      </ns0:c>
      <ns0:c r="T20" s="95">
        <ns0:v>3.58935</ns0:v>
      </ns0:c>
      <ns0:c r="U20" s="95">
        <ns0:v>3.72921</ns0:v>
      </ns0:c>
      <ns0:c r="V20" s="95">
        <ns0:v>3.30381</ns0:v>
      </ns0:c>
      <ns0:c r="W20" s="95">
        <ns0:v>2.16558</ns0:v>
      </ns0:c>
      <ns0:c r="X20" s="95">
        <ns0:v>1.89127</ns0:v>
      </ns0:c>
      <ns0:c r="Y20" s="95">
        <ns0:v>1.65703</ns0:v>
      </ns0:c>
      <ns0:c r="Z20" s="95">
        <ns0:v>1.51243</ns0:v>
      </ns0:c>
      <ns0:c r="AA20" s="95">
        <ns0:v>1.4063</ns0:v>
      </ns0:c>
      <ns0:c r="AB20" s="95">
        <ns0:v>1.46942</ns0:v>
      </ns0:c>
      <ns0:c r="AC20"/>
    </ns0:row>
    <ns0:row r="21" ht="20" customHeight="1" spans="1:29">
      <ns0:c r="A21" s="13">
        <ns0:v>20</ns0:v>
      </ns0:c>
      <ns0:c r="B21" s="92">
        <ns0:f>C21</ns0:f>
        <ns0:v>45950</ns0:v>
      </ns0:c>
      <ns0:c r="C21" s="93">
        <ns0:v>45950</ns0:v>
      </ns0:c>
      <ns0:c r="D21" s="94">
        <ns0:f>SUM(E21:AB21)</ns0:f>
        <ns0:v>69.20233</ns0:v>
      </ns0:c>
      <ns0:c r="E21" s="95">
        <ns0:v>1.2999</ns0:v>
      </ns0:c>
      <ns0:c r="F21" s="95">
        <ns0:v>1.35714</ns0:v>
      </ns0:c>
      <ns0:c r="G21" s="95">
        <ns0:v>1.34983</ns0:v>
      </ns0:c>
      <ns0:c r="H21" s="95">
        <ns0:v>1.34123</ns0:v>
      </ns0:c>
      <ns0:c r="I21" s="95">
        <ns0:v>1.34163</ns0:v>
      </ns0:c>
      <ns0:c r="J21" s="95">
        <ns0:v>1.34145</ns0:v>
      </ns0:c>
      <ns0:c r="K21" s="95">
        <ns0:v>1.31377</ns0:v>
      </ns0:c>
      <ns0:c r="L21" s="95">
        <ns0:v>1.72033</ns0:v>
      </ns0:c>
      <ns0:c r="M21" s="95">
        <ns0:v>3.85366</ns0:v>
      </ns0:c>
      <ns0:c r="N21" s="95">
        <ns0:v>4.30684</ns0:v>
      </ns0:c>
      <ns0:c r="O21" s="95">
        <ns0:v>4.25753</ns0:v>
      </ns0:c>
      <ns0:c r="P21" s="95">
        <ns0:v>4.11501</ns0:v>
      </ns0:c>
      <ns0:c r="Q21" s="95">
        <ns0:v>2.96596</ns0:v>
      </ns0:c>
      <ns0:c r="R21" s="95">
        <ns0:v>3.55977</ns0:v>
      </ns0:c>
      <ns0:c r="S21" s="95">
        <ns0:v>4.73906</ns0:v>
      </ns0:c>
      <ns0:c r="T21" s="95">
        <ns0:v>4.56899</ns0:v>
      </ns0:c>
      <ns0:c r="U21" s="95">
        <ns0:v>4.58582</ns0:v>
      </ns0:c>
      <ns0:c r="V21" s="95">
        <ns0:v>4.21289</ns0:v>
      </ns0:c>
      <ns0:c r="W21" s="95">
        <ns0:v>3.59325</ns0:v>
      </ns0:c>
      <ns0:c r="X21" s="95">
        <ns0:v>3.71673</ns0:v>
      </ns0:c>
      <ns0:c r="Y21" s="95">
        <ns0:v>3.24204</ns0:v>
      </ns0:c>
      <ns0:c r="Z21" s="95">
        <ns0:v>2.53981</ns0:v>
      </ns0:c>
      <ns0:c r="AA21" s="95">
        <ns0:v>2.04756</ns0:v>
      </ns0:c>
      <ns0:c r="AB21" s="95">
        <ns0:v>1.83213</ns0:v>
      </ns0:c>
      <ns0:c r="AC21"/>
    </ns0:row>
    <ns0:row r="22" ht="20" customHeight="1" spans="1:29">
      <ns0:c r="A22" s="13">
        <ns0:v>21</ns0:v>
      </ns0:c>
      <ns0:c r="B22" s="92">
        <ns0:f>C22</ns0:f>
        <ns0:v>45951</ns0:v>
      </ns0:c>
      <ns0:c r="C22" s="93">
        <ns0:v>45951</ns0:v>
      </ns0:c>
      <ns0:c r="D22" s="94">
        <ns0:f>SUM(E22:AB22)</ns0:f>
        <ns0:v>68.65526</ns0:v>
      </ns0:c>
      <ns0:c r="E22" s="95">
        <ns0:v>1.62935</ns0:v>
      </ns0:c>
      <ns0:c r="F22" s="95">
        <ns0:v>1.65619</ns0:v>
      </ns0:c>
      <ns0:c r="G22" s="95">
        <ns0:v>1.65742</ns0:v>
      </ns0:c>
      <ns0:c r="H22" s="95">
        <ns0:v>1.64283</ns0:v>
      </ns0:c>
      <ns0:c r="I22" s="95">
        <ns0:v>1.59876</ns0:v>
      </ns0:c>
      <ns0:c r="J22" s="95">
        <ns0:v>1.59621</ns0:v>
      </ns0:c>
      <ns0:c r="K22" s="95">
        <ns0:v>1.58217</ns0:v>
      </ns0:c>
      <ns0:c r="L22" s="95">
        <ns0:v>2.09161</ns0:v>
      </ns0:c>
      <ns0:c r="M22" s="95">
        <ns0:v>4.22227</ns0:v>
      </ns0:c>
      <ns0:c r="N22" s="95">
        <ns0:v>4.54411</ns0:v>
      </ns0:c>
      <ns0:c r="O22" s="95">
        <ns0:v>4.13854</ns0:v>
      </ns0:c>
      <ns0:c r="P22" s="95">
        <ns0:v>3.96935</ns0:v>
      </ns0:c>
      <ns0:c r="Q22" s="95">
        <ns0:v>2.73255</ns0:v>
      </ns0:c>
      <ns0:c r="R22" s="95">
        <ns0:v>3.48374</ns0:v>
      </ns0:c>
      <ns0:c r="S22" s="95">
        <ns0:v>4.45637</ns0:v>
      </ns0:c>
      <ns0:c r="T22" s="95">
        <ns0:v>3.84442</ns0:v>
      </ns0:c>
      <ns0:c r="U22" s="95">
        <ns0:v>4.47174</ns0:v>
      </ns0:c>
      <ns0:c r="V22" s="95">
        <ns0:v>3.85926</ns0:v>
      </ns0:c>
      <ns0:c r="W22" s="95">
        <ns0:v>3.35696</ns0:v>
      </ns0:c>
      <ns0:c r="X22" s="95">
        <ns0:v>3.26252</ns0:v>
      </ns0:c>
      <ns0:c r="Y22" s="95">
        <ns0:v>2.91309</ns0:v>
      </ns0:c>
      <ns0:c r="Z22" s="95">
        <ns0:v>2.36106</ns0:v>
      </ns0:c>
      <ns0:c r="AA22" s="95">
        <ns0:v>1.87004</ns0:v>
      </ns0:c>
      <ns0:c r="AB22" s="95">
        <ns0:v>1.7147</ns0:v>
      </ns0:c>
      <ns0:c r="AC22"/>
    </ns0:row>
    <ns0:row r="23" ht="20" customHeight="1" spans="1:29">
      <ns0:c r="A23" s="13">
        <ns0:v>22</ns0:v>
      </ns0:c>
      <ns0:c r="B23" s="92">
        <ns0:f>C23</ns0:f>
        <ns0:v>45952</ns0:v>
      </ns0:c>
      <ns0:c r="C23" s="93">
        <ns0:v>45952</ns0:v>
      </ns0:c>
      <ns0:c r="D23" s="94">
        <ns0:f>SUM(E23:AB23)</ns0:f>
        <ns0:v>67.24811</ns0:v>
      </ns0:c>
      <ns0:c r="E23" s="95">
        <ns0:v>1.613</ns0:v>
      </ns0:c>
      <ns0:c r="F23" s="95">
        <ns0:v>1.63786</ns0:v>
      </ns0:c>
      <ns0:c r="G23" s="95">
        <ns0:v>1.60934</ns0:v>
      </ns0:c>
      <ns0:c r="H23" s="95">
        <ns0:v>1.65837</ns0:v>
      </ns0:c>
      <ns0:c r="I23" s="95">
        <ns0:v>1.68868</ns0:v>
      </ns0:c>
      <ns0:c r="J23" s="95">
        <ns0:v>1.63498</ns0:v>
      </ns0:c>
      <ns0:c r="K23" s="95">
        <ns0:v>1.53622</ns0:v>
      </ns0:c>
      <ns0:c r="L23" s="95">
        <ns0:v>1.97086</ns0:v>
      </ns0:c>
      <ns0:c r="M23" s="95">
        <ns0:v>3.94115</ns0:v>
      </ns0:c>
      <ns0:c r="N23" s="95">
        <ns0:v>4.30313</ns0:v>
      </ns0:c>
      <ns0:c r="O23" s="95">
        <ns0:v>4.09856</ns0:v>
      </ns0:c>
      <ns0:c r="P23" s="95">
        <ns0:v>3.89146</ns0:v>
      </ns0:c>
      <ns0:c r="Q23" s="95">
        <ns0:v>2.66661</ns0:v>
      </ns0:c>
      <ns0:c r="R23" s="95">
        <ns0:v>3.37233</ns0:v>
      </ns0:c>
      <ns0:c r="S23" s="95">
        <ns0:v>4.31477</ns0:v>
      </ns0:c>
      <ns0:c r="T23" s="95">
        <ns0:v>4.0749</ns0:v>
      </ns0:c>
      <ns0:c r="U23" s="95">
        <ns0:v>4.27933</ns0:v>
      </ns0:c>
      <ns0:c r="V23" s="95">
        <ns0:v>3.66844</ns0:v>
      </ns0:c>
      <ns0:c r="W23" s="95">
        <ns0:v>3.10295</ns0:v>
      </ns0:c>
      <ns0:c r="X23" s="95">
        <ns0:v>3.24337</ns0:v>
      </ns0:c>
      <ns0:c r="Y23" s="95">
        <ns0:v>2.89276</ns0:v>
      </ns0:c>
      <ns0:c r="Z23" s="95">
        <ns0:v>2.33684</ns0:v>
      </ns0:c>
      <ns0:c r="AA23" s="95">
        <ns0:v>2.00038</ns0:v>
      </ns0:c>
      <ns0:c r="AB23" s="95">
        <ns0:v>1.71182</ns0:v>
      </ns0:c>
      <ns0:c r="AC23"/>
    </ns0:row>
    <ns0:row r="24" ht="20" customHeight="1" spans="1:29">
      <ns0:c r="A24" s="13">
        <ns0:v>23</ns0:v>
      </ns0:c>
      <ns0:c r="B24" s="92">
        <ns0:f>C24</ns0:f>
        <ns0:v>45953</ns0:v>
      </ns0:c>
      <ns0:c r="C24" s="93">
        <ns0:v>45953</ns0:v>
      </ns0:c>
      <ns0:c r="D24" s="94">
        <ns0:f>SUM(E24:AB24)</ns0:f>
        <ns0:v>65.1904</ns0:v>
      </ns0:c>
      <ns0:c r="E24" s="95">
        <ns0:v>1.89112</ns0:v>
      </ns0:c>
      <ns0:c r="F24" s="95">
        <ns0:v>1.57538</ns0:v>
      </ns0:c>
      <ns0:c r="G24" s="95">
        <ns0:v>1.51398</ns0:v>
      </ns0:c>
      <ns0:c r="H24" s="95">
        <ns0:v>1.47135</ns0:v>
      </ns0:c>
      <ns0:c r="I24" s="95">
        <ns0:v>1.53902</ns0:v>
      </ns0:c>
      <ns0:c r="J24" s="95">
        <ns0:v>1.51919</ns0:v>
      </ns0:c>
      <ns0:c r="K24" s="95">
        <ns0:v>1.44226</ns0:v>
      </ns0:c>
      <ns0:c r="L24" s="95">
        <ns0:v>1.94966</ns0:v>
      </ns0:c>
      <ns0:c r="M24" s="95">
        <ns0:v>3.70479</ns0:v>
      </ns0:c>
      <ns0:c r="N24" s="95">
        <ns0:v>3.99295</ns0:v>
      </ns0:c>
      <ns0:c r="O24" s="95">
        <ns0:v>3.70473</ns0:v>
      </ns0:c>
      <ns0:c r="P24" s="95">
        <ns0:v>3.69075</ns0:v>
      </ns0:c>
      <ns0:c r="Q24" s="95">
        <ns0:v>2.60171</ns0:v>
      </ns0:c>
      <ns0:c r="R24" s="95">
        <ns0:v>3.01063</ns0:v>
      </ns0:c>
      <ns0:c r="S24" s="95">
        <ns0:v>3.9942</ns0:v>
      </ns0:c>
      <ns0:c r="T24" s="95">
        <ns0:v>3.90604</ns0:v>
      </ns0:c>
      <ns0:c r="U24" s="95">
        <ns0:v>4.07126</ns0:v>
      </ns0:c>
      <ns0:c r="V24" s="95">
        <ns0:v>3.88254</ns0:v>
      </ns0:c>
      <ns0:c r="W24" s="95">
        <ns0:v>3.26947</ns0:v>
      </ns0:c>
      <ns0:c r="X24" s="95">
        <ns0:v>3.42892</ns0:v>
      </ns0:c>
      <ns0:c r="Y24" s="95">
        <ns0:v>2.97045</ns0:v>
      </ns0:c>
      <ns0:c r="Z24" s="95">
        <ns0:v>2.37771</ns0:v>
      </ns0:c>
      <ns0:c r="AA24" s="95">
        <ns0:v>1.942</ns0:v>
      </ns0:c>
      <ns0:c r="AB24" s="95">
        <ns0:v>1.74029</ns0:v>
      </ns0:c>
      <ns0:c r="AC24"/>
    </ns0:row>
    <ns0:row r="25" ht="20" customHeight="1" spans="1:29">
      <ns0:c r="A25" s="13">
        <ns0:v>24</ns0:v>
      </ns0:c>
      <ns0:c r="B25" s="92">
        <ns0:f>C25</ns0:f>
        <ns0:v>45954</ns0:v>
      </ns0:c>
      <ns0:c r="C25" s="93">
        <ns0:v>45954</ns0:v>
      </ns0:c>
      <ns0:c r="D25" s="94">
        <ns0:f>SUM(E25:AB25)</ns0:f>
        <ns0:v>64.62026</ns0:v>
      </ns0:c>
      <ns0:c r="E25" s="95">
        <ns0:v>1.55094</ns0:v>
      </ns0:c>
      <ns0:c r="F25" s="95">
        <ns0:v>1.57654</ns0:v>
      </ns0:c>
      <ns0:c r="G25" s="95">
        <ns0:v>1.46288</ns0:v>
      </ns0:c>
      <ns0:c r="H25" s="95">
        <ns0:v>1.50689</ns0:v>
      </ns0:c>
      <ns0:c r="I25" s="95">
        <ns0:v>1.46974</ns0:v>
      </ns0:c>
      <ns0:c r="J25" s="95">
        <ns0:v>1.49927</ns0:v>
      </ns0:c>
      <ns0:c r="K25" s="95">
        <ns0:v>1.43654</ns0:v>
      </ns0:c>
      <ns0:c r="L25" s="95">
        <ns0:v>1.91919</ns0:v>
      </ns0:c>
      <ns0:c r="M25" s="95">
        <ns0:v>3.80597</ns0:v>
      </ns0:c>
      <ns0:c r="N25" s="95">
        <ns0:v>4.12779</ns0:v>
      </ns0:c>
      <ns0:c r="O25" s="95">
        <ns0:v>3.93168</ns0:v>
      </ns0:c>
      <ns0:c r="P25" s="95">
        <ns0:v>3.68256</ns0:v>
      </ns0:c>
      <ns0:c r="Q25" s="95">
        <ns0:v>2.54687</ns0:v>
      </ns0:c>
      <ns0:c r="R25" s="95">
        <ns0:v>2.97864</ns0:v>
      </ns0:c>
      <ns0:c r="S25" s="95">
        <ns0:v>4.0213</ns0:v>
      </ns0:c>
      <ns0:c r="T25" s="95">
        <ns0:v>3.82454</ns0:v>
      </ns0:c>
      <ns0:c r="U25" s="95">
        <ns0:v>3.96976</ns0:v>
      </ns0:c>
      <ns0:c r="V25" s="95">
        <ns0:v>3.7653</ns0:v>
      </ns0:c>
      <ns0:c r="W25" s="95">
        <ns0:v>3.284</ns0:v>
      </ns0:c>
      <ns0:c r="X25" s="95">
        <ns0:v>3.35618</ns0:v>
      </ns0:c>
      <ns0:c r="Y25" s="95">
        <ns0:v>3.06855</ns0:v>
      </ns0:c>
      <ns0:c r="Z25" s="95">
        <ns0:v>2.35078</ns0:v>
      </ns0:c>
      <ns0:c r="AA25" s="95">
        <ns0:v>1.88092</ns0:v>
      </ns0:c>
      <ns0:c r="AB25" s="95">
        <ns0:v>1.60343</ns0:v>
      </ns0:c>
      <ns0:c r="AC25"/>
    </ns0:row>
    <ns0:row r="26" ht="20" customHeight="1" spans="1:29">
      <ns0:c r="A26" s="13">
        <ns0:v>25</ns0:v>
      </ns0:c>
      <ns0:c r="B26" s="92">
        <ns0:f>C26</ns0:f>
        <ns0:v>45955</ns0:v>
      </ns0:c>
      <ns0:c r="C26" s="93">
        <ns0:v>45955</ns0:v>
      </ns0:c>
      <ns0:c r="D26" s="94">
        <ns0:f>SUM(E26:AB26)</ns0:f>
        <ns0:v>63.27322</ns0:v>
      </ns0:c>
      <ns0:c r="E26" s="95">
        <ns0:v>1.51008</ns0:v>
      </ns0:c>
      <ns0:c r="F26" s="95">
        <ns0:v>1.56751</ns0:v>
      </ns0:c>
      <ns0:c r="G26" s="95">
        <ns0:v>1.51587</ns0:v>
      </ns0:c>
      <ns0:c r="H26" s="95">
        <ns0:v>1.48651</ns0:v>
      </ns0:c>
      <ns0:c r="I26" s="95">
        <ns0:v>1.47558</ns0:v>
      </ns0:c>
      <ns0:c r="J26" s="95">
        <ns0:v>1.46494</ns0:v>
      </ns0:c>
      <ns0:c r="K26" s="95">
        <ns0:v>1.42966</ns0:v>
      </ns0:c>
      <ns0:c r="L26" s="95">
        <ns0:v>1.87664</ns0:v>
      </ns0:c>
      <ns0:c r="M26" s="95">
        <ns0:v>3.78387</ns0:v>
      </ns0:c>
      <ns0:c r="N26" s="95">
        <ns0:v>4.17523</ns0:v>
      </ns0:c>
      <ns0:c r="O26" s="95">
        <ns0:v>3.82336</ns0:v>
      </ns0:c>
      <ns0:c r="P26" s="95">
        <ns0:v>3.4544</ns0:v>
      </ns0:c>
      <ns0:c r="Q26" s="95">
        <ns0:v>2.38819</ns0:v>
      </ns0:c>
      <ns0:c r="R26" s="95">
        <ns0:v>2.84302</ns0:v>
      </ns0:c>
      <ns0:c r="S26" s="95">
        <ns0:v>3.71856</ns0:v>
      </ns0:c>
      <ns0:c r="T26" s="95">
        <ns0:v>3.80547</ns0:v>
      </ns0:c>
      <ns0:c r="U26" s="95">
        <ns0:v>3.94651</ns0:v>
      </ns0:c>
      <ns0:c r="V26" s="95">
        <ns0:v>3.64835</ns0:v>
      </ns0:c>
      <ns0:c r="W26" s="95">
        <ns0:v>3.19918</ns0:v>
      </ns0:c>
      <ns0:c r="X26" s="95">
        <ns0:v>3.27758</ns0:v>
      </ns0:c>
      <ns0:c r="Y26" s="95">
        <ns0:v>2.94056</ns0:v>
      </ns0:c>
      <ns0:c r="Z26" s="95">
        <ns0:v>2.3845</ns0:v>
      </ns0:c>
      <ns0:c r="AA26" s="95">
        <ns0:v>1.86495</ns0:v>
      </ns0:c>
      <ns0:c r="AB26" s="95">
        <ns0:v>1.6927</ns0:v>
      </ns0:c>
      <ns0:c r="AC26"/>
    </ns0:row>
    <ns0:row r="27" ht="20" customHeight="1" spans="1:29">
      <ns0:c r="A27" s="13">
        <ns0:v>26</ns0:v>
      </ns0:c>
      <ns0:c r="B27" s="92">
        <ns0:f>C27</ns0:f>
        <ns0:v>45956</ns0:v>
      </ns0:c>
      <ns0:c r="C27" s="93">
        <ns0:v>45956</ns0:v>
      </ns0:c>
      <ns0:c r="D27" s="94">
        <ns0:f>SUM(E27:AB27)</ns0:f>
        <ns0:v>47.57311</ns0:v>
      </ns0:c>
      <ns0:c r="E27" s="95">
        <ns0:v>1.54194</ns0:v>
      </ns0:c>
      <ns0:c r="F27" s="95">
        <ns0:v>1.62412</ns0:v>
      </ns0:c>
      <ns0:c r="G27" s="95">
        <ns0:v>1.60187</ns0:v>
      </ns0:c>
      <ns0:c r="H27" s="95">
        <ns0:v>1.61828</ns0:v>
      </ns0:c>
      <ns0:c r="I27" s="95">
        <ns0:v>1.47351</ns0:v>
      </ns0:c>
      <ns0:c r="J27" s="95">
        <ns0:v>1.44301</ns0:v>
      </ns0:c>
      <ns0:c r="K27" s="95">
        <ns0:v>1.42309</ns0:v>
      </ns0:c>
      <ns0:c r="L27" s="95">
        <ns0:v>1.59207</ns0:v>
      </ns0:c>
      <ns0:c r="M27" s="95">
        <ns0:v>2.99592</ns0:v>
      </ns0:c>
      <ns0:c r="N27" s="95">
        <ns0:v>3.17327</ns0:v>
      </ns0:c>
      <ns0:c r="O27" s="95">
        <ns0:v>3.01412</ns0:v>
      </ns0:c>
      <ns0:c r="P27" s="95">
        <ns0:v>2.74385</ns0:v>
      </ns0:c>
      <ns0:c r="Q27" s="95">
        <ns0:v>1.54217</ns0:v>
      </ns0:c>
      <ns0:c r="R27" s="95">
        <ns0:v>1.89864</ns0:v>
      </ns0:c>
      <ns0:c r="S27" s="95">
        <ns0:v>2.8425</ns0:v>
      </ns0:c>
      <ns0:c r="T27" s="95">
        <ns0:v>2.9265</ns0:v>
      </ns0:c>
      <ns0:c r="U27" s="95">
        <ns0:v>3.07762</ns0:v>
      </ns0:c>
      <ns0:c r="V27" s="95">
        <ns0:v>2.72933</ns0:v>
      </ns0:c>
      <ns0:c r="W27" s="95">
        <ns0:v>1.57168</ns0:v>
      </ns0:c>
      <ns0:c r="X27" s="95">
        <ns0:v>1.48983</ns0:v>
      </ns0:c>
      <ns0:c r="Y27" s="95">
        <ns0:v>1.40674</ns0:v>
      </ns0:c>
      <ns0:c r="Z27" s="95">
        <ns0:v>1.28607</ns0:v>
      </ns0:c>
      <ns0:c r="AA27" s="95">
        <ns0:v>1.29084</ns0:v>
      </ns0:c>
      <ns0:c r="AB27" s="95">
        <ns0:v>1.26614</ns0:v>
      </ns0:c>
      <ns0:c r="AC27"/>
    </ns0:row>
    <ns0:row r="28" ht="20" customHeight="1" spans="1:29">
      <ns0:c r="A28" s="13">
        <ns0:v>27</ns0:v>
      </ns0:c>
      <ns0:c r="B28" s="92">
        <ns0:f>C28</ns0:f>
        <ns0:v>45957</ns0:v>
      </ns0:c>
      <ns0:c r="C28" s="93">
        <ns0:v>45957</ns0:v>
      </ns0:c>
      <ns0:c r="D28" s="94">
        <ns0:f>SUM(E28:AB28)</ns0:f>
        <ns0:v>62.01151</ns0:v>
      </ns0:c>
      <ns0:c r="E28" s="95">
        <ns0:v>1.29965</ns0:v>
      </ns0:c>
      <ns0:c r="F28" s="95">
        <ns0:v>1.25127</ns0:v>
      </ns0:c>
      <ns0:c r="G28" s="95">
        <ns0:v>1.17517</ns0:v>
      </ns0:c>
      <ns0:c r="H28" s="95">
        <ns0:v>1.23828</ns0:v>
      </ns0:c>
      <ns0:c r="I28" s="95">
        <ns0:v>1.19201</ns0:v>
      </ns0:c>
      <ns0:c r="J28" s="95">
        <ns0:v>1.16267</ns0:v>
      </ns0:c>
      <ns0:c r="K28" s="95">
        <ns0:v>1.22045</ns0:v>
      </ns0:c>
      <ns0:c r="L28" s="95">
        <ns0:v>1.69051</ns0:v>
      </ns0:c>
      <ns0:c r="M28" s="95">
        <ns0:v>3.73777</ns0:v>
      </ns0:c>
      <ns0:c r="N28" s="95">
        <ns0:v>4.14056</ns0:v>
      </ns0:c>
      <ns0:c r="O28" s="95">
        <ns0:v>3.87553</ns0:v>
      </ns0:c>
      <ns0:c r="P28" s="95">
        <ns0:v>3.6765</ns0:v>
      </ns0:c>
      <ns0:c r="Q28" s="95">
        <ns0:v>2.38332</ns0:v>
      </ns0:c>
      <ns0:c r="R28" s="95">
        <ns0:v>3.04024</ns0:v>
      </ns0:c>
      <ns0:c r="S28" s="95">
        <ns0:v>4.02711</ns0:v>
      </ns0:c>
      <ns0:c r="T28" s="95">
        <ns0:v>3.91643</ns0:v>
      </ns0:c>
      <ns0:c r="U28" s="95">
        <ns0:v>3.90856</ns0:v>
      </ns0:c>
      <ns0:c r="V28" s="95">
        <ns0:v>3.61473</ns0:v>
      </ns0:c>
      <ns0:c r="W28" s="95">
        <ns0:v>3.1789</ns0:v>
      </ns0:c>
      <ns0:c r="X28" s="95">
        <ns0:v>3.50718</ns0:v>
      </ns0:c>
      <ns0:c r="Y28" s="95">
        <ns0:v>3.02403</ns0:v>
      </ns0:c>
      <ns0:c r="Z28" s="95">
        <ns0:v>2.42764</ns0:v>
      </ns0:c>
      <ns0:c r="AA28" s="95">
        <ns0:v>1.8454</ns0:v>
      </ns0:c>
      <ns0:c r="AB28" s="95">
        <ns0:v>1.4776</ns0:v>
      </ns0:c>
      <ns0:c r="AC28"/>
    </ns0:row>
    <ns0:row r="29" ht="20" customHeight="1" spans="1:29">
      <ns0:c r="A29" s="13">
        <ns0:v>28</ns0:v>
      </ns0:c>
      <ns0:c r="B29" s="92">
        <ns0:f>C29</ns0:f>
        <ns0:v>45958</ns0:v>
      </ns0:c>
      <ns0:c r="C29" s="93">
        <ns0:v>45958</ns0:v>
      </ns0:c>
      <ns0:c r="D29" s="94">
        <ns0:f>SUM(E29:AB29)</ns0:f>
        <ns0:v>61.80102</ns0:v>
      </ns0:c>
      <ns0:c r="E29" s="95">
        <ns0:v>1.34381</ns0:v>
      </ns0:c>
      <ns0:c r="F29" s="95">
        <ns0:v>1.3797</ns0:v>
      </ns0:c>
      <ns0:c r="G29" s="95">
        <ns0:v>1.3344</ns0:v>
      </ns0:c>
      <ns0:c r="H29" s="95">
        <ns0:v>1.35687</ns0:v>
      </ns0:c>
      <ns0:c r="I29" s="95">
        <ns0:v>1.23863</ns0:v>
      </ns0:c>
      <ns0:c r="J29" s="95">
        <ns0:v>1.24107</ns0:v>
      </ns0:c>
      <ns0:c r="K29" s="95">
        <ns0:v>1.23432</ns0:v>
      </ns0:c>
      <ns0:c r="L29" s="95">
        <ns0:v>1.61457</ns0:v>
      </ns0:c>
      <ns0:c r="M29" s="95">
        <ns0:v>3.5302</ns0:v>
      </ns0:c>
      <ns0:c r="N29" s="95">
        <ns0:v>4.01003</ns0:v>
      </ns0:c>
      <ns0:c r="O29" s="95">
        <ns0:v>3.67725</ns0:v>
      </ns0:c>
      <ns0:c r="P29" s="95">
        <ns0:v>3.45768</ns0:v>
      </ns0:c>
      <ns0:c r="Q29" s="95">
        <ns0:v>2.38648</ns0:v>
      </ns0:c>
      <ns0:c r="R29" s="95">
        <ns0:v>3.2112</ns0:v>
      </ns0:c>
      <ns0:c r="S29" s="95">
        <ns0:v>4.07215</ns0:v>
      </ns0:c>
      <ns0:c r="T29" s="95">
        <ns0:v>3.76428</ns0:v>
      </ns0:c>
      <ns0:c r="U29" s="95">
        <ns0:v>3.9</ns0:v>
      </ns0:c>
      <ns0:c r="V29" s="95">
        <ns0:v>3.54024</ns0:v>
      </ns0:c>
      <ns0:c r="W29" s="95">
        <ns0:v>3.35871</ns0:v>
      </ns0:c>
      <ns0:c r="X29" s="95">
        <ns0:v>3.27262</ns0:v>
      </ns0:c>
      <ns0:c r="Y29" s="95">
        <ns0:v>2.97282</ns0:v>
      </ns0:c>
      <ns0:c r="Z29" s="95">
        <ns0:v>2.38982</ns0:v>
      </ns0:c>
      <ns0:c r="AA29" s="95">
        <ns0:v>1.8814</ns0:v>
      </ns0:c>
      <ns0:c r="AB29" s="95">
        <ns0:v>1.63277</ns0:v>
      </ns0:c>
      <ns0:c r="AC29"/>
    </ns0:row>
    <ns0:row r="30" ht="20" customHeight="1" spans="1:29">
      <ns0:c r="A30" s="13">
        <ns0:v>29</ns0:v>
      </ns0:c>
      <ns0:c r="B30" s="92">
        <ns0:f>C30</ns0:f>
        <ns0:v>45959</ns0:v>
      </ns0:c>
      <ns0:c r="C30" s="93">
        <ns0:v>45959</ns0:v>
      </ns0:c>
      <ns0:c r="D30" s="94">
        <ns0:f>SUM(E30:AB30)</ns0:f>
        <ns0:v>63.48144</ns0:v>
      </ns0:c>
      <ns0:c r="E30" s="95">
        <ns0:v>1.53036</ns0:v>
      </ns0:c>
      <ns0:c r="F30" s="95">
        <ns0:v>1.42765</ns0:v>
      </ns0:c>
      <ns0:c r="G30" s="95">
        <ns0:v>1.46726</ns0:v>
      </ns0:c>
      <ns0:c r="H30" s="95">
        <ns0:v>1.4153</ns0:v>
      </ns0:c>
      <ns0:c r="I30" s="95">
        <ns0:v>1.31694</ns0:v>
      </ns0:c>
      <ns0:c r="J30" s="95">
        <ns0:v>1.35598</ns0:v>
      </ns0:c>
      <ns0:c r="K30" s="95">
        <ns0:v>1.28164</ns0:v>
      </ns0:c>
      <ns0:c r="L30" s="95">
        <ns0:v>1.62868</ns0:v>
      </ns0:c>
      <ns0:c r="M30" s="95">
        <ns0:v>3.68024</ns0:v>
      </ns0:c>
      <ns0:c r="N30" s="95">
        <ns0:v>4.2638</ns0:v>
      </ns0:c>
      <ns0:c r="O30" s="95">
        <ns0:v>3.67679</ns0:v>
      </ns0:c>
      <ns0:c r="P30" s="95">
        <ns0:v>3.49148</ns0:v>
      </ns0:c>
      <ns0:c r="Q30" s="95">
        <ns0:v>2.63043</ns0:v>
      </ns0:c>
      <ns0:c r="R30" s="95">
        <ns0:v>3.22038</ns0:v>
      </ns0:c>
      <ns0:c r="S30" s="95">
        <ns0:v>3.94671</ns0:v>
      </ns0:c>
      <ns0:c r="T30" s="95">
        <ns0:v>3.78218</ns0:v>
      </ns0:c>
      <ns0:c r="U30" s="95">
        <ns0:v>3.89249</ns0:v>
      </ns0:c>
      <ns0:c r="V30" s="95">
        <ns0:v>3.73745</ns0:v>
      </ns0:c>
      <ns0:c r="W30" s="95">
        <ns0:v>3.32806</ns0:v>
      </ns0:c>
      <ns0:c r="X30" s="95">
        <ns0:v>3.47117</ns0:v>
      </ns0:c>
      <ns0:c r="Y30" s="95">
        <ns0:v>2.86068</ns0:v>
      </ns0:c>
      <ns0:c r="Z30" s="95">
        <ns0:v>2.41988</ns0:v>
      </ns0:c>
      <ns0:c r="AA30" s="95">
        <ns0:v>1.99211</ns0:v>
      </ns0:c>
      <ns0:c r="AB30" s="95">
        <ns0:v>1.66378</ns0:v>
      </ns0:c>
      <ns0:c r="AC30"/>
    </ns0:row>
    <ns0:row r="31" ht="20" customHeight="1" spans="1:29">
      <ns0:c r="A31" s="13">
        <ns0:v>30</ns0:v>
      </ns0:c>
      <ns0:c r="B31" s="92">
        <ns0:f>C31</ns0:f>
        <ns0:v>45960</ns0:v>
      </ns0:c>
      <ns0:c r="C31" s="93">
        <ns0:v>45960</ns0:v>
      </ns0:c>
      <ns0:c r="D31" s="94">
        <ns0:f>SUM(E31:AB31)</ns0:f>
        <ns0:v>65.35391</ns0:v>
      </ns0:c>
      <ns0:c r="E31" s="95">
        <ns0:v>1.53956</ns0:v>
      </ns0:c>
      <ns0:c r="F31" s="95">
        <ns0:v>1.59466</ns0:v>
      </ns0:c>
      <ns0:c r="G31" s="95">
        <ns0:v>1.52146</ns0:v>
      </ns0:c>
      <ns0:c r="H31" s="95">
        <ns0:v>1.52428</ns0:v>
      </ns0:c>
      <ns0:c r="I31" s="95">
        <ns0:v>1.51346</ns0:v>
      </ns0:c>
      <ns0:c r="J31" s="95">
        <ns0:v>1.53867</ns0:v>
      </ns0:c>
      <ns0:c r="K31" s="95">
        <ns0:v>1.49697</ns0:v>
      </ns0:c>
      <ns0:c r="L31" s="95">
        <ns0:v>1.85882</ns0:v>
      </ns0:c>
      <ns0:c r="M31" s="95">
        <ns0:v>3.7632</ns0:v>
      </ns0:c>
      <ns0:c r="N31" s="95">
        <ns0:v>4.18396</ns0:v>
      </ns0:c>
      <ns0:c r="O31" s="95">
        <ns0:v>3.72335</ns0:v>
      </ns0:c>
      <ns0:c r="P31" s="95">
        <ns0:v>3.58544</ns0:v>
      </ns0:c>
      <ns0:c r="Q31" s="95">
        <ns0:v>2.61244</ns0:v>
      </ns0:c>
      <ns0:c r="R31" s="95">
        <ns0:v>3.33216</ns0:v>
      </ns0:c>
      <ns0:c r="S31" s="95">
        <ns0:v>4.09917</ns0:v>
      </ns0:c>
      <ns0:c r="T31" s="95">
        <ns0:v>3.91998</ns0:v>
      </ns0:c>
      <ns0:c r="U31" s="95">
        <ns0:v>4.0856</ns0:v>
      </ns0:c>
      <ns0:c r="V31" s="95">
        <ns0:v>3.89149</ns0:v>
      </ns0:c>
      <ns0:c r="W31" s="95">
        <ns0:v>3.30451</ns0:v>
      </ns0:c>
      <ns0:c r="X31" s="95">
        <ns0:v>3.49506</ns0:v>
      </ns0:c>
      <ns0:c r="Y31" s="95">
        <ns0:v>2.95255</ns0:v>
      </ns0:c>
      <ns0:c r="Z31" s="95">
        <ns0:v>2.37689</ns0:v>
      </ns0:c>
      <ns0:c r="AA31" s="95">
        <ns0:v>1.90219</ns0:v>
      </ns0:c>
      <ns0:c r="AB31" s="95">
        <ns0:v>1.53804</ns0:v>
      </ns0:c>
      <ns0:c r="AC31"/>
    </ns0:row>
    <ns0:row r="32" ht="16" customHeight="1" spans="1:29">
      <ns0:c r="A32" s="13">
        <ns0:v>31</ns0:v>
      </ns0:c>
      <ns0:c r="B32" s="92">
        <ns0:f>C32</ns0:f>
        <ns0:v>45961</ns0:v>
      </ns0:c>
      <ns0:c r="C32" s="93">
        <ns0:v>45961</ns0:v>
      </ns0:c>
      <ns0:c r="D32" s="94">
        <ns0:f>SUM(E32:AB32)</ns0:f>
        <ns0:v>73.56409</ns0:v>
      </ns0:c>
      <ns0:c r="E32" s="95">
        <ns0:v>2.07629</ns0:v>
      </ns0:c>
      <ns0:c r="F32" s="95">
        <ns0:v>2.05236</ns0:v>
      </ns0:c>
      <ns0:c r="G32" s="95">
        <ns0:v>2.1353</ns0:v>
      </ns0:c>
      <ns0:c r="H32" s="95">
        <ns0:v>1.99545</ns0:v>
      </ns0:c>
      <ns0:c r="I32" s="95">
        <ns0:v>1.97641</ns0:v>
      </ns0:c>
      <ns0:c r="J32" s="95">
        <ns0:v>2.03781</ns0:v>
      </ns0:c>
      <ns0:c r="K32" s="95">
        <ns0:v>1.94562</ns0:v>
      </ns0:c>
      <ns0:c r="L32" s="95">
        <ns0:v>2.19065</ns0:v>
      </ns0:c>
      <ns0:c r="M32" s="95">
        <ns0:v>4.29417</ns0:v>
      </ns0:c>
      <ns0:c r="N32" s="95">
        <ns0:v>4.57936</ns0:v>
      </ns0:c>
      <ns0:c r="O32" s="95">
        <ns0:v>4.10891</ns0:v>
      </ns0:c>
      <ns0:c r="P32" s="95">
        <ns0:v>3.95344</ns0:v>
      </ns0:c>
      <ns0:c r="Q32" s="95">
        <ns0:v>3.31097</ns0:v>
      </ns0:c>
      <ns0:c r="R32" s="95">
        <ns0:v>3.76176</ns0:v>
      </ns0:c>
      <ns0:c r="S32" s="95">
        <ns0:v>4.1901</ns0:v>
      </ns0:c>
      <ns0:c r="T32" s="95">
        <ns0:v>4.13854</ns0:v>
      </ns0:c>
      <ns0:c r="U32" s="95">
        <ns0:v>4.2108</ns0:v>
      </ns0:c>
      <ns0:c r="V32" s="95">
        <ns0:v>3.92283</ns0:v>
      </ns0:c>
      <ns0:c r="W32" s="95">
        <ns0:v>3.43128</ns0:v>
      </ns0:c>
      <ns0:c r="X32" s="95">
        <ns0:v>3.57816</ns0:v>
      </ns0:c>
      <ns0:c r="Y32" s="95">
        <ns0:v>3.0724</ns0:v>
      </ns0:c>
      <ns0:c r="Z32" s="95">
        <ns0:v>2.59467</ns0:v>
      </ns0:c>
      <ns0:c r="AA32" s="95">
        <ns0:v>2.06191</ns0:v>
      </ns0:c>
      <ns0:c r="AB32" s="95">
        <ns0:v>1.9449</ns0:v>
      </ns0:c>
      <ns0:c r="AC32"/>
    </ns0:row>
    <ns0:row r="33" ht="16" customHeight="1" spans="1:29">
      <ns0:c r="A33" s="13">
        <ns0:v>32</ns0:v>
      </ns0:c>
      <ns0:c r="B33" s="92">
        <ns0:f>C33</ns0:f>
        <ns0:v>45962</ns0:v>
      </ns0:c>
      <ns0:c r="C33" s="93">
        <ns0:v>45962</ns0:v>
      </ns0:c>
      <ns0:c r="D33" s="94">
        <ns0:f>SUM(E33:AB33)</ns0:f>
        <ns0:v>46.39376</ns0:v>
      </ns0:c>
      <ns0:c r="E33" s="95">
        <ns0:v>1.42518</ns0:v>
      </ns0:c>
      <ns0:c r="F33" s="95">
        <ns0:v>1.34808</ns0:v>
      </ns0:c>
      <ns0:c r="G33" s="95">
        <ns0:v>1.32678</ns0:v>
      </ns0:c>
      <ns0:c r="H33" s="95">
        <ns0:v>1.30988</ns0:v>
      </ns0:c>
      <ns0:c r="I33" s="95">
        <ns0:v>1.32137</ns0:v>
      </ns0:c>
      <ns0:c r="J33" s="95">
        <ns0:v>1.36628</ns0:v>
      </ns0:c>
      <ns0:c r="K33" s="95">
        <ns0:v>1.28749</ns0:v>
      </ns0:c>
      <ns0:c r="L33" s="95">
        <ns0:v>1.4484</ns0:v>
      </ns0:c>
      <ns0:c r="M33" s="95">
        <ns0:v>2.7123</ns0:v>
      </ns0:c>
      <ns0:c r="N33" s="95">
        <ns0:v>2.76681</ns0:v>
      </ns0:c>
      <ns0:c r="O33" s="95">
        <ns0:v>2.27681</ns0:v>
      </ns0:c>
      <ns0:c r="P33" s="95">
        <ns0:v>2.1688</ns0:v>
      </ns0:c>
      <ns0:c r="Q33" s="95">
        <ns0:v>2.04161</ns0:v>
      </ns0:c>
      <ns0:c r="R33" s="95">
        <ns0:v>2.5422</ns0:v>
      </ns0:c>
      <ns0:c r="S33" s="95">
        <ns0:v>2.9023</ns0:v>
      </ns0:c>
      <ns0:c r="T33" s="95">
        <ns0:v>2.64941</ns0:v>
      </ns0:c>
      <ns0:c r="U33" s="95">
        <ns0:v>2.7257</ns0:v>
      </ns0:c>
      <ns0:c r="V33" s="95">
        <ns0:v>2.50939</ns0:v>
      </ns0:c>
      <ns0:c r="W33" s="95">
        <ns0:v>2.21989</ns0:v>
      </ns0:c>
      <ns0:c r="X33" s="95">
        <ns0:v>2.31778</ns0:v>
      </ns0:c>
      <ns0:c r="Y33" s="95">
        <ns0:v>1.85227</ns0:v>
      </ns0:c>
      <ns0:c r="Z33" s="95">
        <ns0:v>1.54368</ns0:v>
      </ns0:c>
      <ns0:c r="AA33" s="95">
        <ns0:v>1.21168</ns0:v>
      </ns0:c>
      <ns0:c r="AB33" s="95">
        <ns0:v>1.11967</ns0:v>
      </ns0:c>
      <ns0:c r="AC33"/>
    </ns0:row>
    <ns0:row r="34" ht="16" customHeight="1" spans="1:29">
      <ns0:c r="A34" s="13">
        <ns0:v>33</ns0:v>
      </ns0:c>
      <ns0:c r="B34" s="92">
        <ns0:f>C34</ns0:f>
        <ns0:v>45963</ns0:v>
      </ns0:c>
      <ns0:c r="C34" s="93">
        <ns0:v>45963</ns0:v>
      </ns0:c>
      <ns0:c r="D34" s="94">
        <ns0:f>SUM(E34:AB34)</ns0:f>
        <ns0:v>43.10188</ns0:v>
      </ns0:c>
      <ns0:c r="E34" s="95">
        <ns0:v>1.20378</ns0:v>
      </ns0:c>
      <ns0:c r="F34" s="95">
        <ns0:v>1.03247</ns0:v>
      </ns0:c>
      <ns0:c r="G34" s="95">
        <ns0:v>1.00468</ns0:v>
      </ns0:c>
      <ns0:c r="H34" s="95">
        <ns0:v>1.01688</ns0:v>
      </ns0:c>
      <ns0:c r="I34" s="95">
        <ns0:v>0.96068</ns0:v>
      </ns0:c>
      <ns0:c r="J34" s="95">
        <ns0:v>1.00197</ns0:v>
      </ns0:c>
      <ns0:c r="K34" s="95">
        <ns0:v>1.01529</ns0:v>
      </ns0:c>
      <ns0:c r="L34" s="95">
        <ns0:v>1.3243</ns0:v>
      </ns0:c>
      <ns0:c r="M34" s="95">
        <ns0:v>2.4591</ns0:v>
      </ns0:c>
      <ns0:c r="N34" s="95">
        <ns0:v>2.92441</ns0:v>
      </ns0:c>
      <ns0:c r="O34" s="95">
        <ns0:v>2.6657</ns0:v>
      </ns0:c>
      <ns0:c r="P34" s="95">
        <ns0:v>2.41511</ns0:v>
      </ns0:c>
      <ns0:c r="Q34" s="95">
        <ns0:v>2.24811</ns0:v>
      </ns0:c>
      <ns0:c r="R34" s="95">
        <ns0:v>2.1198</ns0:v>
      </ns0:c>
      <ns0:c r="S34" s="95">
        <ns0:v>2.74091</ns0:v>
      </ns0:c>
      <ns0:c r="T34" s="95">
        <ns0:v>2.54611</ns0:v>
      </ns0:c>
      <ns0:c r="U34" s="95">
        <ns0:v>2.6304</ns0:v>
      </ns0:c>
      <ns0:c r="V34" s="95">
        <ns0:v>2.5286</ns0:v>
      </ns0:c>
      <ns0:c r="W34" s="95">
        <ns0:v>1.80128</ns0:v>
      </ns0:c>
      <ns0:c r="X34" s="95">
        <ns0:v>1.70989</ns0:v>
      </ns0:c>
      <ns0:c r="Y34" s="95">
        <ns0:v>1.61188</ns0:v>
      </ns0:c>
      <ns0:c r="Z34" s="95">
        <ns0:v>1.49918</ns0:v>
      </ns0:c>
      <ns0:c r="AA34" s="95">
        <ns0:v>1.37007</ns0:v>
      </ns0:c>
      <ns0:c r="AB34" s="95">
        <ns0:v>1.27128</ns0:v>
      </ns0:c>
      <ns0:c r="AC34"/>
    </ns0:row>
    <ns0:row r="35" ht="16" customHeight="1" spans="1:29">
      <ns0:c r="A35" s="13">
        <ns0:v>34</ns0:v>
      </ns0:c>
      <ns0:c r="B35" s="92">
        <ns0:f>C35</ns0:f>
        <ns0:v>45964</ns0:v>
      </ns0:c>
      <ns0:c r="C35" s="93">
        <ns0:v>45964</ns0:v>
      </ns0:c>
      <ns0:c r="D35" s="94">
        <ns0:f>SUM(E35:AB35)</ns0:f>
        <ns0:v>60.24992</ns0:v>
      </ns0:c>
      <ns0:c r="E35" s="95">
        <ns0:v>1.33928</ns0:v>
      </ns0:c>
      <ns0:c r="F35" s="95">
        <ns0:v>1.43528</ns0:v>
      </ns0:c>
      <ns0:c r="G35" s="95">
        <ns0:v>1.35838</ns0:v>
      </ns0:c>
      <ns0:c r="H35" s="95">
        <ns0:v>1.37588</ns0:v>
      </ns0:c>
      <ns0:c r="I35" s="95">
        <ns0:v>1.32068</ns0:v>
      </ns0:c>
      <ns0:c r="J35" s="95">
        <ns0:v>1.30707</ns0:v>
      </ns0:c>
      <ns0:c r="K35" s="95">
        <ns0:v>1.25349</ns0:v>
      </ns0:c>
      <ns0:c r="L35" s="95">
        <ns0:v>1.7818</ns0:v>
      </ns0:c>
      <ns0:c r="M35" s="95">
        <ns0:v>3.54575</ns0:v>
      </ns0:c>
      <ns0:c r="N35" s="95">
        <ns0:v>4.10412</ns0:v>
      </ns0:c>
      <ns0:c r="O35" s="95">
        <ns0:v>3.40518</ns0:v>
      </ns0:c>
      <ns0:c r="P35" s="95">
        <ns0:v>3.26862</ns0:v>
      </ns0:c>
      <ns0:c r="Q35" s="95">
        <ns0:v>2.62565</ns0:v>
      </ns0:c>
      <ns0:c r="R35" s="95">
        <ns0:v>3.14804</ns0:v>
      </ns0:c>
      <ns0:c r="S35" s="95">
        <ns0:v>3.69771</ns0:v>
      </ns0:c>
      <ns0:c r="T35" s="95">
        <ns0:v>3.4817</ns0:v>
      </ns0:c>
      <ns0:c r="U35" s="95">
        <ns0:v>3.63704</ns0:v>
      </ns0:c>
      <ns0:c r="V35" s="95">
        <ns0:v>3.38119</ns0:v>
      </ns0:c>
      <ns0:c r="W35" s="95">
        <ns0:v>3.19235</ns0:v>
      </ns0:c>
      <ns0:c r="X35" s="95">
        <ns0:v>3.17289</ns0:v>
      </ns0:c>
      <ns0:c r="Y35" s="95">
        <ns0:v>2.85598</ns0:v>
      </ns0:c>
      <ns0:c r="Z35" s="95">
        <ns0:v>2.21778</ns0:v>
      </ns0:c>
      <ns0:c r="AA35" s="95">
        <ns0:v>1.77318</ns0:v>
      </ns0:c>
      <ns0:c r="AB35" s="95">
        <ns0:v>1.57088</ns0:v>
      </ns0:c>
      <ns0:c r="AC35"/>
    </ns0:row>
    <ns0:row r="36" ht="16" customHeight="1" spans="1:29">
      <ns0:c r="A36" s="13">
        <ns0:v>35</ns0:v>
      </ns0:c>
      <ns0:c r="B36" s="92">
        <ns0:f>C36</ns0:f>
        <ns0:v>45965</ns0:v>
      </ns0:c>
      <ns0:c r="C36" s="93">
        <ns0:v>45965</ns0:v>
      </ns0:c>
      <ns0:c r="D36" s="94">
        <ns0:f>SUM(E36:AB36)</ns0:f>
        <ns0:v>64.53122</ns0:v>
      </ns0:c>
      <ns0:c r="E36" s="95">
        <ns0:v>1.47348</ns0:v>
      </ns0:c>
      <ns0:c r="F36" s="95">
        <ns0:v>1.48868</ns0:v>
      </ns0:c>
      <ns0:c r="G36" s="95">
        <ns0:v>1.49798</ns0:v>
      </ns0:c>
      <ns0:c r="H36" s="95">
        <ns0:v>1.49008</ns0:v>
      </ns0:c>
      <ns0:c r="I36" s="95">
        <ns0:v>1.47768</ns0:v>
      </ns0:c>
      <ns0:c r="J36" s="95">
        <ns0:v>1.52228</ns0:v>
      </ns0:c>
      <ns0:c r="K36" s="95">
        <ns0:v>1.40269</ns0:v>
      </ns0:c>
      <ns0:c r="L36" s="95">
        <ns0:v>1.98199</ns0:v>
      </ns0:c>
      <ns0:c r="M36" s="95">
        <ns0:v>3.83618</ns0:v>
      </ns0:c>
      <ns0:c r="N36" s="95">
        <ns0:v>4.30769</ns0:v>
      </ns0:c>
      <ns0:c r="O36" s="95">
        <ns0:v>3.82322</ns0:v>
      </ns0:c>
      <ns0:c r="P36" s="95">
        <ns0:v>3.45613</ns0:v>
      </ns0:c>
      <ns0:c r="Q36" s="95">
        <ns0:v>3.03483</ns0:v>
      </ns0:c>
      <ns0:c r="R36" s="95">
        <ns0:v>3.57012</ns0:v>
      </ns0:c>
      <ns0:c r="S36" s="95">
        <ns0:v>3.8592</ns0:v>
      </ns0:c>
      <ns0:c r="T36" s="95">
        <ns0:v>3.6798</ns0:v>
      </ns0:c>
      <ns0:c r="U36" s="95">
        <ns0:v>3.76326</ns0:v>
      </ns0:c>
      <ns0:c r="V36" s="95">
        <ns0:v>3.53284</ns0:v>
      </ns0:c>
      <ns0:c r="W36" s="95">
        <ns0:v>3.1948</ns0:v>
      </ns0:c>
      <ns0:c r="X36" s="95">
        <ns0:v>3.32108</ns0:v>
      </ns0:c>
      <ns0:c r="Y36" s="95">
        <ns0:v>3.02308</ns0:v>
      </ns0:c>
      <ns0:c r="Z36" s="95">
        <ns0:v>2.36028</ns0:v>
      </ns0:c>
      <ns0:c r="AA36" s="95">
        <ns0:v>1.90187</ns0:v>
      </ns0:c>
      <ns0:c r="AB36" s="95">
        <ns0:v>1.53198</ns0:v>
      </ns0:c>
      <ns0:c r="AC36"/>
    </ns0:row>
    <ns0:row r="37" ht="16" customHeight="1" spans="1:29">
      <ns0:c r="A37" s="13">
        <ns0:v>36</ns0:v>
      </ns0:c>
      <ns0:c r="B37" s="92">
        <ns0:f>C37</ns0:f>
        <ns0:v>45966</ns0:v>
      </ns0:c>
      <ns0:c r="C37" s="93">
        <ns0:v>45966</ns0:v>
      </ns0:c>
      <ns0:c r="D37" s="94">
        <ns0:f>SUM(E37:AB37)</ns0:f>
        <ns0:v>62.13256</ns0:v>
      </ns0:c>
      <ns0:c r="E37" s="95">
        <ns0:v>1.52328</ns0:v>
      </ns0:c>
      <ns0:c r="F37" s="95">
        <ns0:v>1.59587</ns0:v>
      </ns0:c>
      <ns0:c r="G37" s="95">
        <ns0:v>1.54948</ns0:v>
      </ns0:c>
      <ns0:c r="H37" s="95">
        <ns0:v>1.56168</ns0:v>
      </ns0:c>
      <ns0:c r="I37" s="95">
        <ns0:v>1.52738</ns0:v>
      </ns0:c>
      <ns0:c r="J37" s="95">
        <ns0:v>1.50188</ns0:v>
      </ns0:c>
      <ns0:c r="K37" s="95">
        <ns0:v>1.46788</ns0:v>
      </ns0:c>
      <ns0:c r="L37" s="95">
        <ns0:v>1.74251</ns0:v>
      </ns0:c>
      <ns0:c r="M37" s="95">
        <ns0:v>3.54729</ns0:v>
      </ns0:c>
      <ns0:c r="N37" s="95">
        <ns0:v>3.79288</ns0:v>
      </ns0:c>
      <ns0:c r="O37" s="95">
        <ns0:v>3.38586</ns0:v>
      </ns0:c>
      <ns0:c r="P37" s="95">
        <ns0:v>3.32673</ns0:v>
      </ns0:c>
      <ns0:c r="Q37" s="95">
        <ns0:v>2.633</ns0:v>
      </ns0:c>
      <ns0:c r="R37" s="95">
        <ns0:v>3.09122</ns0:v>
      </ns0:c>
      <ns0:c r="S37" s="95">
        <ns0:v>3.79649</ns0:v>
      </ns0:c>
      <ns0:c r="T37" s="95">
        <ns0:v>3.5584</ns0:v>
      </ns0:c>
      <ns0:c r="U37" s="95">
        <ns0:v>3.74739</ns0:v>
      </ns0:c>
      <ns0:c r="V37" s="95">
        <ns0:v>3.54315</ns0:v>
      </ns0:c>
      <ns0:c r="W37" s="95">
        <ns0:v>3.32178</ns0:v>
      </ns0:c>
      <ns0:c r="X37" s="95">
        <ns0:v>3.19489</ns0:v>
      </ns0:c>
      <ns0:c r="Y37" s="95">
        <ns0:v>2.79458</ns0:v>
      </ns0:c>
      <ns0:c r="Z37" s="95">
        <ns0:v>2.40888</ns0:v>
      </ns0:c>
      <ns0:c r="AA37" s="95">
        <ns0:v>1.91828</ns0:v>
      </ns0:c>
      <ns0:c r="AB37" s="95">
        <ns0:v>1.60178</ns0:v>
      </ns0:c>
      <ns0:c r="AC37"/>
    </ns0:row>
    <ns0:row r="38" ht="16" customHeight="1" spans="1:29">
      <ns0:c r="A38" s="13">
        <ns0:v>37</ns0:v>
      </ns0:c>
      <ns0:c r="B38" s="92">
        <ns0:f>C38</ns0:f>
        <ns0:v>45967</ns0:v>
      </ns0:c>
      <ns0:c r="C38" s="93">
        <ns0:v>45967</ns0:v>
      </ns0:c>
      <ns0:c r="D38" s="94">
        <ns0:f>SUM(E38:AB38)</ns0:f>
        <ns0:v>63.22218</ns0:v>
      </ns0:c>
      <ns0:c r="E38" s="95">
        <ns0:v>1.58728</ns0:v>
      </ns0:c>
      <ns0:c r="F38" s="95">
        <ns0:v>1.57088</ns0:v>
      </ns0:c>
      <ns0:c r="G38" s="95">
        <ns0:v>1.58028</ns0:v>
      </ns0:c>
      <ns0:c r="H38" s="95">
        <ns0:v>1.49898</ns0:v>
      </ns0:c>
      <ns0:c r="I38" s="95">
        <ns0:v>1.57688</ns0:v>
      </ns0:c>
      <ns0:c r="J38" s="95">
        <ns0:v>1.59708</ns0:v>
      </ns0:c>
      <ns0:c r="K38" s="95">
        <ns0:v>1.48869</ns0:v>
      </ns0:c>
      <ns0:c r="L38" s="95">
        <ns0:v>1.9346</ns0:v>
      </ns0:c>
      <ns0:c r="M38" s="95">
        <ns0:v>3.78655</ns0:v>
      </ns0:c>
      <ns0:c r="N38" s="95">
        <ns0:v>3.91106</ns0:v>
      </ns0:c>
      <ns0:c r="O38" s="95">
        <ns0:v>3.3397</ns0:v>
      </ns0:c>
      <ns0:c r="P38" s="95">
        <ns0:v>3.25545</ns0:v>
      </ns0:c>
      <ns0:c r="Q38" s="95">
        <ns0:v>2.58939</ns0:v>
      </ns0:c>
      <ns0:c r="R38" s="95">
        <ns0:v>3.13389</ns0:v>
      </ns0:c>
      <ns0:c r="S38" s="95">
        <ns0:v>3.69773</ns0:v>
      </ns0:c>
      <ns0:c r="T38" s="95">
        <ns0:v>3.68021</ns0:v>
      </ns0:c>
      <ns0:c r="U38" s="95">
        <ns0:v>3.88835</ns0:v>
      </ns0:c>
      <ns0:c r="V38" s="95">
        <ns0:v>3.59779</ns0:v>
      </ns0:c>
      <ns0:c r="W38" s="95">
        <ns0:v>3.25148</ns0:v>
      </ns0:c>
      <ns0:c r="X38" s="95">
        <ns0:v>3.41429</ns0:v>
      </ns0:c>
      <ns0:c r="Y38" s="95">
        <ns0:v>3.11828</ns0:v>
      </ns0:c>
      <ns0:c r="Z38" s="95">
        <ns0:v>2.35768</ns0:v>
      </ns0:c>
      <ns0:c r="AA38" s="95">
        <ns0:v>1.86248</ns0:v>
      </ns0:c>
      <ns0:c r="AB38" s="95">
        <ns0:v>1.50318</ns0:v>
      </ns0:c>
      <ns0:c r="AC38"/>
    </ns0:row>
    <ns0:row r="39" ht="16" customHeight="1" spans="1:29">
      <ns0:c r="A39" s="13">
        <ns0:v>38</ns0:v>
      </ns0:c>
      <ns0:c r="B39" s="92">
        <ns0:f>C39</ns0:f>
        <ns0:v>45968</ns0:v>
      </ns0:c>
      <ns0:c r="C39" s="93">
        <ns0:v>45968</ns0:v>
      </ns0:c>
      <ns0:c r="D39" s="94">
        <ns0:f>SUM(E39:AB39)</ns0:f>
        <ns0:v>66.35498</ns0:v>
      </ns0:c>
      <ns0:c r="E39" s="95">
        <ns0:v>1.60368</ns0:v>
      </ns0:c>
      <ns0:c r="F39" s="95">
        <ns0:v>1.65308</ns0:v>
      </ns0:c>
      <ns0:c r="G39" s="95">
        <ns0:v>1.59808</ns0:v>
      </ns0:c>
      <ns0:c r="H39" s="95">
        <ns0:v>1.51608</ns0:v>
      </ns0:c>
      <ns0:c r="I39" s="95">
        <ns0:v>1.49338</ns0:v>
      </ns0:c>
      <ns0:c r="J39" s="95">
        <ns0:v>1.50328</ns0:v>
      </ns0:c>
      <ns0:c r="K39" s="95">
        <ns0:v>1.43109</ns0:v>
      </ns0:c>
      <ns0:c r="L39" s="95">
        <ns0:v>1.9173</ns0:v>
      </ns0:c>
      <ns0:c r="M39" s="95">
        <ns0:v>3.92125</ns0:v>
      </ns0:c>
      <ns0:c r="N39" s="95">
        <ns0:v>4.26291</ns0:v>
      </ns0:c>
      <ns0:c r="O39" s="95">
        <ns0:v>3.72168</ns0:v>
      </ns0:c>
      <ns0:c r="P39" s="95">
        <ns0:v>3.48237</ns0:v>
      </ns0:c>
      <ns0:c r="Q39" s="95">
        <ns0:v>2.98279</ns0:v>
      </ns0:c>
      <ns0:c r="R39" s="95">
        <ns0:v>3.41442</ns0:v>
      </ns0:c>
      <ns0:c r="S39" s="95">
        <ns0:v>4.06174</ns0:v>
      </ns0:c>
      <ns0:c r="T39" s="95">
        <ns0:v>3.9444</ns0:v>
      </ns0:c>
      <ns0:c r="U39" s="95">
        <ns0:v>4.09823</ns0:v>
      </ns0:c>
      <ns0:c r="V39" s="95">
        <ns0:v>3.86623</ns0:v>
      </ns0:c>
      <ns0:c r="W39" s="95">
        <ns0:v>3.28458</ns0:v>
      </ns0:c>
      <ns0:c r="X39" s="95">
        <ns0:v>3.41138</ns0:v>
      </ns0:c>
      <ns0:c r="Y39" s="95">
        <ns0:v>2.99628</ns0:v>
      </ns0:c>
      <ns0:c r="Z39" s="95">
        <ns0:v>2.55219</ns0:v>
      </ns0:c>
      <ns0:c r="AA39" s="95">
        <ns0:v>1.95837</ns0:v>
      </ns0:c>
      <ns0:c r="AB39" s="95">
        <ns0:v>1.68019</ns0:v>
      </ns0:c>
      <ns0:c r="AC39"/>
    </ns0:row>
    <ns0:row r="40" ht="16" customHeight="1" spans="1:29">
      <ns0:c r="A40" s="13">
        <ns0:v>39</ns0:v>
      </ns0:c>
      <ns0:c r="B40" s="92">
        <ns0:f>C40</ns0:f>
        <ns0:v>45969</ns0:v>
      </ns0:c>
      <ns0:c r="C40" s="93">
        <ns0:v>45969</ns0:v>
      </ns0:c>
      <ns0:c r="D40" s="94">
        <ns0:f>SUM(E40:AB40)</ns0:f>
        <ns0:v>62.58549</ns0:v>
      </ns0:c>
      <ns0:c r="E40" s="95">
        <ns0:v>1.58587</ns0:v>
      </ns0:c>
      <ns0:c r="F40" s="95">
        <ns0:v>1.60719</ns0:v>
      </ns0:c>
      <ns0:c r="G40" s="95">
        <ns0:v>1.50618</ns0:v>
      </ns0:c>
      <ns0:c r="H40" s="95">
        <ns0:v>1.56198</ns0:v>
      </ns0:c>
      <ns0:c r="I40" s="95">
        <ns0:v>1.49338</ns0:v>
      </ns0:c>
      <ns0:c r="J40" s="95">
        <ns0:v>1.45918</ns0:v>
      </ns0:c>
      <ns0:c r="K40" s="95">
        <ns0:v>1.47848</ns0:v>
      </ns0:c>
      <ns0:c r="L40" s="95">
        <ns0:v>1.83041</ns0:v>
      </ns0:c>
      <ns0:c r="M40" s="95">
        <ns0:v>3.61021</ns0:v>
      </ns0:c>
      <ns0:c r="N40" s="95">
        <ns0:v>3.8463</ns0:v>
      </ns0:c>
      <ns0:c r="O40" s="95">
        <ns0:v>3.35631</ns0:v>
      </ns0:c>
      <ns0:c r="P40" s="95">
        <ns0:v>3.16201</ns0:v>
      </ns0:c>
      <ns0:c r="Q40" s="95">
        <ns0:v>2.64931</ns0:v>
      </ns0:c>
      <ns0:c r="R40" s="95">
        <ns0:v>3.415</ns0:v>
      </ns0:c>
      <ns0:c r="S40" s="95">
        <ns0:v>4.04031</ns0:v>
      </ns0:c>
      <ns0:c r="T40" s="95">
        <ns0:v>3.8216</ns0:v>
      </ns0:c>
      <ns0:c r="U40" s="95">
        <ns0:v>3.77721</ns0:v>
      </ns0:c>
      <ns0:c r="V40" s="95">
        <ns0:v>3.58639</ns0:v>
      </ns0:c>
      <ns0:c r="W40" s="95">
        <ns0:v>2.92638</ns0:v>
      </ns0:c>
      <ns0:c r="X40" s="95">
        <ns0:v>3.08818</ns0:v>
      </ns0:c>
      <ns0:c r="Y40" s="95">
        <ns0:v>2.74798</ns0:v>
      </ns0:c>
      <ns0:c r="Z40" s="95">
        <ns0:v>2.31378</ns0:v>
      </ns0:c>
      <ns0:c r="AA40" s="95">
        <ns0:v>2.07267</ns0:v>
      </ns0:c>
      <ns0:c r="AB40" s="95">
        <ns0:v>1.64918</ns0:v>
      </ns0:c>
      <ns0:c r="AC40"/>
    </ns0:row>
    <ns0:row r="41" ht="16" customHeight="1" spans="1:29">
      <ns0:c r="A41" s="13">
        <ns0:v>40</ns0:v>
      </ns0:c>
      <ns0:c r="B41" s="92">
        <ns0:f>C41</ns0:f>
        <ns0:v>45970</ns0:v>
      </ns0:c>
      <ns0:c r="C41" s="93">
        <ns0:v>45970</ns0:v>
      </ns0:c>
      <ns0:c r="D41" s="94">
        <ns0:f>SUM(E41:AB41)</ns0:f>
        <ns0:v>47.87459</ns0:v>
      </ns0:c>
      <ns0:c r="E41" s="95">
        <ns0:v>1.58537</ns0:v>
      </ns0:c>
      <ns0:c r="F41" s="95">
        <ns0:v>1.62718</ns0:v>
      </ns0:c>
      <ns0:c r="G41" s="95">
        <ns0:v>1.56158</ns0:v>
      </ns0:c>
      <ns0:c r="H41" s="95">
        <ns0:v>1.46228</ns0:v>
      </ns0:c>
      <ns0:c r="I41" s="95">
        <ns0:v>1.47157</ns0:v>
      </ns0:c>
      <ns0:c r="J41" s="95">
        <ns0:v>1.39058</ns0:v>
      </ns0:c>
      <ns0:c r="K41" s="95">
        <ns0:v>1.34919</ns0:v>
      </ns0:c>
      <ns0:c r="L41" s="95">
        <ns0:v>1.6491</ns0:v>
      </ns0:c>
      <ns0:c r="M41" s="95">
        <ns0:v>2.8526</ns0:v>
      </ns0:c>
      <ns0:c r="N41" s="95">
        <ns0:v>2.88071</ns0:v>
      </ns0:c>
      <ns0:c r="O41" s="95">
        <ns0:v>2.45501</ns0:v>
      </ns0:c>
      <ns0:c r="P41" s="95">
        <ns0:v>2.4005</ns0:v>
      </ns0:c>
      <ns0:c r="Q41" s="95">
        <ns0:v>2.34971</ns0:v>
      </ns0:c>
      <ns0:c r="R41" s="95">
        <ns0:v>2.46951</ns0:v>
      </ns0:c>
      <ns0:c r="S41" s="95">
        <ns0:v>2.8205</ns0:v>
      </ns0:c>
      <ns0:c r="T41" s="95">
        <ns0:v>2.78961</ns0:v>
      </ns0:c>
      <ns0:c r="U41" s="95">
        <ns0:v>2.75751</ns0:v>
      </ns0:c>
      <ns0:c r="V41" s="95">
        <ns0:v>2.5535</ns0:v>
      </ns0:c>
      <ns0:c r="W41" s="95">
        <ns0:v>1.77368</ns0:v>
      </ns0:c>
      <ns0:c r="X41" s="95">
        <ns0:v>1.70268</ns0:v>
      </ns0:c>
      <ns0:c r="Y41" s="95">
        <ns0:v>1.64788</ns0:v>
      </ns0:c>
      <ns0:c r="Z41" s="95">
        <ns0:v>1.51238</ns0:v>
      </ns0:c>
      <ns0:c r="AA41" s="95">
        <ns0:v>1.42008</ns0:v>
      </ns0:c>
      <ns0:c r="AB41" s="95">
        <ns0:v>1.39188</ns0:v>
      </ns0:c>
      <ns0:c r="AC41"/>
    </ns0:row>
    <ns0:row r="42" ht="16" customHeight="1" spans="1:29">
      <ns0:c r="A42" s="13">
        <ns0:v>41</ns0:v>
      </ns0:c>
      <ns0:c r="B42" s="92">
        <ns0:f>C42</ns0:f>
        <ns0:v>45971</ns0:v>
      </ns0:c>
      <ns0:c r="C42" s="93">
        <ns0:v>45971</ns0:v>
      </ns0:c>
      <ns0:c r="D42" s="94">
        <ns0:f>SUM(E42:AB42)</ns0:f>
        <ns0:v>62.14553</ns0:v>
      </ns0:c>
      <ns0:c r="E42" s="95">
        <ns0:v>1.51127</ns0:v>
      </ns0:c>
      <ns0:c r="F42" s="95">
        <ns0:v>1.41388</ns0:v>
      </ns0:c>
      <ns0:c r="G42" s="95">
        <ns0:v>1.39208</ns0:v>
      </ns0:c>
      <ns0:c r="H42" s="95">
        <ns0:v>1.33928</ns0:v>
      </ns0:c>
      <ns0:c r="I42" s="95">
        <ns0:v>1.31618</ns0:v>
      </ns0:c>
      <ns0:c r="J42" s="95">
        <ns0:v>1.28768</ns0:v>
      </ns0:c>
      <ns0:c r="K42" s="95">
        <ns0:v>1.27488</ns0:v>
      </ns0:c>
      <ns0:c r="L42" s="95">
        <ns0:v>1.62731</ns0:v>
      </ns0:c>
      <ns0:c r="M42" s="95">
        <ns0:v>3.61693</ns0:v>
      </ns0:c>
      <ns0:c r="N42" s="95">
        <ns0:v>3.96548</ns0:v>
      </ns0:c>
      <ns0:c r="O42" s="95">
        <ns0:v>3.44882</ns0:v>
      </ns0:c>
      <ns0:c r="P42" s="95">
        <ns0:v>3.44278</ns0:v>
      </ns0:c>
      <ns0:c r="Q42" s="95">
        <ns0:v>2.65713</ns0:v>
      </ns0:c>
      <ns0:c r="R42" s="95">
        <ns0:v>3.18592</ns0:v>
      </ns0:c>
      <ns0:c r="S42" s="95">
        <ns0:v>3.7984</ns0:v>
      </ns0:c>
      <ns0:c r="T42" s="95">
        <ns0:v>3.76131</ns0:v>
      </ns0:c>
      <ns0:c r="U42" s="95">
        <ns0:v>3.86674</ns0:v>
      </ns0:c>
      <ns0:c r="V42" s="95">
        <ns0:v>3.69291</ns0:v>
      </ns0:c>
      <ns0:c r="W42" s="95">
        <ns0:v>3.21715</ns0:v>
      </ns0:c>
      <ns0:c r="X42" s="95">
        <ns0:v>3.28518</ns0:v>
      </ns0:c>
      <ns0:c r="Y42" s="95">
        <ns0:v>2.91168</ns0:v>
      </ns0:c>
      <ns0:c r="Z42" s="95">
        <ns0:v>2.43918</ns0:v>
      </ns0:c>
      <ns0:c r="AA42" s="95">
        <ns0:v>1.96908</ns0:v>
      </ns0:c>
      <ns0:c r="AB42" s="95">
        <ns0:v>1.72428</ns0:v>
      </ns0:c>
      <ns0:c r="AC42"/>
    </ns0:row>
    <ns0:row r="43" ht="16" customHeight="1" spans="1:29">
      <ns0:c r="A43" s="13">
        <ns0:v>42</ns0:v>
      </ns0:c>
      <ns0:c r="B43" s="92">
        <ns0:f>C43</ns0:f>
        <ns0:v>45972</ns0:v>
      </ns0:c>
      <ns0:c r="C43" s="93">
        <ns0:v>45972</ns0:v>
      </ns0:c>
      <ns0:c r="D43" s="94">
        <ns0:f>SUM(E43:AB43)</ns0:f>
        <ns0:v>62.48411</ns0:v>
      </ns0:c>
      <ns0:c r="E43" s="95">
        <ns0:v>1.58777</ns0:v>
      </ns0:c>
      <ns0:c r="F43" s="95">
        <ns0:v>1.67728</ns0:v>
      </ns0:c>
      <ns0:c r="G43" s="95">
        <ns0:v>1.60568</ns0:v>
      </ns0:c>
      <ns0:c r="H43" s="95">
        <ns0:v>1.57108</ns0:v>
      </ns0:c>
      <ns0:c r="I43" s="95">
        <ns0:v>1.52868</ns0:v>
      </ns0:c>
      <ns0:c r="J43" s="95">
        <ns0:v>1.43728</ns0:v>
      </ns0:c>
      <ns0:c r="K43" s="95">
        <ns0:v>1.45259</ns0:v>
      </ns0:c>
      <ns0:c r="L43" s="95">
        <ns0:v>1.7555</ns0:v>
      </ns0:c>
      <ns0:c r="M43" s="95">
        <ns0:v>3.67909</ns0:v>
      </ns0:c>
      <ns0:c r="N43" s="95">
        <ns0:v>3.97759</ns0:v>
      </ns0:c>
      <ns0:c r="O43" s="95">
        <ns0:v>3.41381</ns0:v>
      </ns0:c>
      <ns0:c r="P43" s="95">
        <ns0:v>3.33732</ns0:v>
      </ns0:c>
      <ns0:c r="Q43" s="95">
        <ns0:v>2.70521</ns0:v>
      </ns0:c>
      <ns0:c r="R43" s="95">
        <ns0:v>3.27764</ns0:v>
      </ns0:c>
      <ns0:c r="S43" s="95">
        <ns0:v>3.80409</ns0:v>
      </ns0:c>
      <ns0:c r="T43" s="95">
        <ns0:v>3.5563</ns0:v>
      </ns0:c>
      <ns0:c r="U43" s="95">
        <ns0:v>3.70649</ns0:v>
      </ns0:c>
      <ns0:c r="V43" s="95">
        <ns0:v>3.48921</ns0:v>
      </ns0:c>
      <ns0:c r="W43" s="95">
        <ns0:v>3.07639</ns0:v>
      </ns0:c>
      <ns0:c r="X43" s="95">
        <ns0:v>3.27108</ns0:v>
      </ns0:c>
      <ns0:c r="Y43" s="95">
        <ns0:v>2.81299</ns0:v>
      </ns0:c>
      <ns0:c r="Z43" s="95">
        <ns0:v>2.33798</ns0:v>
      </ns0:c>
      <ns0:c r="AA43" s="95">
        <ns0:v>1.93008</ns0:v>
      </ns0:c>
      <ns0:c r="AB43" s="95">
        <ns0:v>1.49298</ns0:v>
      </ns0:c>
      <ns0:c r="AC43"/>
    </ns0:row>
    <ns0:row r="44" ht="16" customHeight="1" spans="1:29">
      <ns0:c r="A44" s="13">
        <ns0:v>43</ns0:v>
      </ns0:c>
      <ns0:c r="B44" s="92">
        <ns0:f>C44</ns0:f>
        <ns0:v>45973</ns0:v>
      </ns0:c>
      <ns0:c r="C44" s="93">
        <ns0:v>45973</ns0:v>
      </ns0:c>
      <ns0:c r="D44" s="94">
        <ns0:f>SUM(E44:AB44)</ns0:f>
        <ns0:v>60.47645</ns0:v>
      </ns0:c>
      <ns0:c r="E44" s="95">
        <ns0:v>1.49288</ns0:v>
      </ns0:c>
      <ns0:c r="F44" s="95">
        <ns0:v>1.52708</ns0:v>
      </ns0:c>
      <ns0:c r="G44" s="95">
        <ns0:v>1.51088</ns0:v>
      </ns0:c>
      <ns0:c r="H44" s="95">
        <ns0:v>1.43828</ns0:v>
      </ns0:c>
      <ns0:c r="I44" s="95">
        <ns0:v>1.41598</ns0:v>
      </ns0:c>
      <ns0:c r="J44" s="95">
        <ns0:v>1.36168</ns0:v>
      </ns0:c>
      <ns0:c r="K44" s="95">
        <ns0:v>1.32949</ns0:v>
      </ns0:c>
      <ns0:c r="L44" s="95">
        <ns0:v>1.6859</ns0:v>
      </ns0:c>
      <ns0:c r="M44" s="95">
        <ns0:v>3.51142</ns0:v>
      </ns0:c>
      <ns0:c r="N44" s="95">
        <ns0:v>3.75888</ns0:v>
      </ns0:c>
      <ns0:c r="O44" s="95">
        <ns0:v>3.36033</ns0:v>
      </ns0:c>
      <ns0:c r="P44" s="95">
        <ns0:v>3.19403</ns0:v>
      </ns0:c>
      <ns0:c r="Q44" s="95">
        <ns0:v>2.69713</ns0:v>
      </ns0:c>
      <ns0:c r="R44" s="95">
        <ns0:v>3.12747</ns0:v>
      </ns0:c>
      <ns0:c r="S44" s="95">
        <ns0:v>3.63454</ns0:v>
      </ns0:c>
      <ns0:c r="T44" s="95">
        <ns0:v>3.51415</ns0:v>
      </ns0:c>
      <ns0:c r="U44" s="95">
        <ns0:v>3.60684</ns0:v>
      </ns0:c>
      <ns0:c r="V44" s="95">
        <ns0:v>3.41343</ns0:v>
      </ns0:c>
      <ns0:c r="W44" s="95">
        <ns0:v>3.07478</ns0:v>
      </ns0:c>
      <ns0:c r="X44" s="95">
        <ns0:v>3.17338</ns0:v>
      </ns0:c>
      <ns0:c r="Y44" s="95">
        <ns0:v>2.88858</ns0:v>
      </ns0:c>
      <ns0:c r="Z44" s="95">
        <ns0:v>2.35397</ns0:v>
      </ns0:c>
      <ns0:c r="AA44" s="95">
        <ns0:v>1.94707</ns0:v>
      </ns0:c>
      <ns0:c r="AB44" s="95">
        <ns0:v>1.45828</ns0:v>
      </ns0:c>
      <ns0:c r="AC44"/>
    </ns0:row>
    <ns0:row r="45" ht="16" customHeight="1" spans="1:29">
      <ns0:c r="A45" s="13">
        <ns0:v>44</ns0:v>
      </ns0:c>
      <ns0:c r="B45" s="92">
        <ns0:f>C45</ns0:f>
        <ns0:v>45974</ns0:v>
      </ns0:c>
      <ns0:c r="C45" s="93">
        <ns0:v>45974</ns0:v>
      </ns0:c>
      <ns0:c r="D45" s="94">
        <ns0:f>SUM(E45:AB45)</ns0:f>
        <ns0:v>61.09199</ns0:v>
      </ns0:c>
      <ns0:c r="E45" s="95">
        <ns0:v>1.47227</ns0:v>
      </ns0:c>
      <ns0:c r="F45" s="95">
        <ns0:v>1.49648</ns0:v>
      </ns0:c>
      <ns0:c r="G45" s="95">
        <ns0:v>1.50787</ns0:v>
      </ns0:c>
      <ns0:c r="H45" s="95">
        <ns0:v>1.42657</ns0:v>
      </ns0:c>
      <ns0:c r="I45" s="95">
        <ns0:v>1.45267</ns0:v>
      </ns0:c>
      <ns0:c r="J45" s="95">
        <ns0:v>1.43147</ns0:v>
      </ns0:c>
      <ns0:c r="K45" s="95">
        <ns0:v>1.40508</ns0:v>
      </ns0:c>
      <ns0:c r="L45" s="95">
        <ns0:v>1.84929</ns0:v>
      </ns0:c>
      <ns0:c r="M45" s="95">
        <ns0:v>3.71056</ns0:v>
      </ns0:c>
      <ns0:c r="N45" s="95">
        <ns0:v>3.90274</ns0:v>
      </ns0:c>
      <ns0:c r="O45" s="95">
        <ns0:v>3.30296</ns0:v>
      </ns0:c>
      <ns0:c r="P45" s="95">
        <ns0:v>3.14004</ns0:v>
      </ns0:c>
      <ns0:c r="Q45" s="95">
        <ns0:v>2.84374</ns0:v>
      </ns0:c>
      <ns0:c r="R45" s="95">
        <ns0:v>3.27281</ns0:v>
      </ns0:c>
      <ns0:c r="S45" s="95">
        <ns0:v>3.75364</ns0:v>
      </ns0:c>
      <ns0:c r="T45" s="95">
        <ns0:v>3.53962</ns0:v>
      </ns0:c>
      <ns0:c r="U45" s="95">
        <ns0:v>3.62416</ns0:v>
      </ns0:c>
      <ns0:c r="V45" s="95">
        <ns0:v>3.43679</ns0:v>
      </ns0:c>
      <ns0:c r="W45" s="95">
        <ns0:v>3.20148</ns0:v>
      </ns0:c>
      <ns0:c r="X45" s="95">
        <ns0:v>3.24577</ns0:v>
      </ns0:c>
      <ns0:c r="Y45" s="95">
        <ns0:v>2.77807</ns0:v>
      </ns0:c>
      <ns0:c r="Z45" s="95">
        <ns0:v>2.21047</ns0:v>
      </ns0:c>
      <ns0:c r="AA45" s="95">
        <ns0:v>1.65537</ns0:v>
      </ns0:c>
      <ns0:c r="AB45" s="95">
        <ns0:v>1.43207</ns0:v>
      </ns0:c>
      <ns0:c r="AC45"/>
    </ns0:row>
    <ns0:row r="46" ht="16" customHeight="1" spans="1:29">
      <ns0:c r="A46" s="13">
        <ns0:v>45</ns0:v>
      </ns0:c>
      <ns0:c r="B46" s="92">
        <ns0:f>C46</ns0:f>
        <ns0:v>45975</ns0:v>
      </ns0:c>
      <ns0:c r="C46" s="93">
        <ns0:v>45975</ns0:v>
      </ns0:c>
      <ns0:c r="D46" s="94">
        <ns0:f>SUM(E46:AB46)</ns0:f>
        <ns0:v>60.1662</ns0:v>
      </ns0:c>
      <ns0:c r="E46" s="95">
        <ns0:v>1.41507</ns0:v>
      </ns0:c>
      <ns0:c r="F46" s="95">
        <ns0:v>1.54507</ns0:v>
      </ns0:c>
      <ns0:c r="G46" s="95">
        <ns0:v>1.49287</ns0:v>
      </ns0:c>
      <ns0:c r="H46" s="95">
        <ns0:v>1.48187</ns0:v>
      </ns0:c>
      <ns0:c r="I46" s="95">
        <ns0:v>1.41417</ns0:v>
      </ns0:c>
      <ns0:c r="J46" s="95">
        <ns0:v>1.38827</ns0:v>
      </ns0:c>
      <ns0:c r="K46" s="95">
        <ns0:v>1.29168</ns0:v>
      </ns0:c>
      <ns0:c r="L46" s="95">
        <ns0:v>1.74549</ns0:v>
      </ns0:c>
      <ns0:c r="M46" s="95">
        <ns0:v>3.57571</ns0:v>
      </ns0:c>
      <ns0:c r="N46" s="95">
        <ns0:v>3.94108</ns0:v>
      </ns0:c>
      <ns0:c r="O46" s="95">
        <ns0:v>3.30166</ns0:v>
      </ns0:c>
      <ns0:c r="P46" s="95">
        <ns0:v>3.20966</ns0:v>
      </ns0:c>
      <ns0:c r="Q46" s="95">
        <ns0:v>2.62833</ns0:v>
      </ns0:c>
      <ns0:c r="R46" s="95">
        <ns0:v>3.08549</ns0:v>
      </ns0:c>
      <ns0:c r="S46" s="95">
        <ns0:v>3.64291</ns0:v>
      </ns0:c>
      <ns0:c r="T46" s="95">
        <ns0:v>3.4709</ns0:v>
      </ns0:c>
      <ns0:c r="U46" s="95">
        <ns0:v>3.6051</ns0:v>
      </ns0:c>
      <ns0:c r="V46" s="95">
        <ns0:v>3.4756</ns0:v>
      </ns0:c>
      <ns0:c r="W46" s="95">
        <ns0:v>3.11998</ns0:v>
      </ns0:c>
      <ns0:c r="X46" s="95">
        <ns0:v>3.19318</ns0:v>
      </ns0:c>
      <ns0:c r="Y46" s="95">
        <ns0:v>2.76218</ns0:v>
      </ns0:c>
      <ns0:c r="Z46" s="95">
        <ns0:v>2.10567</ns0:v>
      </ns0:c>
      <ns0:c r="AA46" s="95">
        <ns0:v>1.79338</ns0:v>
      </ns0:c>
      <ns0:c r="AB46" s="95">
        <ns0:v>1.48088</ns0:v>
      </ns0:c>
      <ns0:c r="AC46"/>
    </ns0:row>
    <ns0:row r="47" ht="16" customHeight="1" spans="1:29">
      <ns0:c r="A47" s="13">
        <ns0:v>46</ns0:v>
      </ns0:c>
      <ns0:c r="B47" s="92">
        <ns0:f>C47</ns0:f>
        <ns0:v>45976</ns0:v>
      </ns0:c>
      <ns0:c r="C47" s="93">
        <ns0:v>45976</ns0:v>
      </ns0:c>
      <ns0:c r="D47" s="94">
        <ns0:f>SUM(E47:AB47)</ns0:f>
        <ns0:v>58.50812</ns0:v>
      </ns0:c>
      <ns0:c r="E47" s="95">
        <ns0:v>1.40207</ns0:v>
      </ns0:c>
      <ns0:c r="F47" s="95">
        <ns0:v>1.49408</ns0:v>
      </ns0:c>
      <ns0:c r="G47" s="95">
        <ns0:v>1.42468</ns0:v>
      </ns0:c>
      <ns0:c r="H47" s="95">
        <ns0:v>1.39987</ns0:v>
      </ns0:c>
      <ns0:c r="I47" s="95">
        <ns0:v>1.39678</ns0:v>
      </ns0:c>
      <ns0:c r="J47" s="95">
        <ns0:v>1.40428</ns0:v>
      </ns0:c>
      <ns0:c r="K47" s="95">
        <ns0:v>1.34448</ns0:v>
      </ns0:c>
      <ns0:c r="L47" s="95">
        <ns0:v>1.7648</ns0:v>
      </ns0:c>
      <ns0:c r="M47" s="95">
        <ns0:v>3.5622</ns0:v>
      </ns0:c>
      <ns0:c r="N47" s="95">
        <ns0:v>3.80101</ns0:v>
      </ns0:c>
      <ns0:c r="O47" s="95">
        <ns0:v>3.2331</ns0:v>
      </ns0:c>
      <ns0:c r="P47" s="95">
        <ns0:v>3.13961</ns0:v>
      </ns0:c>
      <ns0:c r="Q47" s="95">
        <ns0:v>2.5463</ns0:v>
      </ns0:c>
      <ns0:c r="R47" s="95">
        <ns0:v>2.9711</ns0:v>
      </ns0:c>
      <ns0:c r="S47" s="95">
        <ns0:v>3.6534</ns0:v>
      </ns0:c>
      <ns0:c r="T47" s="95">
        <ns0:v>3.51361</ns0:v>
      </ns0:c>
      <ns0:c r="U47" s="95">
        <ns0:v>3.6592</ns0:v>
      </ns0:c>
      <ns0:c r="V47" s="95">
        <ns0:v>3.47549</ns0:v>
      </ns0:c>
      <ns0:c r="W47" s="95">
        <ns0:v>2.93358</ns0:v>
      </ns0:c>
      <ns0:c r="X47" s="95">
        <ns0:v>2.93968</ns0:v>
      </ns0:c>
      <ns0:c r="Y47" s="95">
        <ns0:v>2.52107</ns0:v>
      </ns0:c>
      <ns0:c r="Z47" s="95">
        <ns0:v>2.05868</ns0:v>
      </ns0:c>
      <ns0:c r="AA47" s="95">
        <ns0:v>1.57037</ns0:v>
      </ns0:c>
      <ns0:c r="AB47" s="95">
        <ns0:v>1.29868</ns0:v>
      </ns0:c>
      <ns0:c r="AC47"/>
    </ns0:row>
    <ns0:row r="48" ht="16" customHeight="1" spans="1:29">
      <ns0:c r="A48" s="13">
        <ns0:v>47</ns0:v>
      </ns0:c>
      <ns0:c r="B48" s="92">
        <ns0:f>C48</ns0:f>
        <ns0:v>45977</ns0:v>
      </ns0:c>
      <ns0:c r="C48" s="93">
        <ns0:v>45977</ns0:v>
      </ns0:c>
      <ns0:c r="D48" s="94">
        <ns0:f>SUM(E48:AB48)</ns0:f>
        <ns0:v>38.21934</ns0:v>
      </ns0:c>
      <ns0:c r="E48" s="95">
        <ns0:v>1.50127</ns0:v>
      </ns0:c>
      <ns0:c r="F48" s="95">
        <ns0:v>1.32927</ns0:v>
      </ns0:c>
      <ns0:c r="G48" s="95">
        <ns0:v>1.42208</ns0:v>
      </ns0:c>
      <ns0:c r="H48" s="95">
        <ns0:v>1.33037</ns0:v>
      </ns0:c>
      <ns0:c r="I48" s="95">
        <ns0:v>1.34148</ns0:v>
      </ns0:c>
      <ns0:c r="J48" s="95">
        <ns0:v>1.31887</ns0:v>
      </ns0:c>
      <ns0:c r="K48" s="95">
        <ns0:v>1.24049</ns0:v>
      </ns0:c>
      <ns0:c r="L48" s="95">
        <ns0:v>1.20309</ns0:v>
      </ns0:c>
      <ns0:c r="M48" s="95">
        <ns0:v>2.03871</ns0:v>
      </ns0:c>
      <ns0:c r="N48" s="95">
        <ns0:v>2.2801</ns0:v>
      </ns0:c>
      <ns0:c r="O48" s="95">
        <ns0:v>2</ns0:v>
      </ns0:c>
      <ns0:c r="P48" s="95">
        <ns0:v>1.91721</ns0:v>
      </ns0:c>
      <ns0:c r="Q48" s="95">
        <ns0:v>1.5421</ns0:v>
      </ns0:c>
      <ns0:c r="R48" s="95">
        <ns0:v>1.64451</ns0:v>
      </ns0:c>
      <ns0:c r="S48" s="95">
        <ns0:v>2.24411</ns0:v>
      </ns0:c>
      <ns0:c r="T48" s="95">
        <ns0:v>2.2217</ns0:v>
      </ns0:c>
      <ns0:c r="U48" s="95">
        <ns0:v>2.21381</ns0:v>
      </ns0:c>
      <ns0:c r="V48" s="95">
        <ns0:v>2.1008</ns0:v>
      </ns0:c>
      <ns0:c r="W48" s="95">
        <ns0:v>1.44198</ns0:v>
      </ns0:c>
      <ns0:c r="X48" s="95">
        <ns0:v>1.33708</ns0:v>
      </ns0:c>
      <ns0:c r="Y48" s="95">
        <ns0:v>1.22528</ns0:v>
      </ns0:c>
      <ns0:c r="Z48" s="95">
        <ns0:v>1.12558</ns0:v>
      </ns0:c>
      <ns0:c r="AA48" s="95">
        <ns0:v>1.11877</ns0:v>
      </ns0:c>
      <ns0:c r="AB48" s="95">
        <ns0:v>1.08068</ns0:v>
      </ns0:c>
      <ns0:c r="AC48"/>
    </ns0:row>
    <ns0:row r="49" ht="16" customHeight="1" spans="1:29">
      <ns0:c r="A49" s="13">
        <ns0:v>48</ns0:v>
      </ns0:c>
      <ns0:c r="B49" s="92">
        <ns0:f>C49</ns0:f>
        <ns0:v>45978</ns0:v>
      </ns0:c>
      <ns0:c r="C49" s="93">
        <ns0:v>45978</ns0:v>
      </ns0:c>
      <ns0:c r="D49" s="94">
        <ns0:f>SUM(E49:AB49)</ns0:f>
        <ns0:v>60.69131</ns0:v>
      </ns0:c>
      <ns0:c r="E49" s="80">
        <ns0:v>1.09567</ns0:v>
      </ns0:c>
      <ns0:c r="F49" s="80">
        <ns0:v>1.11098</ns0:v>
      </ns0:c>
      <ns0:c r="G49" s="80">
        <ns0:v>1.14708</ns0:v>
      </ns0:c>
      <ns0:c r="H49" s="80">
        <ns0:v>1.10967</ns0:v>
      </ns0:c>
      <ns0:c r="I49" s="80">
        <ns0:v>1.19998</ns0:v>
      </ns0:c>
      <ns0:c r="J49" s="80">
        <ns0:v>1.26258</ns0:v>
      </ns0:c>
      <ns0:c r="K49" s="80">
        <ns0:v>1.15408</ns0:v>
      </ns0:c>
      <ns0:c r="L49" s="80">
        <ns0:v>1.6284</ns0:v>
      </ns0:c>
      <ns0:c r="M49" s="80">
        <ns0:v>3.54656</ns0:v>
      </ns0:c>
      <ns0:c r="N49" s="80">
        <ns0:v>4.04825</ns0:v>
      </ns0:c>
      <ns0:c r="O49" s="80">
        <ns0:v>3.44012</ns0:v>
      </ns0:c>
      <ns0:c r="P49" s="80">
        <ns0:v>3.33249</ns0:v>
      </ns0:c>
      <ns0:c r="Q49" s="80">
        <ns0:v>2.6702</ns0:v>
      </ns0:c>
      <ns0:c r="R49" s="80">
        <ns0:v>3.17545</ns0:v>
      </ns0:c>
      <ns0:c r="S49" s="80">
        <ns0:v>3.82397</ns0:v>
      </ns0:c>
      <ns0:c r="T49" s="80">
        <ns0:v>3.6626</ns0:v>
      </ns0:c>
      <ns0:c r="U49" s="80">
        <ns0:v>3.94138</ns0:v>
      </ns0:c>
      <ns0:c r="V49" s="80">
        <ns0:v>3.67397</ns0:v>
      </ns0:c>
      <ns0:c r="W49" s="80">
        <ns0:v>3.36728</ns0:v>
      </ns0:c>
      <ns0:c r="X49" s="80">
        <ns0:v>3.57718</ns0:v>
      </ns0:c>
      <ns0:c r="Y49" s="80">
        <ns0:v>3.00238</ns0:v>
      </ns0:c>
      <ns0:c r="Z49" s="80">
        <ns0:v>2.37588</ns0:v>
      </ns0:c>
      <ns0:c r="AA49" s="80">
        <ns0:v>1.84128</ns0:v>
      </ns0:c>
      <ns0:c r="AB49" s="80">
        <ns0:v>1.50388</ns0:v>
      </ns0:c>
      <ns0:c r="AC49"/>
    </ns0:row>
    <ns0:row r="50" ht="16" customHeight="1" spans="1:29">
      <ns0:c r="A50" s="13">
        <ns0:v>49</ns0:v>
      </ns0:c>
      <ns0:c r="B50" s="92">
        <ns0:f>C50</ns0:f>
        <ns0:v>45979</ns0:v>
      </ns0:c>
      <ns0:c r="C50" s="93">
        <ns0:v>45979</ns0:v>
      </ns0:c>
      <ns0:c r="D50" s="94">
        <ns0:f>SUM(E50:AB50)</ns0:f>
        <ns0:v>63.36929</ns0:v>
      </ns0:c>
      <ns0:c r="E50" s="80">
        <ns0:v>1.51227</ns0:v>
      </ns0:c>
      <ns0:c r="F50" s="80">
        <ns0:v>1.51758</ns0:v>
      </ns0:c>
      <ns0:c r="G50" s="80">
        <ns0:v>1.59188</ns0:v>
      </ns0:c>
      <ns0:c r="H50" s="80">
        <ns0:v>1.52348</ns0:v>
      </ns0:c>
      <ns0:c r="I50" s="80">
        <ns0:v>1.53907</ns0:v>
      </ns0:c>
      <ns0:c r="J50" s="80">
        <ns0:v>1.55588</ns0:v>
      </ns0:c>
      <ns0:c r="K50" s="80">
        <ns0:v>1.46758</ns0:v>
      </ns0:c>
      <ns0:c r="L50" s="80">
        <ns0:v>1.8907</ns0:v>
      </ns0:c>
      <ns0:c r="M50" s="80">
        <ns0:v>3.84641</ns0:v>
      </ns0:c>
      <ns0:c r="N50" s="80">
        <ns0:v>4.12536</ns0:v>
      </ns0:c>
      <ns0:c r="O50" s="80">
        <ns0:v>3.59713</ns0:v>
      </ns0:c>
      <ns0:c r="P50" s="80">
        <ns0:v>3.40923</ns0:v>
      </ns0:c>
      <ns0:c r="Q50" s="80">
        <ns0:v>2.75414</ns0:v>
      </ns0:c>
      <ns0:c r="R50" s="80">
        <ns0:v>3.2584</ns0:v>
      </ns0:c>
      <ns0:c r="S50" s="80">
        <ns0:v>3.81326</ns0:v>
      </ns0:c>
      <ns0:c r="T50" s="80">
        <ns0:v>3.64275</ns0:v>
      </ns0:c>
      <ns0:c r="U50" s="80">
        <ns0:v>3.63709</ns0:v>
      </ns0:c>
      <ns0:c r="V50" s="80">
        <ns0:v>3.43805</ns0:v>
      </ns0:c>
      <ns0:c r="W50" s="80">
        <ns0:v>3.19897</ns0:v>
      </ns0:c>
      <ns0:c r="X50" s="80">
        <ns0:v>3.29598</ns0:v>
      </ns0:c>
      <ns0:c r="Y50" s="80">
        <ns0:v>3.01887</ns0:v>
      </ns0:c>
      <ns0:c r="Z50" s="80">
        <ns0:v>2.35747</ns0:v>
      </ns0:c>
      <ns0:c r="AA50" s="80">
        <ns0:v>1.85027</ns0:v>
      </ns0:c>
      <ns0:c r="AB50" s="80">
        <ns0:v>1.52747</ns0:v>
      </ns0:c>
      <ns0:c r="AC50"/>
    </ns0:row>
    <ns0:row r="51" ht="16" customHeight="1" spans="1:29">
      <ns0:c r="A51" s="13">
        <ns0:v>50</ns0:v>
      </ns0:c>
      <ns0:c r="B51" s="92">
        <ns0:f>C51</ns0:f>
        <ns0:v>45980</ns0:v>
      </ns0:c>
      <ns0:c r="C51" s="93">
        <ns0:v>45980</ns0:v>
      </ns0:c>
      <ns0:c r="D51" s="94">
        <ns0:f>SUM(E51:AB51)</ns0:f>
        <ns0:v>62.85289</ns0:v>
      </ns0:c>
      <ns0:c r="E51" s="80">
        <ns0:v>1.54677</ns0:v>
      </ns0:c>
      <ns0:c r="F51" s="80">
        <ns0:v>1.62748</ns0:v>
      </ns0:c>
      <ns0:c r="G51" s="80">
        <ns0:v>1.50448</ns0:v>
      </ns0:c>
      <ns0:c r="H51" s="80">
        <ns0:v>1.50687</ns0:v>
      </ns0:c>
      <ns0:c r="I51" s="80">
        <ns0:v>1.44868</ns0:v>
      </ns0:c>
      <ns0:c r="J51" s="80">
        <ns0:v>1.42938</ns0:v>
      </ns0:c>
      <ns0:c r="K51" s="80">
        <ns0:v>1.41368</ns0:v>
      </ns0:c>
      <ns0:c r="L51" s="80">
        <ns0:v>1.8999</ns0:v>
      </ns0:c>
      <ns0:c r="M51" s="80">
        <ns0:v>3.87474</ns0:v>
      </ns0:c>
      <ns0:c r="N51" s="80">
        <ns0:v>4.07493</ns0:v>
      </ns0:c>
      <ns0:c r="O51" s="80">
        <ns0:v>3.46181</ns0:v>
      </ns0:c>
      <ns0:c r="P51" s="80">
        <ns0:v>3.3329</ns0:v>
      </ns0:c>
      <ns0:c r="Q51" s="80">
        <ns0:v>2.89293</ns0:v>
      </ns0:c>
      <ns0:c r="R51" s="80">
        <ns0:v>3.36903</ns0:v>
      </ns0:c>
      <ns0:c r="S51" s="80">
        <ns0:v>3.88002</ns0:v>
      </ns0:c>
      <ns0:c r="T51" s="80">
        <ns0:v>3.62718</ns0:v>
      </ns0:c>
      <ns0:c r="U51" s="80">
        <ns0:v>3.62685</ns0:v>
      </ns0:c>
      <ns0:c r="V51" s="80">
        <ns0:v>3.39511</ns0:v>
      </ns0:c>
      <ns0:c r="W51" s="80">
        <ns0:v>3.21955</ns0:v>
      </ns0:c>
      <ns0:c r="X51" s="80">
        <ns0:v>3.34059</ns0:v>
      </ns0:c>
      <ns0:c r="Y51" s="80">
        <ns0:v>2.81357</ns0:v>
      </ns0:c>
      <ns0:c r="Z51" s="80">
        <ns0:v>2.29058</ns0:v>
      </ns0:c>
      <ns0:c r="AA51" s="80">
        <ns0:v>1.66148</ns0:v>
      </ns0:c>
      <ns0:c r="AB51" s="80">
        <ns0:v>1.61438</ns0:v>
      </ns0:c>
      <ns0:c r="AC51"/>
    </ns0:row>
    <ns0:row r="52" ht="16" customHeight="1" spans="1:29">
      <ns0:c r="A52" s="13">
        <ns0:v>51</ns0:v>
      </ns0:c>
      <ns0:c r="B52" s="92">
        <ns0:f>C52</ns0:f>
        <ns0:v>45981</ns0:v>
      </ns0:c>
      <ns0:c r="C52" s="93">
        <ns0:v>45981</ns0:v>
      </ns0:c>
      <ns0:c r="D52" s="94">
        <ns0:f>SUM(E52:AB52)</ns0:f>
        <ns0:v>62.52546</ns0:v>
      </ns0:c>
      <ns0:c r="E52" s="80">
        <ns0:v>1.54117</ns0:v>
      </ns0:c>
      <ns0:c r="F52" s="80">
        <ns0:v>1.56698</ns0:v>
      </ns0:c>
      <ns0:c r="G52" s="80">
        <ns0:v>1.55768</ns0:v>
      </ns0:c>
      <ns0:c r="H52" s="80">
        <ns0:v>1.54818</ns0:v>
      </ns0:c>
      <ns0:c r="I52" s="80">
        <ns0:v>1.53518</ns0:v>
      </ns0:c>
      <ns0:c r="J52" s="80">
        <ns0:v>1.57798</ns0:v>
      </ns0:c>
      <ns0:c r="K52" s="80">
        <ns0:v>1.44599</ns0:v>
      </ns0:c>
      <ns0:c r="L52" s="80">
        <ns0:v>1.8749</ns0:v>
      </ns0:c>
      <ns0:c r="M52" s="80">
        <ns0:v>3.75335</ns0:v>
      </ns0:c>
      <ns0:c r="N52" s="80">
        <ns0:v>4.03019</ns0:v>
      </ns0:c>
      <ns0:c r="O52" s="80">
        <ns0:v>3.47397</ns0:v>
      </ns0:c>
      <ns0:c r="P52" s="80">
        <ns0:v>3.34034</ns0:v>
      </ns0:c>
      <ns0:c r="Q52" s="80">
        <ns0:v>2.80962</ns0:v>
      </ns0:c>
      <ns0:c r="R52" s="80">
        <ns0:v>3.22095</ns0:v>
      </ns0:c>
      <ns0:c r="S52" s="80">
        <ns0:v>3.73306</ns0:v>
      </ns0:c>
      <ns0:c r="T52" s="80">
        <ns0:v>3.6524</ns0:v>
      </ns0:c>
      <ns0:c r="U52" s="80">
        <ns0:v>3.60956</ns0:v>
      </ns0:c>
      <ns0:c r="V52" s="80">
        <ns0:v>3.43828</ns0:v>
      </ns0:c>
      <ns0:c r="W52" s="80">
        <ns0:v>3.06659</ns0:v>
      </ns0:c>
      <ns0:c r="X52" s="80">
        <ns0:v>3.17038</ns0:v>
      </ns0:c>
      <ns0:c r="Y52" s="80">
        <ns0:v>2.66468</ns0:v>
      </ns0:c>
      <ns0:c r="Z52" s="80">
        <ns0:v>2.24288</ns0:v>
      </ns0:c>
      <ns0:c r="AA52" s="80">
        <ns0:v>1.99027</ns0:v>
      </ns0:c>
      <ns0:c r="AB52" s="80">
        <ns0:v>1.68088</ns0:v>
      </ns0:c>
      <ns0:c r="AC52"/>
    </ns0:row>
    <ns0:row r="53" ht="16" customHeight="1" spans="1:29">
      <ns0:c r="A53" s="13">
        <ns0:v>52</ns0:v>
      </ns0:c>
      <ns0:c r="B53" s="92">
        <ns0:f>C53</ns0:f>
        <ns0:v>45982</ns0:v>
      </ns0:c>
      <ns0:c r="C53" s="93">
        <ns0:v>45982</ns0:v>
      </ns0:c>
      <ns0:c r="D53" s="94">
        <ns0:f>SUM(E53:AB53)</ns0:f>
        <ns0:v>59.23126</ns0:v>
      </ns0:c>
      <ns0:c r="E53" s="80">
        <ns0:v>1.49888</ns0:v>
      </ns0:c>
      <ns0:c r="F53" s="80">
        <ns0:v>1.51058</ns0:v>
      </ns0:c>
      <ns0:c r="G53" s="80">
        <ns0:v>1.54408</ns0:v>
      </ns0:c>
      <ns0:c r="H53" s="80">
        <ns0:v>1.46567</ns0:v>
      </ns0:c>
      <ns0:c r="I53" s="80">
        <ns0:v>1.43348</ns0:v>
      </ns0:c>
      <ns0:c r="J53" s="80">
        <ns0:v>1.38788</ns0:v>
      </ns0:c>
      <ns0:c r="K53" s="80">
        <ns0:v>1.38069</ns0:v>
      </ns0:c>
      <ns0:c r="L53" s="80">
        <ns0:v>1.7923</ns0:v>
      </ns0:c>
      <ns0:c r="M53" s="80">
        <ns0:v>3.65109</ns0:v>
      </ns0:c>
      <ns0:c r="N53" s="80">
        <ns0:v>3.9288</ns0:v>
      </ns0:c>
      <ns0:c r="O53" s="80">
        <ns0:v>3.15256</ns0:v>
      </ns0:c>
      <ns0:c r="P53" s="80">
        <ns0:v>2.90139</ns0:v>
      </ns0:c>
      <ns0:c r="Q53" s="80">
        <ns0:v>2.46961</ns0:v>
      </ns0:c>
      <ns0:c r="R53" s="80">
        <ns0:v>2.94238</ns0:v>
      </ns0:c>
      <ns0:c r="S53" s="80">
        <ns0:v>3.45006</ns0:v>
      </ns0:c>
      <ns0:c r="T53" s="80">
        <ns0:v>3.41325</ns0:v>
      </ns0:c>
      <ns0:c r="U53" s="80">
        <ns0:v>3.42881</ns0:v>
      </ns0:c>
      <ns0:c r="V53" s="80">
        <ns0:v>3.43177</ns0:v>
      </ns0:c>
      <ns0:c r="W53" s="80">
        <ns0:v>2.98289</ns0:v>
      </ns0:c>
      <ns0:c r="X53" s="80">
        <ns0:v>3.18648</ns0:v>
      </ns0:c>
      <ns0:c r="Y53" s="80">
        <ns0:v>2.71748</ns0:v>
      </ns0:c>
      <ns0:c r="Z53" s="80">
        <ns0:v>2.24367</ns0:v>
      </ns0:c>
      <ns0:c r="AA53" s="80">
        <ns0:v>1.81048</ns0:v>
      </ns0:c>
      <ns0:c r="AB53" s="80">
        <ns0:v>1.50698</ns0:v>
      </ns0:c>
      <ns0:c r="AC53"/>
    </ns0:row>
    <ns0:row r="54" ht="16" customHeight="1" spans="1:29">
      <ns0:c r="A54" s="13">
        <ns0:v>53</ns0:v>
      </ns0:c>
      <ns0:c r="B54" s="92">
        <ns0:f>C54</ns0:f>
        <ns0:v>45983</ns0:v>
      </ns0:c>
      <ns0:c r="C54" s="93">
        <ns0:v>45983</ns0:v>
      </ns0:c>
      <ns0:c r="D54" s="94">
        <ns0:f>SUM(E54:AB54)</ns0:f>
        <ns0:v>58.91873</ns0:v>
      </ns0:c>
      <ns0:c r="E54" s="96">
        <ns0:v>1.55008</ns0:v>
      </ns0:c>
      <ns0:c r="F54" s="96">
        <ns0:v>1.49968</ns0:v>
      </ns0:c>
      <ns0:c r="G54" s="96">
        <ns0:v>1.55528</ns0:v>
      </ns0:c>
      <ns0:c r="H54" s="96">
        <ns0:v>1.46042</ns0:v>
      </ns0:c>
      <ns0:c r="I54" s="96">
        <ns0:v>1.42528</ns0:v>
      </ns0:c>
      <ns0:c r="J54" s="96">
        <ns0:v>1.36968</ns0:v>
      </ns0:c>
      <ns0:c r="K54" s="96">
        <ns0:v>1.35608</ns0:v>
      </ns0:c>
      <ns0:c r="L54" s="96">
        <ns0:v>1.76891</ns0:v>
      </ns0:c>
      <ns0:c r="M54" s="96">
        <ns0:v>3.583</ns0:v>
      </ns0:c>
      <ns0:c r="N54" s="96">
        <ns0:v>3.76731</ns0:v>
      </ns0:c>
      <ns0:c r="O54" s="96">
        <ns0:v>3.16171</ns0:v>
      </ns0:c>
      <ns0:c r="P54" s="96">
        <ns0:v>3.07711</ns0:v>
      </ns0:c>
      <ns0:c r="Q54" s="96">
        <ns0:v>2.72141</ns0:v>
      </ns0:c>
      <ns0:c r="R54" s="96">
        <ns0:v>3.1896</ns0:v>
      </ns0:c>
      <ns0:c r="S54" s="96">
        <ns0:v>3.67391</ns0:v>
      </ns0:c>
      <ns0:c r="T54" s="96">
        <ns0:v>3.4706</ns0:v>
      </ns0:c>
      <ns0:c r="U54" s="96">
        <ns0:v>3.56301</ns0:v>
      </ns0:c>
      <ns0:c r="V54" s="96">
        <ns0:v>3.20409</ns0:v>
      </ns0:c>
      <ns0:c r="W54" s="96">
        <ns0:v>2.77389</ns0:v>
      </ns0:c>
      <ns0:c r="X54" s="96">
        <ns0:v>2.87328</ns0:v>
      </ns0:c>
      <ns0:c r="Y54" s="96">
        <ns0:v>2.58138</ns0:v>
      </ns0:c>
      <ns0:c r="Z54" s="96">
        <ns0:v>2.03787</ns0:v>
      </ns0:c>
      <ns0:c r="AA54" s="96">
        <ns0:v>1.74208</ns0:v>
      </ns0:c>
      <ns0:c r="AB54" s="96">
        <ns0:v>1.51307</ns0:v>
      </ns0:c>
      <ns0:c r="AC54"/>
    </ns0:row>
    <ns0:row r="55" ht="16" customHeight="1" spans="1:29">
      <ns0:c r="A55" s="13">
        <ns0:v>54</ns0:v>
      </ns0:c>
      <ns0:c r="B55" s="92">
        <ns0:f>C55</ns0:f>
        <ns0:v>45984</ns0:v>
      </ns0:c>
      <ns0:c r="C55" s="93">
        <ns0:v>45984</ns0:v>
      </ns0:c>
      <ns0:c r="D55" s="94">
        <ns0:f>SUM(E55:AB55)</ns0:f>
        <ns0:v>41.31957</ns0:v>
      </ns0:c>
      <ns0:c r="E55" s="96">
        <ns0:v>1.44128</ns0:v>
      </ns0:c>
      <ns0:c r="F55" s="96">
        <ns0:v>1.40938</ns0:v>
      </ns0:c>
      <ns0:c r="G55" s="96">
        <ns0:v>1.36867</ns0:v>
      </ns0:c>
      <ns0:c r="H55" s="96">
        <ns0:v>1.33688</ns0:v>
      </ns0:c>
      <ns0:c r="I55" s="96">
        <ns0:v>1.37128</ns0:v>
      </ns0:c>
      <ns0:c r="J55" s="96">
        <ns0:v>1.27767</ns0:v>
      </ns0:c>
      <ns0:c r="K55" s="96">
        <ns0:v>1.25039</ns0:v>
      </ns0:c>
      <ns0:c r="L55" s="96">
        <ns0:v>1.27089</ns0:v>
      </ns0:c>
      <ns0:c r="M55" s="96">
        <ns0:v>2.2945</ns0:v>
      </ns0:c>
      <ns0:c r="N55" s="96">
        <ns0:v>2.53071</ns0:v>
      </ns0:c>
      <ns0:c r="O55" s="96">
        <ns0:v>2.2483</ns0:v>
      </ns0:c>
      <ns0:c r="P55" s="96">
        <ns0:v>2.23411</ns0:v>
      </ns0:c>
      <ns0:c r="Q55" s="96">
        <ns0:v>1.87351</ns0:v>
      </ns0:c>
      <ns0:c r="R55" s="96">
        <ns0:v>1.7117</ns0:v>
      </ns0:c>
      <ns0:c r="S55" s="96">
        <ns0:v>2.41661</ns0:v>
      </ns0:c>
      <ns0:c r="T55" s="96">
        <ns0:v>2.3054</ns0:v>
      </ns0:c>
      <ns0:c r="U55" s="96">
        <ns0:v>2.36421</ns0:v>
      </ns0:c>
      <ns0:c r="V55" s="96">
        <ns0:v>2.0879</ns0:v>
      </ns0:c>
      <ns0:c r="W55" s="96">
        <ns0:v>1.54368</ns0:v>
      </ns0:c>
      <ns0:c r="X55" s="96">
        <ns0:v>1.53248</ns0:v>
      </ns0:c>
      <ns0:c r="Y55" s="96">
        <ns0:v>1.50428</ns0:v>
      </ns0:c>
      <ns0:c r="Z55" s="96">
        <ns0:v>1.33438</ns0:v>
      </ns0:c>
      <ns0:c r="AA55" s="96">
        <ns0:v>1.29148</ns0:v>
      </ns0:c>
      <ns0:c r="AB55" s="96">
        <ns0:v>1.31988</ns0:v>
      </ns0:c>
      <ns0:c r="AC55"/>
    </ns0:row>
    <ns0:row r="56" ht="16" customHeight="1" spans="1:29">
      <ns0:c r="A56" s="13">
        <ns0:v>55</ns0:v>
      </ns0:c>
      <ns0:c r="B56" s="92">
        <ns0:f>C56</ns0:f>
        <ns0:v>45985</ns0:v>
      </ns0:c>
      <ns0:c r="C56" s="93">
        <ns0:v>45985</ns0:v>
      </ns0:c>
      <ns0:c r="D56" s="94">
        <ns0:f>SUM($E56:$AB56)</ns0:f>
        <ns0:v>59.34353</ns0:v>
      </ns0:c>
      <ns0:c r="E56" s="96">
        <ns0:v>1.29968</ns0:v>
      </ns0:c>
      <ns0:c r="F56" s="96">
        <ns0:v>1.36238</ns0:v>
      </ns0:c>
      <ns0:c r="G56" s="96">
        <ns0:v>1.31228</ns0:v>
      </ns0:c>
      <ns0:c r="H56" s="96">
        <ns0:v>1.21228</ns0:v>
      </ns0:c>
      <ns0:c r="I56" s="96">
        <ns0:v>1.24527</ns0:v>
      </ns0:c>
      <ns0:c r="J56" s="96">
        <ns0:v>1.20968</ns0:v>
      </ns0:c>
      <ns0:c r="K56" s="96">
        <ns0:v>1.21738</ns0:v>
      </ns0:c>
      <ns0:c r="L56" s="96">
        <ns0:v>1.6631</ns0:v>
      </ns0:c>
      <ns0:c r="M56" s="96">
        <ns0:v>3.36587</ns0:v>
      </ns0:c>
      <ns0:c r="N56" s="96">
        <ns0:v>3.73237</ns0:v>
      </ns0:c>
      <ns0:c r="O56" s="96">
        <ns0:v>3.18923</ns0:v>
      </ns0:c>
      <ns0:c r="P56" s="96">
        <ns0:v>3.19633</ns0:v>
      </ns0:c>
      <ns0:c r="Q56" s="96">
        <ns0:v>2.59118</ns0:v>
      </ns0:c>
      <ns0:c r="R56" s="96">
        <ns0:v>2.99557</ns0:v>
      </ns0:c>
      <ns0:c r="S56" s="96">
        <ns0:v>3.66009</ns0:v>
      </ns0:c>
      <ns0:c r="T56" s="96">
        <ns0:v>3.51811</ns0:v>
      </ns0:c>
      <ns0:c r="U56" s="96">
        <ns0:v>3.82679</ns0:v>
      </ns0:c>
      <ns0:c r="V56" s="96">
        <ns0:v>3.61466</ns0:v>
      </ns0:c>
      <ns0:c r="W56" s="96">
        <ns0:v>3.32498</ns0:v>
      </ns0:c>
      <ns0:c r="X56" s="96">
        <ns0:v>3.38299</ns0:v>
      </ns0:c>
      <ns0:c r="Y56" s="96">
        <ns0:v>2.81368</ns0:v>
      </ns0:c>
      <ns0:c r="Z56" s="96">
        <ns0:v>2.31188</ns0:v>
      </ns0:c>
      <ns0:c r="AA56" s="96">
        <ns0:v>1.80467</ns0:v>
      </ns0:c>
      <ns0:c r="AB56" s="96">
        <ns0:v>1.49308</ns0:v>
      </ns0:c>
      <ns0:c r="AC56"/>
    </ns0:row>
    <ns0:row r="57" ht="16" customHeight="1" spans="1:29">
      <ns0:c r="A57" s="13">
        <ns0:v>56</ns0:v>
      </ns0:c>
      <ns0:c r="B57" s="92">
        <ns0:f>C57</ns0:f>
        <ns0:v>45986</ns0:v>
      </ns0:c>
      <ns0:c r="C57" s="93">
        <ns0:v>45986</ns0:v>
      </ns0:c>
      <ns0:c r="D57" s="94">
        <ns0:f>SUM($E57:$AB57)</ns0:f>
        <ns0:v>60.10518</ns0:v>
      </ns0:c>
      <ns0:c r="E57" s="96">
        <ns0:v>1.46748</ns0:v>
      </ns0:c>
      <ns0:c r="F57" s="96">
        <ns0:v>1.45308</ns0:v>
      </ns0:c>
      <ns0:c r="G57" s="96">
        <ns0:v>1.46698</ns0:v>
      </ns0:c>
      <ns0:c r="H57" s="96">
        <ns0:v>1.43508</ns0:v>
      </ns0:c>
      <ns0:c r="I57" s="96">
        <ns0:v>1.43428</ns0:v>
      </ns0:c>
      <ns0:c r="J57" s="96">
        <ns0:v>1.46028</ns0:v>
      </ns0:c>
      <ns0:c r="K57" s="96">
        <ns0:v>1.42448</ns0:v>
      </ns0:c>
      <ns0:c r="L57" s="96">
        <ns0:v>1.6871</ns0:v>
      </ns0:c>
      <ns0:c r="M57" s="96">
        <ns0:v>3.46754</ns0:v>
      </ns0:c>
      <ns0:c r="N57" s="96">
        <ns0:v>3.74443</ns0:v>
      </ns0:c>
      <ns0:c r="O57" s="96">
        <ns0:v>3.30846</ns0:v>
      </ns0:c>
      <ns0:c r="P57" s="96">
        <ns0:v>3.21925</ns0:v>
      </ns0:c>
      <ns0:c r="Q57" s="96">
        <ns0:v>2.51926</ns0:v>
      </ns0:c>
      <ns0:c r="R57" s="96">
        <ns0:v>2.96557</ns0:v>
      </ns0:c>
      <ns0:c r="S57" s="96">
        <ns0:v>3.51757</ns0:v>
      </ns0:c>
      <ns0:c r="T57" s="96">
        <ns0:v>3.36318</ns0:v>
      </ns0:c>
      <ns0:c r="U57" s="96">
        <ns0:v>3.548</ns0:v>
      </ns0:c>
      <ns0:c r="V57" s="96">
        <ns0:v>3.50255</ns0:v>
      </ns0:c>
      <ns0:c r="W57" s="96">
        <ns0:v>3.26566</ns0:v>
      </ns0:c>
      <ns0:c r="X57" s="96">
        <ns0:v>3.35785</ns0:v>
      </ns0:c>
      <ns0:c r="Y57" s="96">
        <ns0:v>2.94075</ns0:v>
      </ns0:c>
      <ns0:c r="Z57" s="96">
        <ns0:v>2.24645</ns0:v>
      </ns0:c>
      <ns0:c r="AA57" s="96">
        <ns0:v>1.83325</ns0:v>
      </ns0:c>
      <ns0:c r="AB57" s="96">
        <ns0:v>1.47665</ns0:v>
      </ns0:c>
      <ns0:c r="AC57"/>
    </ns0:row>
    <ns0:row r="58" ht="16" customHeight="1" spans="1:29">
      <ns0:c r="A58" s="13">
        <ns0:v>57</ns0:v>
      </ns0:c>
      <ns0:c r="B58" s="92">
        <ns0:f>C58</ns0:f>
        <ns0:v>45987</ns0:v>
      </ns0:c>
      <ns0:c r="C58" s="93">
        <ns0:v>45987</ns0:v>
      </ns0:c>
      <ns0:c r="D58" s="94">
        <ns0:f>SUM($E58:$AB58)</ns0:f>
        <ns0:v>61.93612</ns0:v>
      </ns0:c>
      <ns0:c r="E58" s="96">
        <ns0:v>1.55004</ns0:v>
      </ns0:c>
      <ns0:c r="F58" s="96">
        <ns0:v>1.59555</ns0:v>
      </ns0:c>
      <ns0:c r="G58" s="96">
        <ns0:v>1.53505</ns0:v>
      </ns0:c>
      <ns0:c r="H58" s="96">
        <ns0:v>1.48525</ns0:v>
      </ns0:c>
      <ns0:c r="I58" s="96">
        <ns0:v>1.45385</ns0:v>
      </ns0:c>
      <ns0:c r="J58" s="96">
        <ns0:v>1.50105</ns0:v>
      </ns0:c>
      <ns0:c r="K58" s="96">
        <ns0:v>1.41445</ns0:v>
      </ns0:c>
      <ns0:c r="L58" s="96">
        <ns0:v>1.88787</ns0:v>
      </ns0:c>
      <ns0:c r="M58" s="96">
        <ns0:v>3.63709</ns0:v>
      </ns0:c>
      <ns0:c r="N58" s="96">
        <ns0:v>3.84917</ns0:v>
      </ns0:c>
      <ns0:c r="O58" s="96">
        <ns0:v>3.19191</ns0:v>
      </ns0:c>
      <ns0:c r="P58" s="96">
        <ns0:v>3.07946</ns0:v>
      </ns0:c>
      <ns0:c r="Q58" s="96">
        <ns0:v>2.60035</ns0:v>
      </ns0:c>
      <ns0:c r="R58" s="96">
        <ns0:v>3.11526</ns0:v>
      </ns0:c>
      <ns0:c r="S58" s="96">
        <ns0:v>3.57415</ns0:v>
      </ns0:c>
      <ns0:c r="T58" s="96">
        <ns0:v>3.40833</ns0:v>
      </ns0:c>
      <ns0:c r="U58" s="96">
        <ns0:v>3.69747</ns0:v>
      </ns0:c>
      <ns0:c r="V58" s="96">
        <ns0:v>3.63207</ns0:v>
      </ns0:c>
      <ns0:c r="W58" s="96">
        <ns0:v>3.33105</ns0:v>
      </ns0:c>
      <ns0:c r="X58" s="96">
        <ns0:v>3.38269</ns0:v>
      </ns0:c>
      <ns0:c r="Y58" s="96">
        <ns0:v>2.93508</ns0:v>
      </ns0:c>
      <ns0:c r="Z58" s="96">
        <ns0:v>2.51838</ns0:v>
      </ns0:c>
      <ns0:c r="AA58" s="96">
        <ns0:v>1.93887</ns0:v>
      </ns0:c>
      <ns0:c r="AB58" s="96">
        <ns0:v>1.62168</ns0:v>
      </ns0:c>
      <ns0:c r="AC58"/>
    </ns0:row>
    <ns0:row r="59" ht="16" customHeight="1" spans="1:29">
      <ns0:c r="A59" s="13">
        <ns0:v>58</ns0:v>
      </ns0:c>
      <ns0:c r="B59" s="92">
        <ns0:f>C59</ns0:f>
        <ns0:v>45988</ns0:v>
      </ns0:c>
      <ns0:c r="C59" s="93">
        <ns0:v>45988</ns0:v>
      </ns0:c>
      <ns0:c r="D59" s="94">
        <ns0:f>SUM($E59:$AB59)</ns0:f>
        <ns0:v>62.01381</ns0:v>
      </ns0:c>
      <ns0:c r="E59" s="96">
        <ns0:v>1.55388</ns0:v>
      </ns0:c>
      <ns0:c r="F59" s="96">
        <ns0:v>1.62448</ns0:v>
      </ns0:c>
      <ns0:c r="G59" s="96">
        <ns0:v>1.49938</ns0:v>
      </ns0:c>
      <ns0:c r="H59" s="96">
        <ns0:v>1.54828</ns0:v>
      </ns0:c>
      <ns0:c r="I59" s="96">
        <ns0:v>1.54587</ns0:v>
      </ns0:c>
      <ns0:c r="J59" s="96">
        <ns0:v>1.49728</ns0:v>
      </ns0:c>
      <ns0:c r="K59" s="96">
        <ns0:v>1.47958</ns0:v>
      </ns0:c>
      <ns0:c r="L59" s="96">
        <ns0:v>1.8299</ns0:v>
      </ns0:c>
      <ns0:c r="M59" s="96">
        <ns0:v>3.65502</ns0:v>
      </ns0:c>
      <ns0:c r="N59" s="96">
        <ns0:v>3.8885</ns0:v>
      </ns0:c>
      <ns0:c r="O59" s="96">
        <ns0:v>3.38335</ns0:v>
      </ns0:c>
      <ns0:c r="P59" s="96">
        <ns0:v>3.20106</ns0:v>
      </ns0:c>
      <ns0:c r="Q59" s="96">
        <ns0:v>2.60826</ns0:v>
      </ns0:c>
      <ns0:c r="R59" s="96">
        <ns0:v>3.06408</ns0:v>
      </ns0:c>
      <ns0:c r="S59" s="96">
        <ns0:v>3.75736</ns0:v>
      </ns0:c>
      <ns0:c r="T59" s="96">
        <ns0:v>3.59339</ns0:v>
      </ns0:c>
      <ns0:c r="U59" s="96">
        <ns0:v>3.73101</ns0:v>
      </ns0:c>
      <ns0:c r="V59" s="96">
        <ns0:v>3.58215</ns0:v>
      </ns0:c>
      <ns0:c r="W59" s="96">
        <ns0:v>3.23407</ns0:v>
      </ns0:c>
      <ns0:c r="X59" s="96">
        <ns0:v>3.23299</ns0:v>
      </ns0:c>
      <ns0:c r="Y59" s="96">
        <ns0:v>2.72628</ns0:v>
      </ns0:c>
      <ns0:c r="Z59" s="96">
        <ns0:v>2.17248</ns0:v>
      </ns0:c>
      <ns0:c r="AA59" s="96">
        <ns0:v>1.84828</ns0:v>
      </ns0:c>
      <ns0:c r="AB59" s="96">
        <ns0:v>1.75688</ns0:v>
      </ns0:c>
      <ns0:c r="AC59"/>
    </ns0:row>
    <ns0:row r="60" ht="16" customHeight="1" spans="1:29">
      <ns0:c r="A60" s="13">
        <ns0:v>59</ns0:v>
      </ns0:c>
      <ns0:c r="B60" s="92">
        <ns0:f>C60</ns0:f>
        <ns0:v>45989</ns0:v>
      </ns0:c>
      <ns0:c r="C60" s="93">
        <ns0:v>45989</ns0:v>
      </ns0:c>
      <ns0:c r="D60" s="94">
        <ns0:f>SUM($E60:$AB60)</ns0:f>
        <ns0:v>61.87227</ns0:v>
      </ns0:c>
      <ns0:c r="E60" s="96">
        <ns0:v>1.62417</ns0:v>
      </ns0:c>
      <ns0:c r="F60" s="96">
        <ns0:v>1.64668</ns0:v>
      </ns0:c>
      <ns0:c r="G60" s="96">
        <ns0:v>1.60708</ns0:v>
      </ns0:c>
      <ns0:c r="H60" s="96">
        <ns0:v>1.60768</ns0:v>
      </ns0:c>
      <ns0:c r="I60" s="96">
        <ns0:v>1.59698</ns0:v>
      </ns0:c>
      <ns0:c r="J60" s="96">
        <ns0:v>1.54788</ns0:v>
      </ns0:c>
      <ns0:c r="K60" s="96">
        <ns0:v>1.43988</ns0:v>
      </ns0:c>
      <ns0:c r="L60" s="96">
        <ns0:v>1.8257</ns0:v>
      </ns0:c>
      <ns0:c r="M60" s="96">
        <ns0:v>3.55485</ns0:v>
      </ns0:c>
      <ns0:c r="N60" s="96">
        <ns0:v>3.75917</ns0:v>
      </ns0:c>
      <ns0:c r="O60" s="96">
        <ns0:v>3.1758</ns0:v>
      </ns0:c>
      <ns0:c r="P60" s="96">
        <ns0:v>3.11415</ns0:v>
      </ns0:c>
      <ns0:c r="Q60" s="96">
        <ns0:v>2.66251</ns0:v>
      </ns0:c>
      <ns0:c r="R60" s="96">
        <ns0:v>3.04621</ns0:v>
      </ns0:c>
      <ns0:c r="S60" s="96">
        <ns0:v>3.62166</ns0:v>
      </ns0:c>
      <ns0:c r="T60" s="96">
        <ns0:v>3.5149</ns0:v>
      </ns0:c>
      <ns0:c r="U60" s="96">
        <ns0:v>3.76122</ns0:v>
      </ns0:c>
      <ns0:c r="V60" s="96">
        <ns0:v>3.46344</ns0:v>
      </ns0:c>
      <ns0:c r="W60" s="96">
        <ns0:v>3.23841</ns0:v>
      </ns0:c>
      <ns0:c r="X60" s="96">
        <ns0:v>3.37748</ns0:v>
      </ns0:c>
      <ns0:c r="Y60" s="96">
        <ns0:v>2.72358</ns0:v>
      </ns0:c>
      <ns0:c r="Z60" s="96">
        <ns0:v>2.25548</ns0:v>
      </ns0:c>
      <ns0:c r="AA60" s="96">
        <ns0:v>1.98228</ns0:v>
      </ns0:c>
      <ns0:c r="AB60" s="96">
        <ns0:v>1.72508</ns0:v>
      </ns0:c>
      <ns0:c r="AC60"/>
    </ns0:row>
    <ns0:row r="61" ht="16" customHeight="1" spans="1:29">
      <ns0:c r="A61" s="13">
        <ns0:v>60</ns0:v>
      </ns0:c>
      <ns0:c r="B61" s="92">
        <ns0:f>C61</ns0:f>
        <ns0:v>45990</ns0:v>
      </ns0:c>
      <ns0:c r="C61" s="93">
        <ns0:v>45990</ns0:v>
      </ns0:c>
      <ns0:c r="D61" s="94">
        <ns0:f>SUM($E61:$AB61)</ns0:f>
        <ns0:v>60.11358</ns0:v>
      </ns0:c>
      <ns0:c r="E61" s="96">
        <ns0:v>1.66447</ns0:v>
      </ns0:c>
      <ns0:c r="F61" s="96">
        <ns0:v>1.51898</ns0:v>
      </ns0:c>
      <ns0:c r="G61" s="96">
        <ns0:v>1.44408</ns0:v>
      </ns0:c>
      <ns0:c r="H61" s="96">
        <ns0:v>1.45568</ns0:v>
      </ns0:c>
      <ns0:c r="I61" s="96">
        <ns0:v>1.40368</ns0:v>
      </ns0:c>
      <ns0:c r="J61" s="96">
        <ns0:v>1.46388</ns0:v>
      </ns0:c>
      <ns0:c r="K61" s="96">
        <ns0:v>1.41278</ns0:v>
      </ns0:c>
      <ns0:c r="L61" s="96">
        <ns0:v>1.8795</ns0:v>
      </ns0:c>
      <ns0:c r="M61" s="96">
        <ns0:v>3.67511</ns0:v>
      </ns0:c>
      <ns0:c r="N61" s="96">
        <ns0:v>3.8611</ns0:v>
      </ns0:c>
      <ns0:c r="O61" s="96">
        <ns0:v>3.24671</ns0:v>
      </ns0:c>
      <ns0:c r="P61" s="96">
        <ns0:v>3.11551</ns0:v>
      </ns0:c>
      <ns0:c r="Q61" s="96">
        <ns0:v>2.67851</ns0:v>
      </ns0:c>
      <ns0:c r="R61" s="96">
        <ns0:v>3.1486</ns0:v>
      </ns0:c>
      <ns0:c r="S61" s="96">
        <ns0:v>3.58281</ns0:v>
      </ns0:c>
      <ns0:c r="T61" s="96">
        <ns0:v>3.4301</ns0:v>
      </ns0:c>
      <ns0:c r="U61" s="96">
        <ns0:v>3.60511</ns0:v>
      </ns0:c>
      <ns0:c r="V61" s="96">
        <ns0:v>3.5878</ns0:v>
      </ns0:c>
      <ns0:c r="W61" s="96">
        <ns0:v>2.99268</ns0:v>
      </ns0:c>
      <ns0:c r="X61" s="96">
        <ns0:v>2.89008</ns0:v>
      </ns0:c>
      <ns0:c r="Y61" s="96">
        <ns0:v>2.48748</ns0:v>
      </ns0:c>
      <ns0:c r="Z61" s="96">
        <ns0:v>2.12108</ns0:v>
      </ns0:c>
      <ns0:c r="AA61" s="96">
        <ns0:v>1.85357</ns0:v>
      </ns0:c>
      <ns0:c r="AB61" s="96">
        <ns0:v>1.59428</ns0:v>
      </ns0:c>
      <ns0:c r="AC61"/>
    </ns0:row>
    <ns0:row r="62" ht="16" customHeight="1" spans="1:29">
      <ns0:c r="A62" s="13">
        <ns0:v>61</ns0:v>
      </ns0:c>
      <ns0:c r="B62" s="92">
        <ns0:f>C62</ns0:f>
        <ns0:v>45991</ns0:v>
      </ns0:c>
      <ns0:c r="C62" s="93">
        <ns0:v>45991</ns0:v>
      </ns0:c>
      <ns0:c r="D62" s="94">
        <ns0:f>SUM($E62:$AB62)</ns0:f>
        <ns0:v>50.61751</ns0:v>
      </ns0:c>
      <ns0:c r="E62" s="96">
        <ns0:v>1.97778</ns0:v>
      </ns0:c>
      <ns0:c r="F62" s="96">
        <ns0:v>1.83201</ns0:v>
      </ns0:c>
      <ns0:c r="G62" s="96">
        <ns0:v>1.79153</ns0:v>
      </ns0:c>
      <ns0:c r="H62" s="96">
        <ns0:v>1.79394</ns0:v>
      </ns0:c>
      <ns0:c r="I62" s="96">
        <ns0:v>1.67681</ns0:v>
      </ns0:c>
      <ns0:c r="J62" s="96">
        <ns0:v>1.50557</ns0:v>
      </ns0:c>
      <ns0:c r="K62" s="96">
        <ns0:v>1.45525</ns0:v>
      </ns0:c>
      <ns0:c r="L62" s="96">
        <ns0:v>1.5787</ns0:v>
      </ns0:c>
      <ns0:c r="M62" s="96">
        <ns0:v>2.82307</ns0:v>
      </ns0:c>
      <ns0:c r="N62" s="96">
        <ns0:v>3.1709</ns0:v>
      </ns0:c>
      <ns0:c r="O62" s="96">
        <ns0:v>3.03024</ns0:v>
      </ns0:c>
      <ns0:c r="P62" s="96">
        <ns0:v>2.84043</ns0:v>
      </ns0:c>
      <ns0:c r="Q62" s="96">
        <ns0:v>2.12046</ns0:v>
      </ns0:c>
      <ns0:c r="R62" s="96">
        <ns0:v>2.44193</ns0:v>
      </ns0:c>
      <ns0:c r="S62" s="96">
        <ns0:v>2.98252</ns0:v>
      </ns0:c>
      <ns0:c r="T62" s="96">
        <ns0:v>2.99922</ns0:v>
      </ns0:c>
      <ns0:c r="U62" s="96">
        <ns0:v>3.11105</ns0:v>
      </ns0:c>
      <ns0:c r="V62" s="96">
        <ns0:v>2.8187</ns0:v>
      </ns0:c>
      <ns0:c r="W62" s="96">
        <ns0:v>1.88075</ns0:v>
      </ns0:c>
      <ns0:c r="X62" s="96">
        <ns0:v>1.66471</ns0:v>
      </ns0:c>
      <ns0:c r="Y62" s="96">
        <ns0:v>1.44874</ns0:v>
      </ns0:c>
      <ns0:c r="Z62" s="96">
        <ns0:v>1.30092</ns0:v>
      </ns0:c>
      <ns0:c r="AA62" s="96">
        <ns0:v>1.29092</ns0:v>
      </ns0:c>
      <ns0:c r="AB62" s="96">
        <ns0:v>1.08136</ns0:v>
      </ns0:c>
      <ns0:c r="AC62"/>
    </ns0:row>
    <ns0:row r="63" ht="16" customHeight="1" spans="1:29">
      <ns0:c r="A63" s="13">
        <ns0:v>62</ns0:v>
      </ns0:c>
      <ns0:c r="B63" s="92">
        <ns0:f>C63</ns0:f>
        <ns0:v>45992</ns0:v>
      </ns0:c>
      <ns0:c r="C63" s="93">
        <ns0:v>45992</ns0:v>
      </ns0:c>
      <ns0:c r="D63" s="94">
        <ns0:f>SUM($E63:$AB63)</ns0:f>
        <ns0:v>44.4762</ns0:v>
      </ns0:c>
      <ns0:c r="E63" s="96">
        <ns0:v>0.97548</ns0:v>
      </ns0:c>
      <ns0:c r="F63" s="96">
        <ns0:v>0.96828</ns0:v>
      </ns0:c>
      <ns0:c r="G63" s="96">
        <ns0:v>0.91028</ns0:v>
      </ns0:c>
      <ns0:c r="H63" s="96">
        <ns0:v>0.76478</ns0:v>
      </ns0:c>
      <ns0:c r="I63" s="96">
        <ns0:v>0.73448</ns0:v>
      </ns0:c>
      <ns0:c r="J63" s="96">
        <ns0:v>0.78508</ns0:v>
      </ns0:c>
      <ns0:c r="K63" s="96">
        <ns0:v>0.91628</ns0:v>
      </ns0:c>
      <ns0:c r="L63" s="96">
        <ns0:v>1.2499</ns0:v>
      </ns0:c>
      <ns0:c r="M63" s="96">
        <ns0:v>2.59406</ns0:v>
      </ns0:c>
      <ns0:c r="N63" s="96">
        <ns0:v>3.04175</ns0:v>
      </ns0:c>
      <ns0:c r="O63" s="96">
        <ns0:v>2.33092</ns0:v>
      </ns0:c>
      <ns0:c r="P63" s="96">
        <ns0:v>2.16253</ns0:v>
      </ns0:c>
      <ns0:c r="Q63" s="96">
        <ns0:v>2.00264</ns0:v>
      </ns0:c>
      <ns0:c r="R63" s="96">
        <ns0:v>2.36233</ns0:v>
      </ns0:c>
      <ns0:c r="S63" s="96">
        <ns0:v>2.67971</ns0:v>
      </ns0:c>
      <ns0:c r="T63" s="96">
        <ns0:v>2.55263</ns0:v>
      </ns0:c>
      <ns0:c r="U63" s="96">
        <ns0:v>2.67433</ns0:v>
      </ns0:c>
      <ns0:c r="V63" s="96">
        <ns0:v>2.73079</ns0:v>
      </ns0:c>
      <ns0:c r="W63" s="96">
        <ns0:v>2.52265</ns0:v>
      </ns0:c>
      <ns0:c r="X63" s="96">
        <ns0:v>2.57349</ns0:v>
      </ns0:c>
      <ns0:c r="Y63" s="96">
        <ns0:v>2.25018</ns0:v>
      </ns0:c>
      <ns0:c r="Z63" s="96">
        <ns0:v>1.94228</ns0:v>
      </ns0:c>
      <ns0:c r="AA63" s="96">
        <ns0:v>1.47367</ns0:v>
      </ns0:c>
      <ns0:c r="AB63" s="96">
        <ns0:v>1.27768</ns0:v>
      </ns0:c>
      <ns0:c r="AC63"/>
    </ns0:row>
    <ns0:row r="64" ht="16" customHeight="1" spans="1:29">
      <ns0:c r="A64" s="13">
        <ns0:v>63</ns0:v>
      </ns0:c>
      <ns0:c r="B64" s="92">
        <ns0:f>C64</ns0:f>
        <ns0:v>45993</ns0:v>
      </ns0:c>
      <ns0:c r="C64" s="93">
        <ns0:v>45993</ns0:v>
      </ns0:c>
      <ns0:c r="D64" s="94">
        <ns0:f>SUM($E64:$AB64)</ns0:f>
        <ns0:v>64.14371</ns0:v>
      </ns0:c>
      <ns0:c r="E64" s="96">
        <ns0:v>1.37378</ns0:v>
      </ns0:c>
      <ns0:c r="F64" s="96">
        <ns0:v>1.38868</ns0:v>
      </ns0:c>
      <ns0:c r="G64" s="96">
        <ns0:v>1.33768</ns0:v>
      </ns0:c>
      <ns0:c r="H64" s="96">
        <ns0:v>1.24928</ns0:v>
      </ns0:c>
      <ns0:c r="I64" s="96">
        <ns0:v>1.23887</ns0:v>
      </ns0:c>
      <ns0:c r="J64" s="96">
        <ns0:v>1.24198</ns0:v>
      </ns0:c>
      <ns0:c r="K64" s="96">
        <ns0:v>1.24028</ns0:v>
      </ns0:c>
      <ns0:c r="L64" s="96">
        <ns0:v>1.7035</ns0:v>
      </ns0:c>
      <ns0:c r="M64" s="96">
        <ns0:v>3.86847</ns0:v>
      </ns0:c>
      <ns0:c r="N64" s="96">
        <ns0:v>4.11645</ns0:v>
      </ns0:c>
      <ns0:c r="O64" s="96">
        <ns0:v>3.60857</ns0:v>
      </ns0:c>
      <ns0:c r="P64" s="96">
        <ns0:v>3.45861</ns0:v>
      </ns0:c>
      <ns0:c r="Q64" s="96">
        <ns0:v>2.85278</ns0:v>
      </ns0:c>
      <ns0:c r="R64" s="96">
        <ns0:v>3.52666</ns0:v>
      </ns0:c>
      <ns0:c r="S64" s="96">
        <ns0:v>4.05649</ns0:v>
      </ns0:c>
      <ns0:c r="T64" s="96">
        <ns0:v>3.882</ns0:v>
      </ns0:c>
      <ns0:c r="U64" s="96">
        <ns0:v>3.92852</ns0:v>
      </ns0:c>
      <ns0:c r="V64" s="96">
        <ns0:v>3.8313</ns0:v>
      </ns0:c>
      <ns0:c r="W64" s="96">
        <ns0:v>3.44412</ns0:v>
      </ns0:c>
      <ns0:c r="X64" s="96">
        <ns0:v>3.49018</ns0:v>
      </ns0:c>
      <ns0:c r="Y64" s="96">
        <ns0:v>3.08388</ns0:v>
      </ns0:c>
      <ns0:c r="Z64" s="96">
        <ns0:v>2.59048</ns0:v>
      </ns0:c>
      <ns0:c r="AA64" s="96">
        <ns0:v>2.01007</ns0:v>
      </ns0:c>
      <ns0:c r="AB64" s="96">
        <ns0:v>1.62108</ns0:v>
      </ns0:c>
      <ns0:c r="AC64"/>
    </ns0:row>
    <ns0:row r="65" ht="16" customHeight="1" spans="1:29">
      <ns0:c r="A65" s="13">
        <ns0:v>64</ns0:v>
      </ns0:c>
      <ns0:c r="B65" s="92">
        <ns0:f>C65</ns0:f>
        <ns0:v>45994</ns0:v>
      </ns0:c>
      <ns0:c r="C65" s="93">
        <ns0:v>45994</ns0:v>
      </ns0:c>
      <ns0:c r="D65" s="94">
        <ns0:f>SUM($E65:$AB65)</ns0:f>
        <ns0:v>22.48326</ns0:v>
      </ns0:c>
      <ns0:c r="E65" s="96">
        <ns0:v>1.6391</ns0:v>
      </ns0:c>
      <ns0:c r="F65" s="96">
        <ns0:v>1.66307</ns0:v>
      </ns0:c>
      <ns0:c r="G65" s="96">
        <ns0:v>1.65322</ns0:v>
      </ns0:c>
      <ns0:c r="H65" s="96">
        <ns0:v>1.70349</ns0:v>
      </ns0:c>
      <ns0:c r="I65" s="96">
        <ns0:v>1.66121</ns0:v>
      </ns0:c>
      <ns0:c r="J65" s="96">
        <ns0:v>1.75384</ns0:v>
      </ns0:c>
      <ns0:c r="K65" s="96">
        <ns0:v>1.6611</ns0:v>
      </ns0:c>
      <ns0:c r="L65" s="96">
        <ns0:v>2.09351</ns0:v>
      </ns0:c>
      <ns0:c r="M65" s="96">
        <ns0:v>4.0232</ns0:v>
      </ns0:c>
      <ns0:c r="N65" s="96">
        <ns0:v>4.19339</ns0:v>
      </ns0:c>
      <ns0:c r="O65" s="96">
        <ns0:v>3.60673</ns0:v>
      </ns0:c>
      <ns0:c r="P65" s="96">
        <ns0:v>3.58261</ns0:v>
      </ns0:c>
      <ns0:c r="Q65" s="96">
        <ns0:v>2.91108</ns0:v>
      </ns0:c>
      <ns0:c r="R65" s="96">
        <ns0:v>3.26399</ns0:v>
      </ns0:c>
      <ns0:c r="S65" s="96">
        <ns0:v>3.87847</ns0:v>
      </ns0:c>
      <ns0:c r="T65" s="96">
        <ns0:v>3.69217</ns0:v>
      </ns0:c>
      <ns0:c r="U65" s="96">
        <ns0:v>4.02322</ns0:v>
      </ns0:c>
      <ns0:c r="V65" s="96">
        <ns0:v>3.69832</ns0:v>
      </ns0:c>
      <ns0:c r="W65" s="96">
        <ns0:v>3.28261</ns0:v>
      </ns0:c>
      <ns0:c r="X65" s="96">
        <ns0:v>3.48528</ns0:v>
      </ns0:c>
      <ns0:c r="Y65" s="96">
        <ns0:v>3.10678</ns0:v>
      </ns0:c>
      <ns0:c r="Z65" s="96">
        <ns0:v>2.51995</ns0:v>
      </ns0:c>
      <ns0:c r="AA65" s="96">
        <ns0:v>2.16188</ns0:v>
      </ns0:c>
      <ns0:c r="AB65" s="96">
        <ns0:v>1.74862</ns0:v>
      </ns0:c>
      <ns0:c r="AC65"/>
    </ns0:row>
    <ns0:row r="66" ht="16" customHeight="1" spans="1:29">
      <ns0:c r="A66" s="13">
        <ns0:v>65</ns0:v>
      </ns0:c>
      <ns0:c r="B66" s="92">
        <ns0:f>C66</ns0:f>
        <ns0:v>45995</ns0:v>
      </ns0:c>
      <ns0:c r="C66" s="93">
        <ns0:v>45995</ns0:v>
      </ns0:c>
      <ns0:c r="D66" s="94">
        <ns0:f>SUM($E66:$AB66)</ns0:f>
        <ns0:v>67.61823</ns0:v>
      </ns0:c>
      <ns0:c r="E66" s="96">
        <ns0:v>1.67208</ns0:v>
      </ns0:c>
      <ns0:c r="F66" s="96">
        <ns0:v>1.68267</ns0:v>
      </ns0:c>
      <ns0:c r="G66" s="96">
        <ns0:v>1.63648</ns0:v>
      </ns0:c>
      <ns0:c r="H66" s="96">
        <ns0:v>1.65778</ns0:v>
      </ns0:c>
      <ns0:c r="I66" s="96">
        <ns0:v>1.63788</ns0:v>
      </ns0:c>
      <ns0:c r="J66" s="96">
        <ns0:v>1.64348</ns0:v>
      </ns0:c>
      <ns0:c r="K66" s="96">
        <ns0:v>1.59948</ns0:v>
      </ns0:c>
      <ns0:c r="L66" s="96">
        <ns0:v>2.05259</ns0:v>
      </ns0:c>
      <ns0:c r="M66" s="96">
        <ns0:v>4.16844</ns0:v>
      </ns0:c>
      <ns0:c r="N66" s="96">
        <ns0:v>4.46096</ns0:v>
      </ns0:c>
      <ns0:c r="O66" s="96">
        <ns0:v>3.89931</ns0:v>
      </ns0:c>
      <ns0:c r="P66" s="96">
        <ns0:v>3.50934</ns0:v>
      </ns0:c>
      <ns0:c r="Q66" s="96">
        <ns0:v>2.90451</ns0:v>
      </ns0:c>
      <ns0:c r="R66" s="96">
        <ns0:v>3.36021</ns0:v>
      </ns0:c>
      <ns0:c r="S66" s="96">
        <ns0:v>3.96701</ns0:v>
      </ns0:c>
      <ns0:c r="T66" s="96">
        <ns0:v>3.6719</ns0:v>
      </ns0:c>
      <ns0:c r="U66" s="96">
        <ns0:v>3.91845</ns0:v>
      </ns0:c>
      <ns0:c r="V66" s="96">
        <ns0:v>3.79772</ns0:v>
      </ns0:c>
      <ns0:c r="W66" s="96">
        <ns0:v>3.45884</ns0:v>
      </ns0:c>
      <ns0:c r="X66" s="96">
        <ns0:v>3.47788</ns0:v>
      </ns0:c>
      <ns0:c r="Y66" s="96">
        <ns0:v>3.05138</ns0:v>
      </ns0:c>
      <ns0:c r="Z66" s="96">
        <ns0:v>2.53528</ns0:v>
      </ns0:c>
      <ns0:c r="AA66" s="96">
        <ns0:v>2.07488</ns0:v>
      </ns0:c>
      <ns0:c r="AB66" s="96">
        <ns0:v>1.77968</ns0:v>
      </ns0:c>
      <ns0:c r="AC66"/>
    </ns0:row>
    <ns0:row r="67" ht="16" customHeight="1" spans="1:29">
      <ns0:c r="A67" s="13">
        <ns0:v>66</ns0:v>
      </ns0:c>
      <ns0:c r="B67" s="92">
        <ns0:f>C67</ns0:f>
        <ns0:v>45996</ns0:v>
      </ns0:c>
      <ns0:c r="C67" s="93">
        <ns0:v>45996</ns0:v>
      </ns0:c>
      <ns0:c r="D67" s="94">
        <ns0:f>SUM($E67:$AB67)</ns0:f>
        <ns0:v>40.25474</ns0:v>
      </ns0:c>
      <ns0:c r="E67" s="96">
        <ns0:v>1.65806</ns0:v>
      </ns0:c>
      <ns0:c r="F67" s="96">
        <ns0:v>1.56499</ns0:v>
      </ns0:c>
      <ns0:c r="G67" s="96">
        <ns0:v>1.55165</ns0:v>
      </ns0:c>
      <ns0:c r="H67" s="96">
        <ns0:v>1.5242</ns0:v>
      </ns0:c>
      <ns0:c r="I67" s="96">
        <ns0:v>1.53312</ns0:v>
      </ns0:c>
      <ns0:c r="J67" s="96">
        <ns0:v>1.51813</ns0:v>
      </ns0:c>
      <ns0:c r="K67" s="96">
        <ns0:v>1.45021</ns0:v>
      </ns0:c>
      <ns0:c r="L67" s="96">
        <ns0:v>1.89835</ns0:v>
      </ns0:c>
      <ns0:c r="M67" s="96">
        <ns0:v>3.78701</ns0:v>
      </ns0:c>
      <ns0:c r="N67" s="96">
        <ns0:v>3.97938</ns0:v>
      </ns0:c>
      <ns0:c r="O67" s="96">
        <ns0:v>3.29429</ns0:v>
      </ns0:c>
      <ns0:c r="P67" s="96">
        <ns0:v>3.2182</ns0:v>
      </ns0:c>
      <ns0:c r="Q67" s="96">
        <ns0:v>2.72274</ns0:v>
      </ns0:c>
      <ns0:c r="R67" s="96">
        <ns0:v>3.20122</ns0:v>
      </ns0:c>
      <ns0:c r="S67" s="96">
        <ns0:v>3.70795</ns0:v>
      </ns0:c>
      <ns0:c r="T67" s="96">
        <ns0:v>3.64728</ns0:v>
      </ns0:c>
      <ns0:c r="U67" s="96">
        <ns0:v>3.71306</ns0:v>
      </ns0:c>
      <ns0:c r="V67" s="96">
        <ns0:v>3.71186</ns0:v>
      </ns0:c>
      <ns0:c r="W67" s="96">
        <ns0:v>3.35102</ns0:v>
      </ns0:c>
      <ns0:c r="X67" s="96">
        <ns0:v>3.42924</ns0:v>
      </ns0:c>
      <ns0:c r="Y67" s="96">
        <ns0:v>3.11611</ns0:v>
      </ns0:c>
      <ns0:c r="Z67" s="96">
        <ns0:v>2.59556</ns0:v>
      </ns0:c>
      <ns0:c r="AA67" s="96">
        <ns0:v>2.00454</ns0:v>
      </ns0:c>
      <ns0:c r="AB67" s="96">
        <ns0:v>1.74809</ns0:v>
      </ns0:c>
      <ns0:c r="AC67"/>
    </ns0:row>
    <ns0:row r="68" ht="16" customHeight="1" spans="1:29">
      <ns0:c r="A68" s="13">
        <ns0:v>67</ns0:v>
      </ns0:c>
      <ns0:c r="B68" s="92">
        <ns0:f>C68</ns0:f>
        <ns0:v>45997</ns0:v>
      </ns0:c>
      <ns0:c r="C68" s="93">
        <ns0:v>45997</ns0:v>
      </ns0:c>
      <ns0:c r="D68" s="94">
        <ns0:f>SUM($E68:$AB68)</ns0:f>
        <ns0:v>64.17837</ns0:v>
      </ns0:c>
      <ns0:c r="E68" s="96">
        <ns0:v>1.60088</ns0:v>
      </ns0:c>
      <ns0:c r="F68" s="96">
        <ns0:v>1.64338</ns0:v>
      </ns0:c>
      <ns0:c r="G68" s="96">
        <ns0:v>1.59288</ns0:v>
      </ns0:c>
      <ns0:c r="H68" s="96">
        <ns0:v>1.57418</ns0:v>
      </ns0:c>
      <ns0:c r="I68" s="96">
        <ns0:v>1.54688</ns0:v>
      </ns0:c>
      <ns0:c r="J68" s="96">
        <ns0:v>1.57958</ns0:v>
      </ns0:c>
      <ns0:c r="K68" s="96">
        <ns0:v>1.57908</ns0:v>
      </ns0:c>
      <ns0:c r="L68" s="96">
        <ns0:v>1.9618</ns0:v>
      </ns0:c>
      <ns0:c r="M68" s="96">
        <ns0:v>3.8489</ns0:v>
      </ns0:c>
      <ns0:c r="N68" s="96">
        <ns0:v>4.18291</ns0:v>
      </ns0:c>
      <ns0:c r="O68" s="96">
        <ns0:v>3.57761</ns0:v>
      </ns0:c>
      <ns0:c r="P68" s="96">
        <ns0:v>3.4861</ns0:v>
      </ns0:c>
      <ns0:c r="Q68" s="96">
        <ns0:v>2.84401</ns0:v>
      </ns0:c>
      <ns0:c r="R68" s="96">
        <ns0:v>3.349</ns0:v>
      </ns0:c>
      <ns0:c r="S68" s="96">
        <ns0:v>3.9564</ns0:v>
      </ns0:c>
      <ns0:c r="T68" s="96">
        <ns0:v>3.73871</ns0:v>
      </ns0:c>
      <ns0:c r="U68" s="96">
        <ns0:v>3.6861</ns0:v>
      </ns0:c>
      <ns0:c r="V68" s="96">
        <ns0:v>3.541</ns0:v>
      </ns0:c>
      <ns0:c r="W68" s="96">
        <ns0:v>3.10888</ns0:v>
      </ns0:c>
      <ns0:c r="X68" s="96">
        <ns0:v>3.13088</ns0:v>
      </ns0:c>
      <ns0:c r="Y68" s="96">
        <ns0:v>2.80768</ns0:v>
      </ns0:c>
      <ns0:c r="Z68" s="96">
        <ns0:v>2.32647</ns0:v>
      </ns0:c>
      <ns0:c r="AA68" s="96">
        <ns0:v>1.90698</ns0:v>
      </ns0:c>
      <ns0:c r="AB68" s="96">
        <ns0:v>1.60808</ns0:v>
      </ns0:c>
      <ns0:c r="AC68"/>
    </ns0:row>
    <ns0:row r="69" ht="16" customHeight="1" spans="1:29">
      <ns0:c r="A69" s="13">
        <ns0:v>68</ns0:v>
      </ns0:c>
      <ns0:c r="B69" s="92">
        <ns0:f>C69</ns0:f>
        <ns0:v>45998</ns0:v>
      </ns0:c>
      <ns0:c r="C69" s="93">
        <ns0:v>45998</ns0:v>
      </ns0:c>
      <ns0:c r="D69" s="94">
        <ns0:f>SUM($E69:$AB69)</ns0:f>
        <ns0:v>44.38067</ns0:v>
      </ns0:c>
      <ns0:c r="E69" s="96">
        <ns0:v>1.73207</ns0:v>
      </ns0:c>
      <ns0:c r="F69" s="96">
        <ns0:v>1.61768</ns0:v>
      </ns0:c>
      <ns0:c r="G69" s="96">
        <ns0:v>1.57388</ns0:v>
      </ns0:c>
      <ns0:c r="H69" s="96">
        <ns0:v>1.43137</ns0:v>
      </ns0:c>
      <ns0:c r="I69" s="96">
        <ns0:v>1.45188</ns0:v>
      </ns0:c>
      <ns0:c r="J69" s="96">
        <ns0:v>1.44648</ns0:v>
      </ns0:c>
      <ns0:c r="K69" s="96">
        <ns0:v>1.40108</ns0:v>
      </ns0:c>
      <ns0:c r="L69" s="96">
        <ns0:v>1.41949</ns0:v>
      </ns0:c>
      <ns0:c r="M69" s="96">
        <ns0:v>2.53221</ns0:v>
      </ns0:c>
      <ns0:c r="N69" s="96">
        <ns0:v>2.7341</ns0:v>
      </ns0:c>
      <ns0:c r="O69" s="96">
        <ns0:v>2.45751</ns0:v>
      </ns0:c>
      <ns0:c r="P69" s="96">
        <ns0:v>2.3773</ns0:v>
      </ns0:c>
      <ns0:c r="Q69" s="96">
        <ns0:v>2.25511</ns0:v>
      </ns0:c>
      <ns0:c r="R69" s="96">
        <ns0:v>1.97251</ns0:v>
      </ns0:c>
      <ns0:c r="S69" s="96">
        <ns0:v>2.4729</ns0:v>
      </ns0:c>
      <ns0:c r="T69" s="96">
        <ns0:v>2.45271</ns0:v>
      </ns0:c>
      <ns0:c r="U69" s="96">
        <ns0:v>2.4651</ns0:v>
      </ns0:c>
      <ns0:c r="V69" s="96">
        <ns0:v>2.2881</ns0:v>
      </ns0:c>
      <ns0:c r="W69" s="96">
        <ns0:v>1.51529</ns0:v>
      </ns0:c>
      <ns0:c r="X69" s="96">
        <ns0:v>1.45328</ns0:v>
      </ns0:c>
      <ns0:c r="Y69" s="96">
        <ns0:v>1.47128</ns0:v>
      </ns0:c>
      <ns0:c r="Z69" s="96">
        <ns0:v>1.36488</ns0:v>
      </ns0:c>
      <ns0:c r="AA69" s="96">
        <ns0:v>1.28368</ns0:v>
      </ns0:c>
      <ns0:c r="AB69" s="96">
        <ns0:v>1.21078</ns0:v>
      </ns0:c>
      <ns0:c r="AC69"/>
    </ns0:row>
    <ns0:row r="70" ht="16" customHeight="1" spans="1:29">
      <ns0:c r="A70" s="13">
        <ns0:v>69</ns0:v>
      </ns0:c>
      <ns0:c r="B70" s="92">
        <ns0:f>C70</ns0:f>
        <ns0:v>45999</ns0:v>
      </ns0:c>
      <ns0:c r="C70" s="93">
        <ns0:v>45999</ns0:v>
      </ns0:c>
      <ns0:c r="D70" s="94">
        <ns0:f>SUM($E70:$AB70)</ns0:f>
        <ns0:v>60.6367</ns0:v>
      </ns0:c>
      <ns0:c r="E70" s="96">
        <ns0:v>1.29138</ns0:v>
      </ns0:c>
      <ns0:c r="F70" s="96">
        <ns0:v>1.32488</ns0:v>
      </ns0:c>
      <ns0:c r="G70" s="96">
        <ns0:v>1.35148</ns0:v>
      </ns0:c>
      <ns0:c r="H70" s="96">
        <ns0:v>1.37997</ns0:v>
      </ns0:c>
      <ns0:c r="I70" s="96">
        <ns0:v>1.32348</ns0:v>
      </ns0:c>
      <ns0:c r="J70" s="96">
        <ns0:v>1.32938</ns0:v>
      </ns0:c>
      <ns0:c r="K70" s="96">
        <ns0:v>1.27218</ns0:v>
      </ns0:c>
      <ns0:c r="L70" s="96">
        <ns0:v>1.7535</ns0:v>
      </ns0:c>
      <ns0:c r="M70" s="96">
        <ns0:v>3.45095</ns0:v>
      </ns0:c>
      <ns0:c r="N70" s="96">
        <ns0:v>3.8818</ns0:v>
      </ns0:c>
      <ns0:c r="O70" s="96">
        <ns0:v>3.25381</ns0:v>
      </ns0:c>
      <ns0:c r="P70" s="96">
        <ns0:v>3.16883</ns0:v>
      </ns0:c>
      <ns0:c r="Q70" s="96">
        <ns0:v>2.67746</ns0:v>
      </ns0:c>
      <ns0:c r="R70" s="96">
        <ns0:v>3.19675</ns0:v>
      </ns0:c>
      <ns0:c r="S70" s="96">
        <ns0:v>3.71115</ns0:v>
      </ns0:c>
      <ns0:c r="T70" s="96">
        <ns0:v>3.58041</ns0:v>
      </ns0:c>
      <ns0:c r="U70" s="96">
        <ns0:v>3.76944</ns0:v>
      </ns0:c>
      <ns0:c r="V70" s="96">
        <ns0:v>3.64234</ns0:v>
      </ns0:c>
      <ns0:c r="W70" s="96">
        <ns0:v>3.24259</ns0:v>
      </ns0:c>
      <ns0:c r="X70" s="96">
        <ns0:v>3.23459</ns0:v>
      </ns0:c>
      <ns0:c r="Y70" s="96">
        <ns0:v>2.87618</ns0:v>
      </ns0:c>
      <ns0:c r="Z70" s="96">
        <ns0:v>2.43398</ns0:v>
      </ns0:c>
      <ns0:c r="AA70" s="96">
        <ns0:v>1.88258</ns0:v>
      </ns0:c>
      <ns0:c r="AB70" s="96">
        <ns0:v>1.60759</ns0:v>
      </ns0:c>
      <ns0:c r="AC70"/>
    </ns0:row>
    <ns0:row r="71" ht="16" customHeight="1" spans="1:29">
      <ns0:c r="A71" s="13">
        <ns0:v>70</ns0:v>
      </ns0:c>
      <ns0:c r="B71" s="92">
        <ns0:f>C71</ns0:f>
        <ns0:v>46000</ns0:v>
      </ns0:c>
      <ns0:c r="C71" s="93">
        <ns0:v>46000</ns0:v>
      </ns0:c>
      <ns0:c r="D71" s="94">
        <ns0:f>SUM($E71:$AB71)</ns0:f>
        <ns0:v>53.56249</ns0:v>
      </ns0:c>
      <ns0:c r="E71" s="96">
        <ns0:v>1.59225</ns0:v>
      </ns0:c>
      <ns0:c r="F71" s="96">
        <ns0:v>1.65606</ns0:v>
      </ns0:c>
      <ns0:c r="G71" s="96">
        <ns0:v>1.59058</ns0:v>
      </ns0:c>
      <ns0:c r="H71" s="96">
        <ns0:v>1.60096</ns0:v>
      </ns0:c>
      <ns0:c r="I71" s="96">
        <ns0:v>1.61951</ns0:v>
      </ns0:c>
      <ns0:c r="J71" s="96">
        <ns0:v>1.65279</ns0:v>
      </ns0:c>
      <ns0:c r="K71" s="96">
        <ns0:v>1.55464</ns0:v>
      </ns0:c>
      <ns0:c r="L71" s="96">
        <ns0:v>1.95728</ns0:v>
      </ns0:c>
      <ns0:c r="M71" s="96">
        <ns0:v>3.84904</ns0:v>
      </ns0:c>
      <ns0:c r="N71" s="96">
        <ns0:v>4.08901</ns0:v>
      </ns0:c>
      <ns0:c r="O71" s="96">
        <ns0:v>3.41101</ns0:v>
      </ns0:c>
      <ns0:c r="P71" s="96">
        <ns0:v>3.15164</ns0:v>
      </ns0:c>
      <ns0:c r="Q71" s="96">
        <ns0:v>2.72426</ns0:v>
      </ns0:c>
      <ns0:c r="R71" s="96">
        <ns0:v>3.20227</ns0:v>
      </ns0:c>
      <ns0:c r="S71" s="96">
        <ns0:v>3.708</ns0:v>
      </ns0:c>
      <ns0:c r="T71" s="96">
        <ns0:v>3.60096</ns0:v>
      </ns0:c>
      <ns0:c r="U71" s="96">
        <ns0:v>3.69719</ns0:v>
      </ns0:c>
      <ns0:c r="V71" s="96">
        <ns0:v>3.53613</ns0:v>
      </ns0:c>
      <ns0:c r="W71" s="96">
        <ns0:v>3.25101</ns0:v>
      </ns0:c>
      <ns0:c r="X71" s="96">
        <ns0:v>3.3566</ns0:v>
      </ns0:c>
      <ns0:c r="Y71" s="96">
        <ns0:v>3.01253</ns0:v>
      </ns0:c>
      <ns0:c r="Z71" s="96">
        <ns0:v>2.49268</ns0:v>
      </ns0:c>
      <ns0:c r="AA71" s="96">
        <ns0:v>1.99291</ns0:v>
      </ns0:c>
      <ns0:c r="AB71" s="96">
        <ns0:v>1.669</ns0:v>
      </ns0:c>
      <ns0:c r="AC71"/>
    </ns0:row>
    <ns0:row r="72" ht="16" customHeight="1" spans="1:29">
      <ns0:c r="A72" s="13">
        <ns0:v>71</ns0:v>
      </ns0:c>
      <ns0:c r="B72" s="92">
        <ns0:f>C72</ns0:f>
        <ns0:v>46001</ns0:v>
      </ns0:c>
      <ns0:c r="C72" s="93">
        <ns0:v>46001</ns0:v>
      </ns0:c>
      <ns0:c r="D72" s="94">
        <ns0:f>SUM($E72:$AB72)</ns0:f>
        <ns0:v>66.80874</ns0:v>
      </ns0:c>
      <ns0:c r="E72" s="96">
        <ns0:v>1.64458</ns0:v>
      </ns0:c>
      <ns0:c r="F72" s="96">
        <ns0:v>1.62727</ns0:v>
      </ns0:c>
      <ns0:c r="G72" s="96">
        <ns0:v>1.61588</ns0:v>
      </ns0:c>
      <ns0:c r="H72" s="96">
        <ns0:v>1.55478</ns0:v>
      </ns0:c>
      <ns0:c r="I72" s="96">
        <ns0:v>1.63398</ns0:v>
      </ns0:c>
      <ns0:c r="J72" s="96">
        <ns0:v>1.68528</ns0:v>
      </ns0:c>
      <ns0:c r="K72" s="96">
        <ns0:v>1.61398</ns0:v>
      </ns0:c>
      <ns0:c r="L72" s="96">
        <ns0:v>2.0254</ns0:v>
      </ns0:c>
      <ns0:c r="M72" s="96">
        <ns0:v>3.92775</ns0:v>
      </ns0:c>
      <ns0:c r="N72" s="96">
        <ns0:v>4.28924</ns0:v>
      </ns0:c>
      <ns0:c r="O72" s="96">
        <ns0:v>3.60665</ns0:v>
      </ns0:c>
      <ns0:c r="P72" s="96">
        <ns0:v>3.61902</ns0:v>
      </ns0:c>
      <ns0:c r="Q72" s="96">
        <ns0:v>2.95385</ns0:v>
      </ns0:c>
      <ns0:c r="R72" s="96">
        <ns0:v>3.50611</ns0:v>
      </ns0:c>
      <ns0:c r="S72" s="96">
        <ns0:v>4.06636</ns0:v>
      </ns0:c>
      <ns0:c r="T72" s="96">
        <ns0:v>3.94571</ns0:v>
      </ns0:c>
      <ns0:c r="U72" s="96">
        <ns0:v>3.98242</ns0:v>
      </ns0:c>
      <ns0:c r="V72" s="96">
        <ns0:v>3.7209</ns0:v>
      </ns0:c>
      <ns0:c r="W72" s="96">
        <ns0:v>3.28849</ns0:v>
      </ns0:c>
      <ns0:c r="X72" s="96">
        <ns0:v>3.48118</ns0:v>
      </ns0:c>
      <ns0:c r="Y72" s="96">
        <ns0:v>2.97588</ns0:v>
      </ns0:c>
      <ns0:c r="Z72" s="96">
        <ns0:v>2.49378</ns0:v>
      </ns0:c>
      <ns0:c r="AA72" s="96">
        <ns0:v>1.97048</ns0:v>
      </ns0:c>
      <ns0:c r="AB72" s="96">
        <ns0:v>1.57977</ns0:v>
      </ns0:c>
      <ns0:c r="AC72"/>
    </ns0:row>
    <ns0:row r="73" ht="16" customHeight="1" spans="1:29">
      <ns0:c r="A73" s="13">
        <ns0:v>72</ns0:v>
      </ns0:c>
      <ns0:c r="B73" s="92">
        <ns0:f>C73</ns0:f>
        <ns0:v>46002</ns0:v>
      </ns0:c>
      <ns0:c r="C73" s="93">
        <ns0:v>46002</ns0:v>
      </ns0:c>
      <ns0:c r="D73" s="94">
        <ns0:f>SUM($E73:$AB73)</ns0:f>
        <ns0:v>67.68709</ns0:v>
      </ns0:c>
      <ns0:c r="E73" s="96">
        <ns0:v>1.59688</ns0:v>
      </ns0:c>
      <ns0:c r="F73" s="96">
        <ns0:v>1.70238</ns0:v>
      </ns0:c>
      <ns0:c r="G73" s="96">
        <ns0:v>1.60448</ns0:v>
      </ns0:c>
      <ns0:c r="H73" s="96">
        <ns0:v>1.68118</ns0:v>
      </ns0:c>
      <ns0:c r="I73" s="96">
        <ns0:v>1.60117</ns0:v>
      </ns0:c>
      <ns0:c r="J73" s="96">
        <ns0:v>1.61098</ns0:v>
      </ns0:c>
      <ns0:c r="K73" s="96">
        <ns0:v>1.56298</ns0:v>
      </ns0:c>
      <ns0:c r="L73" s="96">
        <ns0:v>1.8924</ns0:v>
      </ns0:c>
      <ns0:c r="M73" s="96">
        <ns0:v>3.98729</ns0:v>
      </ns0:c>
      <ns0:c r="N73" s="96">
        <ns0:v>4.47961</ns0:v>
      </ns0:c>
      <ns0:c r="O73" s="96">
        <ns0:v>3.80085</ns0:v>
      </ns0:c>
      <ns0:c r="P73" s="96">
        <ns0:v>3.50781</ns0:v>
      </ns0:c>
      <ns0:c r="Q73" s="96">
        <ns0:v>2.7735</ns0:v>
      </ns0:c>
      <ns0:c r="R73" s="96">
        <ns0:v>3.35876</ns0:v>
      </ns0:c>
      <ns0:c r="S73" s="96">
        <ns0:v>4.12932</ns0:v>
      </ns0:c>
      <ns0:c r="T73" s="96">
        <ns0:v>3.98978</ns0:v>
      </ns0:c>
      <ns0:c r="U73" s="96">
        <ns0:v>4.26091</ns0:v>
      </ns0:c>
      <ns0:c r="V73" s="96">
        <ns0:v>3.90676</ns0:v>
      </ns0:c>
      <ns0:c r="W73" s="96">
        <ns0:v>3.39236</ns0:v>
      </ns0:c>
      <ns0:c r="X73" s="96">
        <ns0:v>3.61018</ns0:v>
      </ns0:c>
      <ns0:c r="Y73" s="96">
        <ns0:v>3.13828</ns0:v>
      </ns0:c>
      <ns0:c r="Z73" s="96">
        <ns0:v>2.54868</ns0:v>
      </ns0:c>
      <ns0:c r="AA73" s="96">
        <ns0:v>1.92167</ns0:v>
      </ns0:c>
      <ns0:c r="AB73" s="96">
        <ns0:v>1.62888</ns0:v>
      </ns0:c>
      <ns0:c r="AC73"/>
    </ns0:row>
    <ns0:row r="74" ht="16" customHeight="1" spans="1:29">
      <ns0:c r="A74" s="13">
        <ns0:v>73</ns0:v>
      </ns0:c>
      <ns0:c r="B74" s="92">
        <ns0:f>C74</ns0:f>
        <ns0:v>46003</ns0:v>
      </ns0:c>
      <ns0:c r="C74" s="93">
        <ns0:v>46003</ns0:v>
      </ns0:c>
      <ns0:c r="D74" s="94">
        <ns0:f>SUM($E74:$AB74)</ns0:f>
        <ns0:v>64.67484</ns0:v>
      </ns0:c>
      <ns0:c r="E74" s="96">
        <ns0:v>1.73038</ns0:v>
      </ns0:c>
      <ns0:c r="F74" s="96">
        <ns0:v>1.71368</ns0:v>
      </ns0:c>
      <ns0:c r="G74" s="96">
        <ns0:v>1.72667</ns0:v>
      </ns0:c>
      <ns0:c r="H74" s="96">
        <ns0:v>1.65428</ns0:v>
      </ns0:c>
      <ns0:c r="I74" s="96">
        <ns0:v>1.67448</ns0:v>
      </ns0:c>
      <ns0:c r="J74" s="96">
        <ns0:v>1.67768</ns0:v>
      </ns0:c>
      <ns0:c r="K74" s="96">
        <ns0:v>1.63738</ns0:v>
      </ns0:c>
      <ns0:c r="L74" s="96">
        <ns0:v>2.0256</ns0:v>
      </ns0:c>
      <ns0:c r="M74" s="96">
        <ns0:v>3.86001</ns0:v>
      </ns0:c>
      <ns0:c r="N74" s="96">
        <ns0:v>4.04835</ns0:v>
      </ns0:c>
      <ns0:c r="O74" s="96">
        <ns0:v>3.48557</ns0:v>
      </ns0:c>
      <ns0:c r="P74" s="96">
        <ns0:v>3.21803</ns0:v>
      </ns0:c>
      <ns0:c r="Q74" s="96">
        <ns0:v>2.72502</ns0:v>
      </ns0:c>
      <ns0:c r="R74" s="96">
        <ns0:v>3.18762</ns0:v>
      </ns0:c>
      <ns0:c r="S74" s="96">
        <ns0:v>3.69835</ns0:v>
      </ns0:c>
      <ns0:c r="T74" s="96">
        <ns0:v>3.6778</ns0:v>
      </ns0:c>
      <ns0:c r="U74" s="96">
        <ns0:v>3.77108</ns0:v>
      </ns0:c>
      <ns0:c r="V74" s="96">
        <ns0:v>3.65049</ns0:v>
      </ns0:c>
      <ns0:c r="W74" s="96">
        <ns0:v>3.38008</ns0:v>
      </ns0:c>
      <ns0:c r="X74" s="96">
        <ns0:v>3.35268</ns0:v>
      </ns0:c>
      <ns0:c r="Y74" s="96">
        <ns0:v>2.92468</ns0:v>
      </ns0:c>
      <ns0:c r="Z74" s="96">
        <ns0:v>2.34298</ns0:v>
      </ns0:c>
      <ns0:c r="AA74" s="96">
        <ns0:v>1.80187</ns0:v>
      </ns0:c>
      <ns0:c r="AB74" s="96">
        <ns0:v>1.71008</ns0:v>
      </ns0:c>
      <ns0:c r="AC74"/>
    </ns0:row>
    <ns0:row r="75" ht="16" customHeight="1" spans="1:29">
      <ns0:c r="A75" s="13">
        <ns0:v>74</ns0:v>
      </ns0:c>
      <ns0:c r="B75" s="92">
        <ns0:f>C75</ns0:f>
        <ns0:v>46004</ns0:v>
      </ns0:c>
      <ns0:c r="C75" s="93">
        <ns0:v>46004</ns0:v>
      </ns0:c>
      <ns0:c r="D75" s="94">
        <ns0:f>SUM($E75:$AB75)</ns0:f>
        <ns0:v>66.16765</ns0:v>
      </ns0:c>
      <ns0:c r="E75" s="96">
        <ns0:v>1.61458</ns0:v>
      </ns0:c>
      <ns0:c r="F75" s="96">
        <ns0:v>1.70738</ns0:v>
      </ns0:c>
      <ns0:c r="G75" s="96">
        <ns0:v>1.67638</ns0:v>
      </ns0:c>
      <ns0:c r="H75" s="96">
        <ns0:v>1.69799</ns0:v>
      </ns0:c>
      <ns0:c r="I75" s="96">
        <ns0:v>1.71158</ns0:v>
      </ns0:c>
      <ns0:c r="J75" s="96">
        <ns0:v>1.70078</ns0:v>
      </ns0:c>
      <ns0:c r="K75" s="96">
        <ns0:v>1.66217</ns0:v>
      </ns0:c>
      <ns0:c r="L75" s="96">
        <ns0:v>1.9679</ns0:v>
      </ns0:c>
      <ns0:c r="M75" s="96">
        <ns0:v>3.86166</ns0:v>
      </ns0:c>
      <ns0:c r="N75" s="96">
        <ns0:v>4.34658</ns0:v>
      </ns0:c>
      <ns0:c r="O75" s="96">
        <ns0:v>3.58827</ns0:v>
      </ns0:c>
      <ns0:c r="P75" s="96">
        <ns0:v>3.53361</ns0:v>
      </ns0:c>
      <ns0:c r="Q75" s="96">
        <ns0:v>2.9955</ns0:v>
      </ns0:c>
      <ns0:c r="R75" s="96">
        <ns0:v>3.7345</ns0:v>
      </ns0:c>
      <ns0:c r="S75" s="96">
        <ns0:v>4.14641</ns0:v>
      </ns0:c>
      <ns0:c r="T75" s="96">
        <ns0:v>4.0946</ns0:v>
      </ns0:c>
      <ns0:c r="U75" s="96">
        <ns0:v>4.0036</ns0:v>
      </ns0:c>
      <ns0:c r="V75" s="96">
        <ns0:v>3.5882</ns0:v>
      </ns0:c>
      <ns0:c r="W75" s="96">
        <ns0:v>2.88418</ns0:v>
      </ns0:c>
      <ns0:c r="X75" s="96">
        <ns0:v>2.90928</ns0:v>
      </ns0:c>
      <ns0:c r="Y75" s="96">
        <ns0:v>2.61417</ns0:v>
      </ns0:c>
      <ns0:c r="Z75" s="96">
        <ns0:v>2.30368</ns0:v>
      </ns0:c>
      <ns0:c r="AA75" s="96">
        <ns0:v>2.00537</ns0:v>
      </ns0:c>
      <ns0:c r="AB75" s="96">
        <ns0:v>1.81928</ns0:v>
      </ns0:c>
      <ns0:c r="AC75"/>
    </ns0:row>
    <ns0:row r="76" ht="16" customHeight="1" spans="1:29">
      <ns0:c r="A76" s="13">
        <ns0:v>75</ns0:v>
      </ns0:c>
      <ns0:c r="B76" s="92">
        <ns0:f>C76</ns0:f>
        <ns0:v>46005</ns0:v>
      </ns0:c>
      <ns0:c r="C76" s="93">
        <ns0:v>46005</ns0:v>
      </ns0:c>
      <ns0:c r="D76" s="94">
        <ns0:f>SUM($E76:$AB76)</ns0:f>
        <ns0:v>42.40028</ns0:v>
      </ns0:c>
      <ns0:c r="E76" s="96">
        <ns0:v>1.56177</ns0:v>
      </ns0:c>
      <ns0:c r="F76" s="96">
        <ns0:v>1.63678</ns0:v>
      </ns0:c>
      <ns0:c r="G76" s="96">
        <ns0:v>1.59858</ns0:v>
      </ns0:c>
      <ns0:c r="H76" s="96">
        <ns0:v>1.53098</ns0:v>
      </ns0:c>
      <ns0:c r="I76" s="96">
        <ns0:v>1.52968</ns0:v>
      </ns0:c>
      <ns0:c r="J76" s="96">
        <ns0:v>1.54128</ns0:v>
      </ns0:c>
      <ns0:c r="K76" s="96">
        <ns0:v>1.45987</ns0:v>
      </ns0:c>
      <ns0:c r="L76" s="96">
        <ns0:v>1.5348</ns0:v>
      </ns0:c>
      <ns0:c r="M76" s="96">
        <ns0:v>2.3664</ns0:v>
      </ns0:c>
      <ns0:c r="N76" s="96">
        <ns0:v>2.64021</ns0:v>
      </ns0:c>
      <ns0:c r="O76" s="96">
        <ns0:v>2.1929</ns0:v>
      </ns0:c>
      <ns0:c r="P76" s="96">
        <ns0:v>2.07281</ns0:v>
      </ns0:c>
      <ns0:c r="Q76" s="96">
        <ns0:v>2.06791</ns0:v>
      </ns0:c>
      <ns0:c r="R76" s="96">
        <ns0:v>1.8405</ns0:v>
      </ns0:c>
      <ns0:c r="S76" s="96">
        <ns0:v>2.24841</ns0:v>
      </ns0:c>
      <ns0:c r="T76" s="96">
        <ns0:v>2.12171</ns0:v>
      </ns0:c>
      <ns0:c r="U76" s="96">
        <ns0:v>2.059</ns0:v>
      </ns0:c>
      <ns0:c r="V76" s="96">
        <ns0:v>2.2695</ns0:v>
      </ns0:c>
      <ns0:c r="W76" s="96">
        <ns0:v>1.56689</ns0:v>
      </ns0:c>
      <ns0:c r="X76" s="96">
        <ns0:v>1.58388</ns0:v>
      </ns0:c>
      <ns0:c r="Y76" s="96">
        <ns0:v>1.35278</ns0:v>
      </ns0:c>
      <ns0:c r="Z76" s="96">
        <ns0:v>1.29428</ns0:v>
      </ns0:c>
      <ns0:c r="AA76" s="96">
        <ns0:v>1.19968</ns0:v>
      </ns0:c>
      <ns0:c r="AB76" s="96">
        <ns0:v>1.12968</ns0:v>
      </ns0:c>
      <ns0:c r="AC76"/>
    </ns0:row>
    <ns0:row r="77" ht="16" customHeight="1" spans="1:29">
      <ns0:c r="A77" s="13">
        <ns0:v>76</ns0:v>
      </ns0:c>
      <ns0:c r="B77" s="92">
        <ns0:f>C77</ns0:f>
        <ns0:v>46006</ns0:v>
      </ns0:c>
      <ns0:c r="C77" s="93">
        <ns0:v>46006</ns0:v>
      </ns0:c>
      <ns0:c r="D77" s="94">
        <ns0:f>SUM($E77:$AB77)</ns0:f>
        <ns0:v>59.97664</ns0:v>
      </ns0:c>
      <ns0:c r="E77" s="96">
        <ns0:v>1.13078</ns0:v>
      </ns0:c>
      <ns0:c r="F77" s="96">
        <ns0:v>1.25608</ns0:v>
      </ns0:c>
      <ns0:c r="G77" s="96">
        <ns0:v>1.23808</ns0:v>
      </ns0:c>
      <ns0:c r="H77" s="96">
        <ns0:v>1.19648</ns0:v>
      </ns0:c>
      <ns0:c r="I77" s="96">
        <ns0:v>1.13958</ns0:v>
      </ns0:c>
      <ns0:c r="J77" s="96">
        <ns0:v>1.13418</ns0:v>
      </ns0:c>
      <ns0:c r="K77" s="96">
        <ns0:v>1.11077</ns0:v>
      </ns0:c>
      <ns0:c r="L77" s="96">
        <ns0:v>1.6247</ns0:v>
      </ns0:c>
      <ns0:c r="M77" s="96">
        <ns0:v>3.55875</ns0:v>
      </ns0:c>
      <ns0:c r="N77" s="96">
        <ns0:v>3.8807</ns0:v>
      </ns0:c>
      <ns0:c r="O77" s="96">
        <ns0:v>3.29522</ns0:v>
      </ns0:c>
      <ns0:c r="P77" s="96">
        <ns0:v>3.19773</ns0:v>
      </ns0:c>
      <ns0:c r="Q77" s="96">
        <ns0:v>2.72989</ns0:v>
      </ns0:c>
      <ns0:c r="R77" s="96">
        <ns0:v>3.27116</ns0:v>
      </ns0:c>
      <ns0:c r="S77" s="96">
        <ns0:v>3.89638</ns0:v>
      </ns0:c>
      <ns0:c r="T77" s="96">
        <ns0:v>3.69298</ns0:v>
      </ns0:c>
      <ns0:c r="U77" s="96">
        <ns0:v>3.81225</ns0:v>
      </ns0:c>
      <ns0:c r="V77" s="96">
        <ns0:v>3.55615</ns0:v>
      </ns0:c>
      <ns0:c r="W77" s="96">
        <ns0:v>3.2864</ns0:v>
      </ns0:c>
      <ns0:c r="X77" s="96">
        <ns0:v>3.38596</ns0:v>
      </ns0:c>
      <ns0:c r="Y77" s="96">
        <ns0:v>2.80945</ns0:v>
      </ns0:c>
      <ns0:c r="Z77" s="96">
        <ns0:v>2.31166</ns0:v>
      </ns0:c>
      <ns0:c r="AA77" s="96">
        <ns0:v>1.89585</ns0:v>
      </ns0:c>
      <ns0:c r="AB77" s="96">
        <ns0:v>1.56546</ns0:v>
      </ns0:c>
      <ns0:c r="AC77"/>
    </ns0:row>
    <ns0:row r="78" ht="16" customHeight="1" spans="1:29">
      <ns0:c r="A78" s="13">
        <ns0:v>77</ns0:v>
      </ns0:c>
      <ns0:c r="B78" s="92">
        <ns0:f>C78</ns0:f>
        <ns0:v>46007</ns0:v>
      </ns0:c>
      <ns0:c r="C78" s="93">
        <ns0:v>46007</ns0:v>
      </ns0:c>
      <ns0:c r="D78" s="94">
        <ns0:f>SUM($E78:$AB78)</ns0:f>
        <ns0:v>63.73253</ns0:v>
      </ns0:c>
      <ns0:c r="E78" s="96">
        <ns0:v>1.57925</ns0:v>
      </ns0:c>
      <ns0:c r="F78" s="96">
        <ns0:v>1.53965</ns0:v>
      </ns0:c>
      <ns0:c r="G78" s="96">
        <ns0:v>1.45086</ns0:v>
      </ns0:c>
      <ns0:c r="H78" s="96">
        <ns0:v>1.46085</ns0:v>
      </ns0:c>
      <ns0:c r="I78" s="96">
        <ns0:v>1.42515</ns0:v>
      </ns0:c>
      <ns0:c r="J78" s="96">
        <ns0:v>1.47456</ns0:v>
      </ns0:c>
      <ns0:c r="K78" s="96">
        <ns0:v>1.43345</ns0:v>
      </ns0:c>
      <ns0:c r="L78" s="96">
        <ns0:v>1.95127</ns0:v>
      </ns0:c>
      <ns0:c r="M78" s="96">
        <ns0:v>3.87545</ns0:v>
      </ns0:c>
      <ns0:c r="N78" s="96">
        <ns0:v>4.00907</ns0:v>
      </ns0:c>
      <ns0:c r="O78" s="96">
        <ns0:v>3.38419</ns0:v>
      </ns0:c>
      <ns0:c r="P78" s="96">
        <ns0:v>3.28061</ns0:v>
      </ns0:c>
      <ns0:c r="Q78" s="96">
        <ns0:v>2.73796</ns0:v>
      </ns0:c>
      <ns0:c r="R78" s="96">
        <ns0:v>3.22925</ns0:v>
      </ns0:c>
      <ns0:c r="S78" s="96">
        <ns0:v>3.8041</ns0:v>
      </ns0:c>
      <ns0:c r="T78" s="96">
        <ns0:v>3.73527</ns0:v>
      </ns0:c>
      <ns0:c r="U78" s="96">
        <ns0:v>3.89588</ns0:v>
      </ns0:c>
      <ns0:c r="V78" s="96">
        <ns0:v>3.61789</ns0:v>
      </ns0:c>
      <ns0:c r="W78" s="96">
        <ns0:v>3.25043</ns0:v>
      </ns0:c>
      <ns0:c r="X78" s="96">
        <ns0:v>3.41228</ns0:v>
      </ns0:c>
      <ns0:c r="Y78" s="96">
        <ns0:v>3.00768</ns0:v>
      </ns0:c>
      <ns0:c r="Z78" s="96">
        <ns0:v>2.51578</ns0:v>
      </ns0:c>
      <ns0:c r="AA78" s="96">
        <ns0:v>2.00667</ns0:v>
      </ns0:c>
      <ns0:c r="AB78" s="96">
        <ns0:v>1.65498</ns0:v>
      </ns0:c>
      <ns0:c r="AC78"/>
    </ns0:row>
    <ns0:row r="79" ht="16" customHeight="1" spans="1:29">
      <ns0:c r="A79" s="13">
        <ns0:v>78</ns0:v>
      </ns0:c>
      <ns0:c r="B79" s="92">
        <ns0:f>C79</ns0:f>
        <ns0:v>46008</ns0:v>
      </ns0:c>
      <ns0:c r="C79" s="93">
        <ns0:v>46008</ns0:v>
      </ns0:c>
      <ns0:c r="D79" s="94">
        <ns0:f>SUM($E79:$AB79)</ns0:f>
        <ns0:v>67.10082</ns0:v>
      </ns0:c>
      <ns0:c r="E79" s="96">
        <ns0:v>1.69087</ns0:v>
      </ns0:c>
      <ns0:c r="F79" s="96">
        <ns0:v>1.71088</ns0:v>
      </ns0:c>
      <ns0:c r="G79" s="96">
        <ns0:v>1.73078</ns0:v>
      </ns0:c>
      <ns0:c r="H79" s="96">
        <ns0:v>1.78878</ns0:v>
      </ns0:c>
      <ns0:c r="I79" s="96">
        <ns0:v>1.73527</ns0:v>
      </ns0:c>
      <ns0:c r="J79" s="96">
        <ns0:v>1.63728</ns0:v>
      </ns0:c>
      <ns0:c r="K79" s="96">
        <ns0:v>1.52698</ns0:v>
      </ns0:c>
      <ns0:c r="L79" s="96">
        <ns0:v>1.95309</ns0:v>
      </ns0:c>
      <ns0:c r="M79" s="96">
        <ns0:v>4.01473</ns0:v>
      </ns0:c>
      <ns0:c r="N79" s="96">
        <ns0:v>4.16685</ns0:v>
      </ns0:c>
      <ns0:c r="O79" s="96">
        <ns0:v>3.56064</ns0:v>
      </ns0:c>
      <ns0:c r="P79" s="96">
        <ns0:v>3.43765</ns0:v>
      </ns0:c>
      <ns0:c r="Q79" s="96">
        <ns0:v>2.799</ns0:v>
      </ns0:c>
      <ns0:c r="R79" s="96">
        <ns0:v>3.36431</ns0:v>
      </ns0:c>
      <ns0:c r="S79" s="96">
        <ns0:v>3.87247</ns0:v>
      </ns0:c>
      <ns0:c r="T79" s="96">
        <ns0:v>3.71132</ns0:v>
      </ns0:c>
      <ns0:c r="U79" s="96">
        <ns0:v>3.94598</ns0:v>
      </ns0:c>
      <ns0:c r="V79" s="96">
        <ns0:v>3.71508</ns0:v>
      </ns0:c>
      <ns0:c r="W79" s="96">
        <ns0:v>3.50601</ns0:v>
      </ns0:c>
      <ns0:c r="X79" s="96">
        <ns0:v>3.55491</ns0:v>
      </ns0:c>
      <ns0:c r="Y79" s="96">
        <ns0:v>3.16561</ns0:v>
      </ns0:c>
      <ns0:c r="Z79" s="96">
        <ns0:v>2.58971</ns0:v>
      </ns0:c>
      <ns0:c r="AA79" s="96">
        <ns0:v>2.05921</ns0:v>
      </ns0:c>
      <ns0:c r="AB79" s="96">
        <ns0:v>1.86341</ns0:v>
      </ns0:c>
      <ns0:c r="AC79"/>
    </ns0:row>
    <ns0:row r="80" ht="16" customHeight="1" spans="1:29">
      <ns0:c r="A80" s="13">
        <ns0:v>79</ns0:v>
      </ns0:c>
      <ns0:c r="B80" s="92">
        <ns0:f>C80</ns0:f>
        <ns0:v>46009</ns0:v>
      </ns0:c>
      <ns0:c r="C80" s="93">
        <ns0:v>46009</ns0:v>
      </ns0:c>
      <ns0:c r="D80" s="94">
        <ns0:f>SUM($E80:$AB80)</ns0:f>
        <ns0:v>68.22369</ns0:v>
      </ns0:c>
      <ns0:c r="E80" s="96">
        <ns0:v>1.8796</ns0:v>
      </ns0:c>
      <ns0:c r="F80" s="96">
        <ns0:v>1.90741</ns0:v>
      </ns0:c>
      <ns0:c r="G80" s="96">
        <ns0:v>1.879</ns0:v>
      </ns0:c>
      <ns0:c r="H80" s="96">
        <ns0:v>1.86321</ns0:v>
      </ns0:c>
      <ns0:c r="I80" s="96">
        <ns0:v>1.82321</ns0:v>
      </ns0:c>
      <ns0:c r="J80" s="96">
        <ns0:v>1.81051</ns0:v>
      </ns0:c>
      <ns0:c r="K80" s="96">
        <ns0:v>1.7297</ns0:v>
      </ns0:c>
      <ns0:c r="L80" s="96">
        <ns0:v>2.10073</ns0:v>
      </ns0:c>
      <ns0:c r="M80" s="96">
        <ns0:v>3.94415</ns0:v>
      </ns0:c>
      <ns0:c r="N80" s="96">
        <ns0:v>4.0941</ns0:v>
      </ns0:c>
      <ns0:c r="O80" s="96">
        <ns0:v>3.42341</ns0:v>
      </ns0:c>
      <ns0:c r="P80" s="96">
        <ns0:v>3.29982</ns0:v>
      </ns0:c>
      <ns0:c r="Q80" s="96">
        <ns0:v>2.70684</ns0:v>
      </ns0:c>
      <ns0:c r="R80" s="96">
        <ns0:v>3.34876</ns0:v>
      </ns0:c>
      <ns0:c r="S80" s="96">
        <ns0:v>4.00849</ns0:v>
      </ns0:c>
      <ns0:c r="T80" s="96">
        <ns0:v>3.82135</ns0:v>
      </ns0:c>
      <ns0:c r="U80" s="96">
        <ns0:v>3.99157</ns0:v>
      </ns0:c>
      <ns0:c r="V80" s="96">
        <ns0:v>3.83198</ns0:v>
      </ns0:c>
      <ns0:c r="W80" s="96">
        <ns0:v>3.4581</ns0:v>
      </ns0:c>
      <ns0:c r="X80" s="96">
        <ns0:v>3.75461</ns0:v>
      </ns0:c>
      <ns0:c r="Y80" s="96">
        <ns0:v>3.20171</ns0:v>
      </ns0:c>
      <ns0:c r="Z80" s="96">
        <ns0:v>2.56821</ns0:v>
      </ns0:c>
      <ns0:c r="AA80" s="96">
        <ns0:v>1.91141</ns0:v>
      </ns0:c>
      <ns0:c r="AB80" s="96">
        <ns0:v>1.86581</ns0:v>
      </ns0:c>
      <ns0:c r="AC80"/>
    </ns0:row>
    <ns0:row r="81" ht="16" customHeight="1" spans="1:29">
      <ns0:c r="A81" s="13">
        <ns0:v>80</ns0:v>
      </ns0:c>
      <ns0:c r="B81" s="92">
        <ns0:f>C81</ns0:f>
        <ns0:v>46010</ns0:v>
      </ns0:c>
      <ns0:c r="C81" s="93">
        <ns0:v>46010</ns0:v>
      </ns0:c>
      <ns0:c r="D81" s="94">
        <ns0:f>SUM($E81:$AB81)</ns0:f>
        <ns0:v>71.38091</ns0:v>
      </ns0:c>
      <ns0:c r="E81" s="96">
        <ns0:v>1.88601</ns0:v>
      </ns0:c>
      <ns0:c r="F81" s="96">
        <ns0:v>1.92101</ns0:v>
      </ns0:c>
      <ns0:c r="G81" s="96">
        <ns0:v>1.915</ns0:v>
      </ns0:c>
      <ns0:c r="H81" s="96">
        <ns0:v>1.81691</ns0:v>
      </ns0:c>
      <ns0:c r="I81" s="96">
        <ns0:v>1.77481</ns0:v>
      </ns0:c>
      <ns0:c r="J81" s="96">
        <ns0:v>1.86231</ns0:v>
      </ns0:c>
      <ns0:c r="K81" s="96">
        <ns0:v>1.7454</ns0:v>
      </ns0:c>
      <ns0:c r="L81" s="96">
        <ns0:v>2.14543</ns0:v>
      </ns0:c>
      <ns0:c r="M81" s="96">
        <ns0:v>4.14062</ns0:v>
      </ns0:c>
      <ns0:c r="N81" s="96">
        <ns0:v>4.30786</ns0:v>
      </ns0:c>
      <ns0:c r="O81" s="96">
        <ns0:v>3.83778</ns0:v>
      </ns0:c>
      <ns0:c r="P81" s="96">
        <ns0:v>3.80741</ns0:v>
      </ns0:c>
      <ns0:c r="Q81" s="96">
        <ns0:v>2.95158</ns0:v>
      </ns0:c>
      <ns0:c r="R81" s="96">
        <ns0:v>3.54948</ns0:v>
      </ns0:c>
      <ns0:c r="S81" s="96">
        <ns0:v>4.23995</ns0:v>
      </ns0:c>
      <ns0:c r="T81" s="96">
        <ns0:v>3.94989</ns0:v>
      </ns0:c>
      <ns0:c r="U81" s="96">
        <ns0:v>4.07376</ns0:v>
      </ns0:c>
      <ns0:c r="V81" s="96">
        <ns0:v>3.92139</ns0:v>
      </ns0:c>
      <ns0:c r="W81" s="96">
        <ns0:v>3.51817</ns0:v>
      </ns0:c>
      <ns0:c r="X81" s="96">
        <ns0:v>3.82021</ns0:v>
      </ns0:c>
      <ns0:c r="Y81" s="96">
        <ns0:v>3.40381</ns0:v>
      </ns0:c>
      <ns0:c r="Z81" s="96">
        <ns0:v>2.80791</ns0:v>
      </ns0:c>
      <ns0:c r="AA81" s="96">
        <ns0:v>2.2022</ns0:v>
      </ns0:c>
      <ns0:c r="AB81" s="96">
        <ns0:v>1.78201</ns0:v>
      </ns0:c>
      <ns0:c r="AC81"/>
    </ns0:row>
    <ns0:row r="82" ht="16" customHeight="1" spans="1:29">
      <ns0:c r="A82" s="13">
        <ns0:v>81</ns0:v>
      </ns0:c>
      <ns0:c r="B82" s="92">
        <ns0:f>C82</ns0:f>
        <ns0:v>46011</ns0:v>
      </ns0:c>
      <ns0:c r="C82" s="93">
        <ns0:v>46011</ns0:v>
      </ns0:c>
      <ns0:c r="D82" s="94">
        <ns0:f>SUM($E82:$AB82)</ns0:f>
        <ns0:v>66.27694</ns0:v>
      </ns0:c>
      <ns0:c r="E82" s="96">
        <ns0:v>1.8671</ns0:v>
      </ns0:c>
      <ns0:c r="F82" s="96">
        <ns0:v>1.87881</ns0:v>
      </ns0:c>
      <ns0:c r="G82" s="96">
        <ns0:v>1.86381</ns0:v>
      </ns0:c>
      <ns0:c r="H82" s="96">
        <ns0:v>1.85511</ns0:v>
      </ns0:c>
      <ns0:c r="I82" s="96">
        <ns0:v>1.8132</ns0:v>
      </ns0:c>
      <ns0:c r="J82" s="96">
        <ns0:v>1.82661</ns0:v>
      </ns0:c>
      <ns0:c r="K82" s="96">
        <ns0:v>1.7026</ns0:v>
      </ns0:c>
      <ns0:c r="L82" s="96">
        <ns0:v>1.99203</ns0:v>
      </ns0:c>
      <ns0:c r="M82" s="96">
        <ns0:v>4.11813</ns0:v>
      </ns0:c>
      <ns0:c r="N82" s="96">
        <ns0:v>4.22354</ns0:v>
      </ns0:c>
      <ns0:c r="O82" s="96">
        <ns0:v>3.63033</ns0:v>
      </ns0:c>
      <ns0:c r="P82" s="96">
        <ns0:v>3.40534</ns0:v>
      </ns0:c>
      <ns0:c r="Q82" s="96">
        <ns0:v>2.74564</ns0:v>
      </ns0:c>
      <ns0:c r="R82" s="96">
        <ns0:v>3.29223</ns0:v>
      </ns0:c>
      <ns0:c r="S82" s="96">
        <ns0:v>3.68093</ns0:v>
      </ns0:c>
      <ns0:c r="T82" s="96">
        <ns0:v>3.61454</ns0:v>
      </ns0:c>
      <ns0:c r="U82" s="96">
        <ns0:v>3.79713</ns0:v>
      </ns0:c>
      <ns0:c r="V82" s="96">
        <ns0:v>3.64342</ns0:v>
      </ns0:c>
      <ns0:c r="W82" s="96">
        <ns0:v>3.09521</ns0:v>
      </ns0:c>
      <ns0:c r="X82" s="96">
        <ns0:v>3.23801</ns0:v>
      </ns0:c>
      <ns0:c r="Y82" s="96">
        <ns0:v>2.9454</ns0:v>
      </ns0:c>
      <ns0:c r="Z82" s="96">
        <ns0:v>2.57361</ns0:v>
      </ns0:c>
      <ns0:c r="AA82" s="96">
        <ns0:v>1.8122</ns0:v>
      </ns0:c>
      <ns0:c r="AB82" s="96">
        <ns0:v>1.66201</ns0:v>
      </ns0:c>
      <ns0:c r="AC82"/>
    </ns0:row>
    <ns0:row r="83" ht="16" customHeight="1" spans="1:29">
      <ns0:c r="A83" s="13">
        <ns0:v>82</ns0:v>
      </ns0:c>
      <ns0:c r="B83" s="92">
        <ns0:f>C83</ns0:f>
        <ns0:v>46012</ns0:v>
      </ns0:c>
      <ns0:c r="C83" s="93">
        <ns0:v>46012</ns0:v>
      </ns0:c>
      <ns0:c r="D83" s="94">
        <ns0:f>SUM($E83:$AB83)</ns0:f>
        <ns0:v>44.85507</ns0:v>
      </ns0:c>
      <ns0:c r="E83" s="96">
        <ns0:v>1.6937</ns0:v>
      </ns0:c>
      <ns0:c r="F83" s="96">
        <ns0:v>1.77841</ns0:v>
      </ns0:c>
      <ns0:c r="G83" s="96">
        <ns0:v>1.6873</ns0:v>
      </ns0:c>
      <ns0:c r="H83" s="96">
        <ns0:v>1.62611</ns0:v>
      </ns0:c>
      <ns0:c r="I83" s="96">
        <ns0:v>1.614</ns0:v>
      </ns0:c>
      <ns0:c r="J83" s="96">
        <ns0:v>1.59291</ns0:v>
      </ns0:c>
      <ns0:c r="K83" s="96">
        <ns0:v>1.487</ns0:v>
      </ns0:c>
      <ns0:c r="L83" s="96">
        <ns0:v>1.32092</ns0:v>
      </ns0:c>
      <ns0:c r="M83" s="96">
        <ns0:v>2.48814</ns0:v>
      </ns0:c>
      <ns0:c r="N83" s="96">
        <ns0:v>2.65973</ns0:v>
      </ns0:c>
      <ns0:c r="O83" s="96">
        <ns0:v>2.26524</ns0:v>
      </ns0:c>
      <ns0:c r="P83" s="96">
        <ns0:v>2.22883</ns0:v>
      </ns0:c>
      <ns0:c r="Q83" s="96">
        <ns0:v>1.90464</ns0:v>
      </ns0:c>
      <ns0:c r="R83" s="96">
        <ns0:v>2.10453</ns0:v>
      </ns0:c>
      <ns0:c r="S83" s="96">
        <ns0:v>2.49504</ns0:v>
      </ns0:c>
      <ns0:c r="T83" s="96">
        <ns0:v>2.42253</ns0:v>
      </ns0:c>
      <ns0:c r="U83" s="96">
        <ns0:v>2.54344</ns0:v>
      </ns0:c>
      <ns0:c r="V83" s="96">
        <ns0:v>2.26883</ns0:v>
      </ns0:c>
      <ns0:c r="W83" s="96">
        <ns0:v>1.58892</ns0:v>
      </ns0:c>
      <ns0:c r="X83" s="96">
        <ns0:v>1.49661</ns0:v>
      </ns0:c>
      <ns0:c r="Y83" s="96">
        <ns0:v>1.45141</ns0:v>
      </ns0:c>
      <ns0:c r="Z83" s="96">
        <ns0:v>1.44291</ns0:v>
      </ns0:c>
      <ns0:c r="AA83" s="96">
        <ns0:v>1.34231</ns0:v>
      </ns0:c>
      <ns0:c r="AB83" s="96">
        <ns0:v>1.35161</ns0:v>
      </ns0:c>
      <ns0:c r="AC83"/>
    </ns0:row>
    <ns0:row r="84" ht="16" customHeight="1" spans="1:29">
      <ns0:c r="A84" s="13">
        <ns0:v>83</ns0:v>
      </ns0:c>
      <ns0:c r="B84" s="92">
        <ns0:f>C84</ns0:f>
        <ns0:v>46013</ns0:v>
      </ns0:c>
      <ns0:c r="C84" s="93">
        <ns0:v>46013</ns0:v>
      </ns0:c>
      <ns0:c r="D84" s="94">
        <ns0:f>SUM($E84:$AB84)</ns0:f>
        <ns0:v>64.38906</ns0:v>
      </ns0:c>
      <ns0:c r="E84" s="96">
        <ns0:v>1.3751</ns0:v>
      </ns0:c>
      <ns0:c r="F84" s="96">
        <ns0:v>1.40991</ns0:v>
      </ns0:c>
      <ns0:c r="G84" s="96">
        <ns0:v>1.41371</ns0:v>
      </ns0:c>
      <ns0:c r="H84" s="96">
        <ns0:v>1.4274</ns0:v>
      </ns0:c>
      <ns0:c r="I84" s="96">
        <ns0:v>1.38901</ns0:v>
      </ns0:c>
      <ns0:c r="J84" s="96">
        <ns0:v>1.38611</ns0:v>
      </ns0:c>
      <ns0:c r="K84" s="96">
        <ns0:v>1.30481</ns0:v>
      </ns0:c>
      <ns0:c r="L84" s="96">
        <ns0:v>1.77413</ns0:v>
      </ns0:c>
      <ns0:c r="M84" s="96">
        <ns0:v>3.88892</ns0:v>
      </ns0:c>
      <ns0:c r="N84" s="96">
        <ns0:v>4.14497</ns0:v>
      </ns0:c>
      <ns0:c r="O84" s="96">
        <ns0:v>3.53648</ns0:v>
      </ns0:c>
      <ns0:c r="P84" s="96">
        <ns0:v>3.38944</ns0:v>
      </ns0:c>
      <ns0:c r="Q84" s="96">
        <ns0:v>2.86163</ns0:v>
      </ns0:c>
      <ns0:c r="R84" s="96">
        <ns0:v>3.33239</ns0:v>
      </ns0:c>
      <ns0:c r="S84" s="96">
        <ns0:v>3.92647</ns0:v>
      </ns0:c>
      <ns0:c r="T84" s="96">
        <ns0:v>3.82303</ns0:v>
      </ns0:c>
      <ns0:c r="U84" s="96">
        <ns0:v>3.98967</ns0:v>
      </ns0:c>
      <ns0:c r="V84" s="96">
        <ns0:v>3.64605</ns0:v>
      </ns0:c>
      <ns0:c r="W84" s="96">
        <ns0:v>3.25298</ns0:v>
      </ns0:c>
      <ns0:c r="X84" s="96">
        <ns0:v>3.51951</ns0:v>
      </ns0:c>
      <ns0:c r="Y84" s="96">
        <ns0:v>3.27361</ns0:v>
      </ns0:c>
      <ns0:c r="Z84" s="96">
        <ns0:v>2.70111</ns0:v>
      </ns0:c>
      <ns0:c r="AA84" s="96">
        <ns0:v>1.96841</ns0:v>
      </ns0:c>
      <ns0:c r="AB84" s="96">
        <ns0:v>1.65421</ns0:v>
      </ns0:c>
      <ns0:c r="AC84"/>
    </ns0:row>
    <ns0:row r="85" ht="16" customHeight="1" spans="1:29">
      <ns0:c r="A85" s="13">
        <ns0:v>84</ns0:v>
      </ns0:c>
      <ns0:c r="B85" s="92">
        <ns0:f>C85</ns0:f>
        <ns0:v>46014</ns0:v>
      </ns0:c>
      <ns0:c r="C85" s="93">
        <ns0:v>46014</ns0:v>
      </ns0:c>
      <ns0:c r="D85" s="94">
        <ns0:f>SUM($E85:$AB85)</ns0:f>
        <ns0:v>68.44854</ns0:v>
      </ns0:c>
      <ns0:c r="E85" s="96">
        <ns0:v>1.6903</ns0:v>
      </ns0:c>
      <ns0:c r="F85" s="96">
        <ns0:v>1.69411</ns0:v>
      </ns0:c>
      <ns0:c r="G85" s="96">
        <ns0:v>1.67781</ns0:v>
      </ns0:c>
      <ns0:c r="H85" s="96">
        <ns0:v>1.68741</ns0:v>
      </ns0:c>
      <ns0:c r="I85" s="96">
        <ns0:v>1.7304</ns0:v>
      </ns0:c>
      <ns0:c r="J85" s="96">
        <ns0:v>1.73181</ns0:v>
      </ns0:c>
      <ns0:c r="K85" s="96">
        <ns0:v>1.62371</ns0:v>
      </ns0:c>
      <ns0:c r="L85" s="96">
        <ns0:v>1.96682</ns0:v>
      </ns0:c>
      <ns0:c r="M85" s="96">
        <ns0:v>4.07294</ns0:v>
      </ns0:c>
      <ns0:c r="N85" s="96">
        <ns0:v>4.24907</ns0:v>
      </ns0:c>
      <ns0:c r="O85" s="96">
        <ns0:v>3.65544</ns0:v>
      </ns0:c>
      <ns0:c r="P85" s="96">
        <ns0:v>3.66278</ns0:v>
      </ns0:c>
      <ns0:c r="Q85" s="96">
        <ns0:v>2.86817</ns0:v>
      </ns0:c>
      <ns0:c r="R85" s="96">
        <ns0:v>3.56252</ns0:v>
      </ns0:c>
      <ns0:c r="S85" s="96">
        <ns0:v>3.99381</ns0:v>
      </ns0:c>
      <ns0:c r="T85" s="96">
        <ns0:v>3.78436</ns0:v>
      </ns0:c>
      <ns0:c r="U85" s="96">
        <ns0:v>4.05429</ns0:v>
      </ns0:c>
      <ns0:c r="V85" s="96">
        <ns0:v>3.89545</ns0:v>
      </ns0:c>
      <ns0:c r="W85" s="96">
        <ns0:v>3.54186</ns0:v>
      </ns0:c>
      <ns0:c r="X85" s="96">
        <ns0:v>3.67838</ns0:v>
      </ns0:c>
      <ns0:c r="Y85" s="96">
        <ns0:v>3.27357</ns0:v>
      </ns0:c>
      <ns0:c r="Z85" s="96">
        <ns0:v>2.68528</ns0:v>
      </ns0:c>
      <ns0:c r="AA85" s="96">
        <ns0:v>1.98187</ns0:v>
      </ns0:c>
      <ns0:c r="AB85" s="96">
        <ns0:v>1.68638</ns0:v>
      </ns0:c>
      <ns0:c r="AC85"/>
    </ns0:row>
    <ns0:row r="86" ht="16" customHeight="1" spans="1:29">
      <ns0:c r="A86" s="13">
        <ns0:v>85</ns0:v>
      </ns0:c>
      <ns0:c r="B86" s="92">
        <ns0:f>C86</ns0:f>
        <ns0:v>46015</ns0:v>
      </ns0:c>
      <ns0:c r="C86" s="93">
        <ns0:v>46015</ns0:v>
      </ns0:c>
      <ns0:c r="D86" s="94">
        <ns0:f>SUM($E86:$AB86)</ns0:f>
        <ns0:v>68.05735</ns0:v>
      </ns0:c>
      <ns0:c r="E86" s="96">
        <ns0:v>1.68727</ns0:v>
      </ns0:c>
      <ns0:c r="F86" s="96">
        <ns0:v>1.71178</ns0:v>
      </ns0:c>
      <ns0:c r="G86" s="96">
        <ns0:v>1.62057</ns0:v>
      </ns0:c>
      <ns0:c r="H86" s="96">
        <ns0:v>1.60758</ns0:v>
      </ns0:c>
      <ns0:c r="I86" s="96">
        <ns0:v>1.67607</ns0:v>
      </ns0:c>
      <ns0:c r="J86" s="96">
        <ns0:v>1.66848</ns0:v>
      </ns0:c>
      <ns0:c r="K86" s="96">
        <ns0:v>1.61397</ns0:v>
      </ns0:c>
      <ns0:c r="L86" s="96">
        <ns0:v>1.9478</ns0:v>
      </ns0:c>
      <ns0:c r="M86" s="96">
        <ns0:v>4.05182</ns0:v>
      </ns0:c>
      <ns0:c r="N86" s="96">
        <ns0:v>4.43578</ns0:v>
      </ns0:c>
      <ns0:c r="O86" s="96">
        <ns0:v>3.93367</ns0:v>
      </ns0:c>
      <ns0:c r="P86" s="96">
        <ns0:v>3.68606</ns0:v>
      </ns0:c>
      <ns0:c r="Q86" s="96">
        <ns0:v>2.93946</ns0:v>
      </ns0:c>
      <ns0:c r="R86" s="96">
        <ns0:v>3.44794</ns0:v>
      </ns0:c>
      <ns0:c r="S86" s="96">
        <ns0:v>4.0618</ns0:v>
      </ns0:c>
      <ns0:c r="T86" s="96">
        <ns0:v>3.79319</ns0:v>
      </ns0:c>
      <ns0:c r="U86" s="96">
        <ns0:v>4.01706</ns0:v>
      </ns0:c>
      <ns0:c r="V86" s="96">
        <ns0:v>3.67491</ns0:v>
      </ns0:c>
      <ns0:c r="W86" s="96">
        <ns0:v>3.38375</ns0:v>
      </ns0:c>
      <ns0:c r="X86" s="96">
        <ns0:v>3.67008</ns0:v>
      </ns0:c>
      <ns0:c r="Y86" s="96">
        <ns0:v>3.18688</ns0:v>
      </ns0:c>
      <ns0:c r="Z86" s="96">
        <ns0:v>2.57228</ns0:v>
      </ns0:c>
      <ns0:c r="AA86" s="96">
        <ns0:v>1.93557</ns0:v>
      </ns0:c>
      <ns0:c r="AB86" s="96">
        <ns0:v>1.73358</ns0:v>
      </ns0:c>
      <ns0:c r="AC86"/>
    </ns0:row>
    <ns0:row r="87" ht="16" customHeight="1" spans="1:29">
      <ns0:c r="A87" s="13">
        <ns0:v>86</ns0:v>
      </ns0:c>
      <ns0:c r="B87" s="92">
        <ns0:f>C87</ns0:f>
        <ns0:v>46016</ns0:v>
      </ns0:c>
      <ns0:c r="C87" s="93">
        <ns0:v>46016</ns0:v>
      </ns0:c>
      <ns0:c r="D87" s="94">
        <ns0:f>SUM($E87:$AB87)</ns0:f>
        <ns0:v>69.68762</ns0:v>
      </ns0:c>
      <ns0:c r="E87" s="96">
        <ns0:v>1.76991</ns0:v>
      </ns0:c>
      <ns0:c r="F87" s="96">
        <ns0:v>1.68657</ns0:v>
      </ns0:c>
      <ns0:c r="G87" s="96">
        <ns0:v>1.77052</ns0:v>
      </ns0:c>
      <ns0:c r="H87" s="96">
        <ns0:v>1.76894</ns0:v>
      </ns0:c>
      <ns0:c r="I87" s="96">
        <ns0:v>1.78648</ns0:v>
      </ns0:c>
      <ns0:c r="J87" s="96">
        <ns0:v>1.6999</ns0:v>
      </ns0:c>
      <ns0:c r="K87" s="96">
        <ns0:v>1.70692</ns0:v>
      </ns0:c>
      <ns0:c r="L87" s="96">
        <ns0:v>2.0723</ns0:v>
      </ns0:c>
      <ns0:c r="M87" s="96">
        <ns0:v>4.16033</ns0:v>
      </ns0:c>
      <ns0:c r="N87" s="96">
        <ns0:v>4.51567</ns0:v>
      </ns0:c>
      <ns0:c r="O87" s="96">
        <ns0:v>3.93087</ns0:v>
      </ns0:c>
      <ns0:c r="P87" s="96">
        <ns0:v>3.76978</ns0:v>
      </ns0:c>
      <ns0:c r="Q87" s="96">
        <ns0:v>3.09034</ns0:v>
      </ns0:c>
      <ns0:c r="R87" s="96">
        <ns0:v>3.72886</ns0:v>
      </ns0:c>
      <ns0:c r="S87" s="96">
        <ns0:v>4.11966</ns0:v>
      </ns0:c>
      <ns0:c r="T87" s="96">
        <ns0:v>3.89353</ns0:v>
      </ns0:c>
      <ns0:c r="U87" s="96">
        <ns0:v>4.00048</ns0:v>
      </ns0:c>
      <ns0:c r="V87" s="96">
        <ns0:v>3.80409</ns0:v>
      </ns0:c>
      <ns0:c r="W87" s="96">
        <ns0:v>3.42614</ns0:v>
      </ns0:c>
      <ns0:c r="X87" s="96">
        <ns0:v>3.72151</ns0:v>
      </ns0:c>
      <ns0:c r="Y87" s="96">
        <ns0:v>3.0582</ns0:v>
      </ns0:c>
      <ns0:c r="Z87" s="96">
        <ns0:v>2.58398</ns0:v>
      </ns0:c>
      <ns0:c r="AA87" s="96">
        <ns0:v>1.94616</ns0:v>
      </ns0:c>
      <ns0:c r="AB87" s="96">
        <ns0:v>1.67648</ns0:v>
      </ns0:c>
      <ns0:c r="AC87"/>
    </ns0:row>
    <ns0:row r="88" ht="16" customHeight="1" spans="1:29">
      <ns0:c r="A88" s="13">
        <ns0:v>87</ns0:v>
      </ns0:c>
      <ns0:c r="B88" s="92">
        <ns0:f>C88</ns0:f>
        <ns0:v>46017</ns0:v>
      </ns0:c>
      <ns0:c r="C88" s="93">
        <ns0:v>46017</ns0:v>
      </ns0:c>
      <ns0:c r="D88" s="94">
        <ns0:f>SUM($E88:$AB88)</ns0:f>
        <ns0:v>68.86369</ns0:v>
      </ns0:c>
      <ns0:c r="E88" s="96">
        <ns0:v>1.67675</ns0:v>
      </ns0:c>
      <ns0:c r="F88" s="96">
        <ns0:v>1.60214</ns0:v>
      </ns0:c>
      <ns0:c r="G88" s="96">
        <ns0:v>1.67688</ns0:v>
      </ns0:c>
      <ns0:c r="H88" s="96">
        <ns0:v>1.63464</ns0:v>
      </ns0:c>
      <ns0:c r="I88" s="96">
        <ns0:v>1.64772</ns0:v>
      </ns0:c>
      <ns0:c r="J88" s="96">
        <ns0:v>1.6802</ns0:v>
      </ns0:c>
      <ns0:c r="K88" s="96">
        <ns0:v>1.68109</ns0:v>
      </ns0:c>
      <ns0:c r="L88" s="96">
        <ns0:v>2.09801</ns0:v>
      </ns0:c>
      <ns0:c r="M88" s="96">
        <ns0:v>4.17866</ns0:v>
      </ns0:c>
      <ns0:c r="N88" s="96">
        <ns0:v>4.56425</ns0:v>
      </ns0:c>
      <ns0:c r="O88" s="96">
        <ns0:v>3.94894</ns0:v>
      </ns0:c>
      <ns0:c r="P88" s="96">
        <ns0:v>3.72662</ns0:v>
      </ns0:c>
      <ns0:c r="Q88" s="96">
        <ns0:v>3.11177</ns0:v>
      </ns0:c>
      <ns0:c r="R88" s="96">
        <ns0:v>3.70202</ns0:v>
      </ns0:c>
      <ns0:c r="S88" s="96">
        <ns0:v>4.23964</ns0:v>
      </ns0:c>
      <ns0:c r="T88" s="96">
        <ns0:v>4.08234</ns0:v>
      </ns0:c>
      <ns0:c r="U88" s="96">
        <ns0:v>4.0601</ns0:v>
      </ns0:c>
      <ns0:c r="V88" s="96">
        <ns0:v>3.67702</ns0:v>
      </ns0:c>
      <ns0:c r="W88" s="96">
        <ns0:v>3.32949</ns0:v>
      </ns0:c>
      <ns0:c r="X88" s="96">
        <ns0:v>3.6594</ns0:v>
      </ns0:c>
      <ns0:c r="Y88" s="96">
        <ns0:v>3.15181</ns0:v>
      </ns0:c>
      <ns0:c r="Z88" s="96">
        <ns0:v>2.37456</ns0:v>
      </ns0:c>
      <ns0:c r="AA88" s="96">
        <ns0:v>1.77136</ns0:v>
      </ns0:c>
      <ns0:c r="AB88" s="96">
        <ns0:v>1.58828</ns0:v>
      </ns0:c>
      <ns0:c r="AC88"/>
    </ns0:row>
    <ns0:row r="89" ht="16" customHeight="1" spans="1:29">
      <ns0:c r="A89" s="13">
        <ns0:v>88</ns0:v>
      </ns0:c>
      <ns0:c r="B89" s="92">
        <ns0:f>C89</ns0:f>
        <ns0:v>46018</ns0:v>
      </ns0:c>
      <ns0:c r="C89" s="93">
        <ns0:v>46018</ns0:v>
      </ns0:c>
      <ns0:c r="D89" s="94">
        <ns0:f>SUM($E89:$AB89)</ns0:f>
        <ns0:v>59.54849</ns0:v>
      </ns0:c>
      <ns0:c r="E89" s="96">
        <ns0:v>1.61377</ns0:v>
      </ns0:c>
      <ns0:c r="F89" s="96">
        <ns0:v>1.5335</ns0:v>
      </ns0:c>
      <ns0:c r="G89" s="96">
        <ns0:v>1.54337</ns0:v>
      </ns0:c>
      <ns0:c r="H89" s="96">
        <ns0:v>1.48473</ns0:v>
      </ns0:c>
      <ns0:c r="I89" s="96">
        <ns0:v>1.43012</ns0:v>
      </ns0:c>
      <ns0:c r="J89" s="96">
        <ns0:v>1.41209</ns0:v>
      </ns0:c>
      <ns0:c r="K89" s="96">
        <ns0:v>1.35391</ns0:v>
      </ns0:c>
      <ns0:c r="L89" s="96">
        <ns0:v>1.80297</ns0:v>
      </ns0:c>
      <ns0:c r="M89" s="96">
        <ns0:v>3.79188</ns0:v>
      </ns0:c>
      <ns0:c r="N89" s="96">
        <ns0:v>4.03303</ns0:v>
      </ns0:c>
      <ns0:c r="O89" s="96">
        <ns0:v>3.36009</ns0:v>
      </ns0:c>
      <ns0:c r="P89" s="96">
        <ns0:v>3.07424</ns0:v>
      </ns0:c>
      <ns0:c r="Q89" s="96">
        <ns0:v>2.50105</ns0:v>
      </ns0:c>
      <ns0:c r="R89" s="96">
        <ns0:v>3.29832</ns0:v>
      </ns0:c>
      <ns0:c r="S89" s="96">
        <ns0:v>3.56739</ns0:v>
      </ns0:c>
      <ns0:c r="T89" s="96">
        <ns0:v>3.3595</ns0:v>
      </ns0:c>
      <ns0:c r="U89" s="96">
        <ns0:v>3.39588</ns0:v>
      </ns0:c>
      <ns0:c r="V89" s="96">
        <ns0:v>3.25378</ns0:v>
      </ns0:c>
      <ns0:c r="W89" s="96">
        <ns0:v>2.80029</ns0:v>
      </ns0:c>
      <ns0:c r="X89" s="96">
        <ns0:v>2.95528</ns0:v>
      </ns0:c>
      <ns0:c r="Y89" s="96">
        <ns0:v>2.61763</ns0:v>
      </ns0:c>
      <ns0:c r="Z89" s="96">
        <ns0:v>2.11009</ns0:v>
      </ns0:c>
      <ns0:c r="AA89" s="96">
        <ns0:v>1.72259</ns0:v>
      </ns0:c>
      <ns0:c r="AB89" s="96">
        <ns0:v>1.53299</ns0:v>
      </ns0:c>
      <ns0:c r="AC89"/>
    </ns0:row>
    <ns0:row r="90" ht="16" customHeight="1" spans="1:29">
      <ns0:c r="A90" s="13">
        <ns0:v>89</ns0:v>
      </ns0:c>
      <ns0:c r="B90" s="92">
        <ns0:f>C90</ns0:f>
        <ns0:v>46019</ns0:v>
      </ns0:c>
      <ns0:c r="C90" s="93">
        <ns0:v>46019</ns0:v>
      </ns0:c>
      <ns0:c r="D90" s="94">
        <ns0:f>SUM($E90:$AB90)</ns0:f>
        <ns0:v>44.1173</ns0:v>
      </ns0:c>
      <ns0:c r="E90" s="96">
        <ns0:v>1.50263</ns0:v>
      </ns0:c>
      <ns0:c r="F90" s="96">
        <ns0:v>1.50765</ns0:v>
      </ns0:c>
      <ns0:c r="G90" s="96">
        <ns0:v>1.45586</ns0:v>
      </ns0:c>
      <ns0:c r="H90" s="96">
        <ns0:v>1.42138</ns0:v>
      </ns0:c>
      <ns0:c r="I90" s="96">
        <ns0:v>1.40568</ns0:v>
      </ns0:c>
      <ns0:c r="J90" s="96">
        <ns0:v>1.39418</ns0:v>
      </ns0:c>
      <ns0:c r="K90" s="96">
        <ns0:v>1.26384</ns0:v>
      </ns0:c>
      <ns0:c r="L90" s="96">
        <ns0:v>1.38686</ns0:v>
      </ns0:c>
      <ns0:c r="M90" s="96">
        <ns0:v>2.4609</ns0:v>
      </ns0:c>
      <ns0:c r="N90" s="96">
        <ns0:v>2.75751</ns0:v>
      </ns0:c>
      <ns0:c r="O90" s="96">
        <ns0:v>2.60597</ns0:v>
      </ns0:c>
      <ns0:c r="P90" s="96">
        <ns0:v>2.47021</ns0:v>
      </ns0:c>
      <ns0:c r="Q90" s="96">
        <ns0:v>1.84362</ns0:v>
      </ns0:c>
      <ns0:c r="R90" s="96">
        <ns0:v>1.89824</ns0:v>
      </ns0:c>
      <ns0:c r="S90" s="96">
        <ns0:v>2.30272</ns0:v>
      </ns0:c>
      <ns0:c r="T90" s="96">
        <ns0:v>2.49493</ns0:v>
      </ns0:c>
      <ns0:c r="U90" s="96">
        <ns0:v>2.41882</ns0:v>
      </ns0:c>
      <ns0:c r="V90" s="96">
        <ns0:v>2.34982</ns0:v>
      </ns0:c>
      <ns0:c r="W90" s="96">
        <ns0:v>1.78099</ns0:v>
      </ns0:c>
      <ns0:c r="X90" s="96">
        <ns0:v>1.75958</ns0:v>
      </ns0:c>
      <ns0:c r="Y90" s="96">
        <ns0:v>1.50252</ns0:v>
      </ns0:c>
      <ns0:c r="Z90" s="96">
        <ns0:v>1.40812</ns0:v>
      </ns0:c>
      <ns0:c r="AA90" s="96">
        <ns0:v>1.34352</ns0:v>
      </ns0:c>
      <ns0:c r="AB90" s="96">
        <ns0:v>1.38175</ns0:v>
      </ns0:c>
      <ns0:c r="AC90"/>
    </ns0:row>
    <ns0:row r="91" ht="16" customHeight="1" spans="1:29">
      <ns0:c r="A91" s="13">
        <ns0:v>90</ns0:v>
      </ns0:c>
      <ns0:c r="B91" s="92">
        <ns0:f>C91</ns0:f>
        <ns0:v>46020</ns0:v>
      </ns0:c>
      <ns0:c r="C91" s="93">
        <ns0:v>46020</ns0:v>
      </ns0:c>
      <ns0:c r="D91" s="94">
        <ns0:f>SUM($E91:$AB91)</ns0:f>
        <ns0:v>58.39141</ns0:v>
      </ns0:c>
      <ns0:c r="E91" s="96">
        <ns0:v>1.34822</ns0:v>
      </ns0:c>
      <ns0:c r="F91" s="96">
        <ns0:v>1.39168</ns0:v>
      </ns0:c>
      <ns0:c r="G91" s="96">
        <ns0:v>1.30739</ns0:v>
      </ns0:c>
      <ns0:c r="H91" s="96">
        <ns0:v>1.24903</ns0:v>
      </ns0:c>
      <ns0:c r="I91" s="96">
        <ns0:v>1.24254</ns0:v>
      </ns0:c>
      <ns0:c r="J91" s="96">
        <ns0:v>1.19792</ns0:v>
      </ns0:c>
      <ns0:c r="K91" s="96">
        <ns0:v>1.20796</ns0:v>
      </ns0:c>
      <ns0:c r="L91" s="96">
        <ns0:v>1.58029</ns0:v>
      </ns0:c>
      <ns0:c r="M91" s="96">
        <ns0:v>3.34979</ns0:v>
      </ns0:c>
      <ns0:c r="N91" s="96">
        <ns0:v>3.72778</ns0:v>
      </ns0:c>
      <ns0:c r="O91" s="96">
        <ns0:v>3.27151</ns0:v>
      </ns0:c>
      <ns0:c r="P91" s="96">
        <ns0:v>3.07976</ns0:v>
      </ns0:c>
      <ns0:c r="Q91" s="96">
        <ns0:v>2.51184</ns0:v>
      </ns0:c>
      <ns0:c r="R91" s="96">
        <ns0:v>3.0352</ns0:v>
      </ns0:c>
      <ns0:c r="S91" s="96">
        <ns0:v>3.47312</ns0:v>
      </ns0:c>
      <ns0:c r="T91" s="96">
        <ns0:v>3.4895</ns0:v>
      </ns0:c>
      <ns0:c r="U91" s="96">
        <ns0:v>3.45782</ns0:v>
      </ns0:c>
      <ns0:c r="V91" s="96">
        <ns0:v>3.46925</ns0:v>
      </ns0:c>
      <ns0:c r="W91" s="96">
        <ns0:v>3.03849</ns0:v>
      </ns0:c>
      <ns0:c r="X91" s="96">
        <ns0:v>3.27266</ns0:v>
      </ns0:c>
      <ns0:c r="Y91" s="96">
        <ns0:v>2.92425</ns0:v>
      </ns0:c>
      <ns0:c r="Z91" s="96">
        <ns0:v>2.38558</ns0:v>
      </ns0:c>
      <ns0:c r="AA91" s="96">
        <ns0:v>1.80411</ns0:v>
      </ns0:c>
      <ns0:c r="AB91" s="96">
        <ns0:v>1.57572</ns0:v>
      </ns0:c>
      <ns0:c r="AC91"/>
    </ns0:row>
    <ns0:row r="92" ht="16" customHeight="1" spans="1:29">
      <ns0:c r="A92" s="13">
        <ns0:v>91</ns0:v>
      </ns0:c>
      <ns0:c r="B92" s="92">
        <ns0:f>C92</ns0:f>
        <ns0:v>46021</ns0:v>
      </ns0:c>
      <ns0:c r="C92" s="93">
        <ns0:v>46021</ns0:v>
      </ns0:c>
      <ns0:c r="D92" s="94">
        <ns0:f>SUM($E92:$AB92)</ns0:f>
        <ns0:v>61.01857</ns0:v>
      </ns0:c>
      <ns0:c r="E92" s="96">
        <ns0:v>1.60731</ns0:v>
      </ns0:c>
      <ns0:c r="F92" s="96">
        <ns0:v>1.55204</ns0:v>
      </ns0:c>
      <ns0:c r="G92" s="96">
        <ns0:v>1.63258</ns0:v>
      </ns0:c>
      <ns0:c r="H92" s="96">
        <ns0:v>1.51007</ns0:v>
      </ns0:c>
      <ns0:c r="I92" s="96">
        <ns0:v>1.55144</ns0:v>
      </ns0:c>
      <ns0:c r="J92" s="96">
        <ns0:v>1.55699</ns0:v>
      </ns0:c>
      <ns0:c r="K92" s="96">
        <ns0:v>1.53942</ns0:v>
      </ns0:c>
      <ns0:c r="L92" s="96">
        <ns0:v>1.8213</ns0:v>
      </ns0:c>
      <ns0:c r="M92" s="96">
        <ns0:v>3.67307</ns0:v>
      </ns0:c>
      <ns0:c r="N92" s="96">
        <ns0:v>3.82382</ns0:v>
      </ns0:c>
      <ns0:c r="O92" s="96">
        <ns0:v>3.36671</ns0:v>
      </ns0:c>
      <ns0:c r="P92" s="96">
        <ns0:v>3.01845</ns0:v>
      </ns0:c>
      <ns0:c r="Q92" s="96">
        <ns0:v>2.53326</ns0:v>
      </ns0:c>
      <ns0:c r="R92" s="96">
        <ns0:v>3.02753</ns0:v>
      </ns0:c>
      <ns0:c r="S92" s="96">
        <ns0:v>3.54088</ns0:v>
      </ns0:c>
      <ns0:c r="T92" s="96">
        <ns0:v>3.43969</ns0:v>
      </ns0:c>
      <ns0:c r="U92" s="96">
        <ns0:v>3.40846</ns0:v>
      </ns0:c>
      <ns0:c r="V92" s="96">
        <ns0:v>3.3267</ns0:v>
      </ns0:c>
      <ns0:c r="W92" s="96">
        <ns0:v>3.04478</ns0:v>
      </ns0:c>
      <ns0:c r="X92" s="96">
        <ns0:v>3.06358</ns0:v>
      </ns0:c>
      <ns0:c r="Y92" s="96">
        <ns0:v>2.76556</ns0:v>
      </ns0:c>
      <ns0:c r="Z92" s="96">
        <ns0:v>2.55505</ns0:v>
      </ns0:c>
      <ns0:c r="AA92" s="96">
        <ns0:v>2.00861</ns0:v>
      </ns0:c>
      <ns0:c r="AB92" s="96">
        <ns0:v>1.65127</ns0:v>
      </ns0:c>
      <ns0:c r="AC92"/>
    </ns0:row>
    <ns0:row r="93" ht="16" customHeight="1" spans="1:29">
      <ns0:c r="A93" s="13">
        <ns0:v>92</ns0:v>
      </ns0:c>
      <ns0:c r="B93" s="92">
        <ns0:f>C93</ns0:f>
        <ns0:v>46022</ns0:v>
      </ns0:c>
      <ns0:c r="C93" s="93">
        <ns0:v>46022</ns0:v>
      </ns0:c>
      <ns0:c r="D93" s="94">
        <ns0:f>SUM($E93:$AB93)</ns0:f>
        <ns0:v>65.25218</ns0:v>
      </ns0:c>
      <ns0:c r="E93" s="96">
        <ns0:v>1.73211</ns0:v>
      </ns0:c>
      <ns0:c r="F93" s="96">
        <ns0:v>1.72999</ns0:v>
      </ns0:c>
      <ns0:c r="G93" s="96">
        <ns0:v>1.73233</ns0:v>
      </ns0:c>
      <ns0:c r="H93" s="96">
        <ns0:v>1.72454</ns0:v>
      </ns0:c>
      <ns0:c r="I93" s="96">
        <ns0:v>1.65226</ns0:v>
      </ns0:c>
      <ns0:c r="J93" s="96">
        <ns0:v>1.63004</ns0:v>
      </ns0:c>
      <ns0:c r="K93" s="96">
        <ns0:v>1.62376</ns0:v>
      </ns0:c>
      <ns0:c r="L93" s="96">
        <ns0:v>2.06759</ns0:v>
      </ns0:c>
      <ns0:c r="M93" s="96">
        <ns0:v>4.55433</ns0:v>
      </ns0:c>
      <ns0:c r="N93" s="96">
        <ns0:v>4.74025</ns0:v>
      </ns0:c>
      <ns0:c r="O93" s="96">
        <ns0:v>4.31263</ns0:v>
      </ns0:c>
      <ns0:c r="P93" s="96">
        <ns0:v>3.85229</ns0:v>
      </ns0:c>
      <ns0:c r="Q93" s="96">
        <ns0:v>2.82351</ns0:v>
      </ns0:c>
      <ns0:c r="R93" s="96">
        <ns0:v>3.57844</ns0:v>
      </ns0:c>
      <ns0:c r="S93" s="96">
        <ns0:v>4.28676</ns0:v>
      </ns0:c>
      <ns0:c r="T93" s="96">
        <ns0:v>4.10301</ns0:v>
      </ns0:c>
      <ns0:c r="U93" s="96">
        <ns0:v>4.02299</ns0:v>
      </ns0:c>
      <ns0:c r="V93" s="96">
        <ns0:v>3.49258</ns0:v>
      </ns0:c>
      <ns0:c r="W93" s="96">
        <ns0:v>2.80616</ns0:v>
      </ns0:c>
      <ns0:c r="X93" s="96">
        <ns0:v>2.6494</ns0:v>
      </ns0:c>
      <ns0:c r="Y93" s="96">
        <ns0:v>2.12677</ns0:v>
      </ns0:c>
      <ns0:c r="Z93" s="96">
        <ns0:v>1.62763</ns0:v>
      </ns0:c>
      <ns0:c r="AA93" s="96">
        <ns0:v>1.2989</ns0:v>
      </ns0:c>
      <ns0:c r="AB93" s="96">
        <ns0:v>1.08391</ns0:v>
      </ns0:c>
      <ns0:c r="AC93"/>
    </ns0:row>
    <ns0:row r="94" ht="16" customHeight="1" spans="1:29">
      <ns0:c r="A94"/>
      <ns0:c r="B94" s="87"/>
      <ns0:c r="C94" s="103" t="s">
        <ns0:v>28</ns0:v>
      </ns0:c>
      <ns0:c r="D94" s="96">
        <ns0:f>SUBTOTAL(101,D2:D93)</ns0:f>
        <ns0:v>59.4480811956522</ns0:v>
      </ns0:c>
      <ns0:c r="E94" s="96">
        <ns0:f>SUBTOTAL(101,E2:E93)</ns0:f>
        <ns0:v>1.49360293478261</ns0:v>
      </ns0:c>
      <ns0:c r="F94" s="96">
        <ns0:f>SUBTOTAL(101,F2:F93)</ns0:f>
        <ns0:v>1.50077489130435</ns0:v>
      </ns0:c>
      <ns0:c r="G94" s="96">
        <ns0:f>SUBTOTAL(101,G2:G93)</ns0:f>
        <ns0:v>1.4742497826087</ns0:v>
      </ns0:c>
      <ns0:c r="H94" s="96">
        <ns0:f>SUBTOTAL(101,H2:H93)</ns0:f>
        <ns0:v>1.44539358695652</ns0:v>
      </ns0:c>
      <ns0:c r="I94" s="96">
        <ns0:f>SUBTOTAL(101,I2:I93)</ns0:f>
        <ns0:v>1.42435423913044</ns0:v>
      </ns0:c>
      <ns0:c r="J94" s="96">
        <ns0:f>SUBTOTAL(101,J2:J93)</ns0:f>
        <ns0:v>1.41692206521739</ns0:v>
      </ns0:c>
      <ns0:c r="K94" s="96">
        <ns0:f>SUBTOTAL(101,K2:K93)</ns0:f>
        <ns0:v>1.36850336956522</ns0:v>
      </ns0:c>
      <ns0:c r="L94" s="96">
        <ns0:f>SUBTOTAL(101,L2:L93)</ns0:f>
        <ns0:v>1.71187532608696</ns0:v>
      </ns0:c>
      <ns0:c r="M94" s="96">
        <ns0:f>SUBTOTAL(101,M2:M93)</ns0:f>
        <ns0:v>3.47947239130435</ns0:v>
      </ns0:c>
      <ns0:c r="N94" s="96">
        <ns0:f>SUBTOTAL(101,N2:N93)</ns0:f>
        <ns0:v>3.77761217391305</ns0:v>
      </ns0:c>
      <ns0:c r="O94" s="96">
        <ns0:f>SUBTOTAL(101,O2:O93)</ns0:f>
        <ns0:v>3.38672554347826</ns0:v>
      </ns0:c>
      <ns0:c r="P94" s="96">
        <ns0:f>SUBTOTAL(101,P2:P93)</ns0:f>
        <ns0:v>3.24989630434783</ns0:v>
      </ns0:c>
      <ns0:c r="Q94" s="96">
        <ns0:f>SUBTOTAL(101,Q2:Q93)</ns0:f>
        <ns0:v>2.57988293478261</ns0:v>
      </ns0:c>
      <ns0:c r="R94" s="96">
        <ns0:f>SUBTOTAL(101,R2:R93)</ns0:f>
        <ns0:v>3.02403543478261</ns0:v>
      </ns0:c>
      <ns0:c r="S94" s="96">
        <ns0:f>SUBTOTAL(101,S2:S93)</ns0:f>
        <ns0:v>3.66911434782609</ns0:v>
      </ns0:c>
      <ns0:c r="T94" s="96">
        <ns0:f>SUBTOTAL(101,T2:T93)</ns0:f>
        <ns0:v>3.53709934782609</ns0:v>
      </ns0:c>
      <ns0:c r="U94" s="96">
        <ns0:f>SUBTOTAL(101,U2:U93)</ns0:f>
        <ns0:v>3.64375630434783</ns0:v>
      </ns0:c>
      <ns0:c r="V94" s="96">
        <ns0:f>SUBTOTAL(101,V2:V93)</ns0:f>
        <ns0:v>3.41101934782609</ns0:v>
      </ns0:c>
      <ns0:c r="W94" s="96">
        <ns0:f>SUBTOTAL(101,W2:W93)</ns0:f>
        <ns0:v>2.90168913043478</ns0:v>
      </ns0:c>
      <ns0:c r="X94" s="96">
        <ns0:f>SUBTOTAL(101,X2:X93)</ns0:f>
        <ns0:v>2.958515</ns0:v>
      </ns0:c>
      <ns0:c r="Y94" s="96">
        <ns0:f>SUBTOTAL(101,Y2:Y93)</ns0:f>
        <ns0:v>2.59498076086956</ns0:v>
      </ns0:c>
      <ns0:c r="Z94" s="96">
        <ns0:f>SUBTOTAL(101,Z2:Z93)</ns0:f>
        <ns0:v>2.14214304347826</ns0:v>
      </ns0:c>
      <ns0:c r="AA94" s="96">
        <ns0:f>SUBTOTAL(101,AA2:AA93)</ns0:f>
        <ns0:v>1.73594347826087</ns0:v>
      </ns0:c>
      <ns0:c r="AB94" s="96">
        <ns0:f>SUBTOTAL(101,AB2:AB93)</ns0:f>
        <ns0:v>1.52051945652174</ns0:v>
      </ns0:c>
      <ns0:c r="AC94"/>
    </ns0:row>
    <ns0:row r="95" ht="16" customHeight="1" spans="1:29">
      <ns0:c r="A95"/>
      <ns0:c r="B95" s="87"/>
      <ns0:c r="C95" s="103"/>
      <ns0:c r="D95" s="103">
        <ns0:f>SUM(E95:AB95)</ns0:f>
        <ns0:v>1</ns0:v>
      </ns0:c>
      <ns0:c r="E95" s="111">
        <ns0:f>E94/$D$94</ns0:f>
        <ns0:v>0.0251244935873867</ns0:v>
      </ns0:c>
      <ns0:c r="F95" s="111">
        <ns0:f>F94/$D$94</ns0:f>
        <ns0:v>0.0252451359424887</ns0:v>
      </ns0:c>
      <ns0:c r="G95" s="111">
        <ns0:f>G94/$D$94</ns0:f>
        <ns0:v>0.0247989464581157</ns0:v>
      </ns0:c>
      <ns0:c r="H95" s="111">
        <ns0:f>H94/$D$94</ns0:f>
        <ns0:v>0.0243135448257703</ns0:v>
      </ns0:c>
      <ns0:c r="I95" s="111">
        <ns0:f>I94/$D$94</ns0:f>
        <ns0:v>0.0239596335236234</ns0:v>
      </ns0:c>
      <ns0:c r="J95" s="111">
        <ns0:f>J94/$D$94</ns0:f>
        <ns0:v>0.0238346139474897</ns0:v>
      </ns0:c>
      <ns0:c r="K95" s="111">
        <ns0:f>K94/$D$94</ns0:f>
        <ns0:v>0.0230201436621861</ns0:v>
      </ns0:c>
      <ns0:c r="L95" s="111">
        <ns0:f>L94/$D$94</ns0:f>
        <ns0:v>0.028796140962951</ns0:v>
      </ns0:c>
      <ns0:c r="M95" s="111">
        <ns0:f>M94/$D$94</ns0:f>
        <ns0:v>0.0585295996325416</ns0:v>
      </ns0:c>
      <ns0:c r="N95" s="111">
        <ns0:f>N94/$D$94</ns0:f>
        <ns0:v>0.0635447284073035</ns0:v>
      </ns0:c>
      <ns0:c r="O95" s="111">
        <ns0:f>O94/$D$94</ns0:f>
        <ns0:v>0.056969467733232</ns0:v>
      </ns0:c>
      <ns0:c r="P95" s="111">
        <ns0:f>P94/$D$94</ns0:f>
        <ns0:v>0.0546678082620018</ns0:v>
      </ns0:c>
      <ns0:c r="Q95" s="111">
        <ns0:f>Q94/$D$94</ns0:f>
        <ns0:v>0.0433972448377576</ns0:v>
      </ns0:c>
      <ns0:c r="R95" s="111">
        <ns0:f>R94/$D$94</ns0:f>
        <ns0:v>0.0508685120522237</ns0:v>
      </ns0:c>
      <ns0:c r="S95" s="111">
        <ns0:f>S94/$D$94</ns0:f>
        <ns0:v>0.0617196429898301</ns0:v>
      </ns0:c>
      <ns0:c r="T95" s="111">
        <ns0:f>T94/$D$94</ns0:f>
        <ns0:v>0.0594989657645128</ns0:v>
      </ns0:c>
      <ns0:c r="U95" s="111">
        <ns0:f>U94/$D$94</ns0:f>
        <ns0:v>0.0612930851772272</ns0:v>
      </ns0:c>
      <ns0:c r="V95" s="111">
        <ns0:f>V94/$D$94</ns0:f>
        <ns0:v>0.0573781235528853</ns0:v>
      </ns0:c>
      <ns0:c r="W95" s="111">
        <ns0:f>W94/$D$94</ns0:f>
        <ns0:v>0.04881047583159</ns0:v>
      </ns0:c>
      <ns0:c r="X95" s="111">
        <ns0:f>X94/$D$94</ns0:f>
        <ns0:v>0.0497663665587978</ns0:v>
      </ns0:c>
      <ns0:c r="Y95" s="111">
        <ns0:f>Y94/$D$94</ns0:f>
        <ns0:v>0.0436512114214269</ns0:v>
      </ns0:c>
      <ns0:c r="Z95" s="111">
        <ns0:f>Z94/$D$94</ns0:f>
        <ns0:v>0.0360338466842716</ns0:v>
      </ns0:c>
      <ns0:c r="AA95" s="111">
        <ns0:f>AA94/$D$94</ns0:f>
        <ns0:v>0.0292010009969477</ns0:v>
      </ns0:c>
      <ns0:c r="AB95" s="111">
        <ns0:f>AB94/$D$94</ns0:f>
        <ns0:v>0.0255772671874386</ns0:v>
      </ns0:c>
      <ns0:c r="AC95"/>
    </ns0:row>
    <ns0:row r="96" ht="16" customHeight="1" spans="1:29">
      <ns0:c r="A96"/>
      <ns0:c r="B96" s="87"/>
      <ns0:c r="C96" s="103"/>
      <ns0:c r="D96" s="103"/>
      <ns0:c r="E96" s="103"/>
      <ns0:c r="F96"/>
      <ns0:c r="G96"/>
      <ns0:c r="H96"/>
      <ns0:c r="I96"/>
      <ns0:c r="J96"/>
      <ns0:c r="K96"/>
      <ns0:c r="L96"/>
      <ns0:c r="M96"/>
      <ns0:c r="N96"/>
      <ns0:c r="O96"/>
      <ns0:c r="P96"/>
      <ns0:c r="Q96"/>
      <ns0:c r="R96"/>
      <ns0:c r="S96"/>
      <ns0:c r="T96"/>
      <ns0:c r="U96"/>
      <ns0:c r="V96"/>
      <ns0:c r="W96"/>
      <ns0:c r="X96"/>
      <ns0:c r="Y96"/>
      <ns0:c r="Z96"/>
      <ns0:c r="AA96"/>
      <ns0:c r="AB96"/>
      <ns0:c r="AC96"/>
    </ns0:row>
    <ns0:row r="97" ht="16" customHeight="1" spans="1:29">
      <ns0:c r="A97" s="104"/>
      <ns0:c r="B97" s="104"/>
      <ns0:c r="C97" s="104"/>
      <ns0:c r="D97" s="104"/>
      <ns0:c r="E97" s="104"/>
      <ns0:c r="F97" s="104"/>
      <ns0:c r="G97" s="104"/>
      <ns0:c r="H97" s="104"/>
      <ns0:c r="I97" s="104"/>
      <ns0:c r="J97" s="104"/>
      <ns0:c r="K97" s="104"/>
      <ns0:c r="L97" s="104"/>
      <ns0:c r="M97" s="104"/>
      <ns0:c r="N97" s="104"/>
      <ns0:c r="O97" s="104"/>
      <ns0:c r="P97" s="104"/>
      <ns0:c r="Q97" s="104"/>
      <ns0:c r="R97" s="104"/>
      <ns0:c r="S97" s="104"/>
      <ns0:c r="T97" s="104"/>
      <ns0:c r="U97" s="104"/>
      <ns0:c r="V97" s="104"/>
      <ns0:c r="W97" s="104"/>
      <ns0:c r="X97" s="104"/>
      <ns0:c r="Y97" s="104"/>
      <ns0:c r="Z97" s="104"/>
      <ns0:c r="AA97" s="104"/>
      <ns0:c r="AB97" s="104"/>
      <ns0:c r="AC97"/>
    </ns0:row>
    <ns0:row r="98" ht="16" customHeight="1" spans="1:29">
      <ns0:c r="A98" s="104"/>
      <ns0:c r="B98" s="104"/>
      <ns0:c r="C98" s="104"/>
      <ns0:c r="D98" s="104"/>
      <ns0:c r="E98" s="104"/>
      <ns0:c r="F98" s="104"/>
      <ns0:c r="G98" s="104"/>
      <ns0:c r="H98" s="104"/>
      <ns0:c r="I98" s="104"/>
      <ns0:c r="J98" s="104"/>
      <ns0:c r="K98" s="104"/>
      <ns0:c r="L98" s="104"/>
      <ns0:c r="M98" s="104"/>
      <ns0:c r="N98" s="104"/>
      <ns0:c r="O98" s="104"/>
      <ns0:c r="P98" s="104"/>
      <ns0:c r="Q98" s="104"/>
      <ns0:c r="R98" s="104"/>
      <ns0:c r="S98" s="104"/>
      <ns0:c r="T98" s="104"/>
      <ns0:c r="U98" s="104"/>
      <ns0:c r="V98" s="104"/>
      <ns0:c r="W98" s="104"/>
      <ns0:c r="X98" s="104"/>
      <ns0:c r="Y98" s="104"/>
      <ns0:c r="Z98" s="104"/>
      <ns0:c r="AA98" s="104"/>
      <ns0:c r="AB98" s="104"/>
      <ns0:c r="AC98"/>
    </ns0:row>
    <ns0:row r="99" ht="16" customHeight="1" spans="1:29">
      <ns0:c r="A99" s="104"/>
      <ns0:c r="B99" s="104"/>
      <ns0:c r="C99" s="104"/>
      <ns0:c r="D99" s="104"/>
      <ns0:c r="E99" s="104"/>
      <ns0:c r="F99" s="104"/>
      <ns0:c r="G99" s="104"/>
      <ns0:c r="H99" s="104"/>
      <ns0:c r="I99" s="104"/>
      <ns0:c r="J99" s="104"/>
      <ns0:c r="K99" s="104"/>
      <ns0:c r="L99" s="104"/>
      <ns0:c r="M99" s="104"/>
      <ns0:c r="N99" s="104"/>
      <ns0:c r="O99" s="104"/>
      <ns0:c r="P99" s="104"/>
      <ns0:c r="Q99" s="104"/>
      <ns0:c r="R99" s="104"/>
      <ns0:c r="S99" s="104"/>
      <ns0:c r="T99" s="104"/>
      <ns0:c r="U99" s="104"/>
      <ns0:c r="V99" s="104"/>
      <ns0:c r="W99" s="104"/>
      <ns0:c r="X99" s="104"/>
      <ns0:c r="Y99" s="104"/>
      <ns0:c r="Z99" s="104"/>
      <ns0:c r="AA99" s="104"/>
      <ns0:c r="AB99" s="104"/>
      <ns0:c r="AC99"/>
    </ns0:row>
    <ns0:row r="100" ht="16" customHeight="1" spans="1:29">
      <ns0:c r="A100" s="104"/>
      <ns0:c r="B100" s="104"/>
      <ns0:c r="C100" s="104"/>
      <ns0:c r="D100" s="104"/>
      <ns0:c r="E100" s="104"/>
      <ns0:c r="F100" s="104"/>
      <ns0:c r="G100" s="104"/>
      <ns0:c r="H100" s="104"/>
      <ns0:c r="I100" s="104"/>
      <ns0:c r="J100" s="104"/>
      <ns0:c r="K100" s="104"/>
      <ns0:c r="L100" s="104"/>
      <ns0:c r="M100" s="104"/>
      <ns0:c r="N100" s="104"/>
      <ns0:c r="O100" s="104"/>
      <ns0:c r="P100" s="104"/>
      <ns0:c r="Q100" s="104"/>
      <ns0:c r="R100" s="104"/>
      <ns0:c r="S100" s="104"/>
      <ns0:c r="T100" s="104"/>
      <ns0:c r="U100" s="104"/>
      <ns0:c r="V100" s="104"/>
      <ns0:c r="W100" s="104"/>
      <ns0:c r="X100" s="104"/>
      <ns0:c r="Y100" s="104"/>
      <ns0:c r="Z100" s="104"/>
      <ns0:c r="AA100" s="104"/>
      <ns0:c r="AB100" s="104"/>
      <ns0:c r="AC100"/>
    </ns0:row>
    <ns0:row r="101" ht="16" customHeight="1" spans="1:29">
      <ns0:c r="A101" s="104"/>
      <ns0:c r="B101" s="104"/>
      <ns0:c r="C101" s="104"/>
      <ns0:c r="D101" s="104"/>
      <ns0:c r="E101" s="104"/>
      <ns0:c r="F101" s="104"/>
      <ns0:c r="G101" s="104"/>
      <ns0:c r="H101" s="104"/>
      <ns0:c r="I101" s="104"/>
      <ns0:c r="J101" s="104"/>
      <ns0:c r="K101" s="104"/>
      <ns0:c r="L101" s="104"/>
      <ns0:c r="M101" s="104"/>
      <ns0:c r="N101" s="104"/>
      <ns0:c r="O101" s="104"/>
      <ns0:c r="P101" s="104"/>
      <ns0:c r="Q101" s="104"/>
      <ns0:c r="R101" s="104"/>
      <ns0:c r="S101" s="104"/>
      <ns0:c r="T101" s="104"/>
      <ns0:c r="U101" s="104"/>
      <ns0:c r="V101" s="104"/>
      <ns0:c r="W101" s="104"/>
      <ns0:c r="X101" s="104"/>
      <ns0:c r="Y101" s="104"/>
      <ns0:c r="Z101" s="104"/>
      <ns0:c r="AA101" s="104"/>
      <ns0:c r="AB101" s="104"/>
      <ns0:c r="AC101"/>
    </ns0:row>
    <ns0:row r="102" ht="16" customHeight="1" spans="1:29">
      <ns0:c r="A102" s="104"/>
      <ns0:c r="B102" s="104"/>
      <ns0:c r="C102" s="104"/>
      <ns0:c r="D102" s="104"/>
      <ns0:c r="E102" s="104"/>
      <ns0:c r="F102" s="104"/>
      <ns0:c r="G102" s="104"/>
      <ns0:c r="H102" s="104"/>
      <ns0:c r="I102" s="104"/>
      <ns0:c r="J102" s="104"/>
      <ns0:c r="K102" s="104"/>
      <ns0:c r="L102" s="104"/>
      <ns0:c r="M102" s="104"/>
      <ns0:c r="N102" s="104"/>
      <ns0:c r="O102" s="104"/>
      <ns0:c r="P102" s="104"/>
      <ns0:c r="Q102" s="104"/>
      <ns0:c r="R102" s="104"/>
      <ns0:c r="S102" s="104"/>
      <ns0:c r="T102" s="104"/>
      <ns0:c r="U102" s="104"/>
      <ns0:c r="V102" s="104"/>
      <ns0:c r="W102" s="104"/>
      <ns0:c r="X102" s="104"/>
      <ns0:c r="Y102" s="104"/>
      <ns0:c r="Z102" s="104"/>
      <ns0:c r="AA102" s="104"/>
      <ns0:c r="AB102" s="104"/>
      <ns0:c r="AC102"/>
    </ns0:row>
    <ns0:row r="103" ht="16" customHeight="1" spans="1:29">
      <ns0:c r="A103" s="104"/>
      <ns0:c r="B103" s="104"/>
      <ns0:c r="C103" s="104"/>
      <ns0:c r="D103" s="104"/>
      <ns0:c r="E103" s="104"/>
      <ns0:c r="F103" s="104"/>
      <ns0:c r="G103" s="104"/>
      <ns0:c r="H103" s="104"/>
      <ns0:c r="I103" s="104"/>
      <ns0:c r="J103" s="104"/>
      <ns0:c r="K103" s="104"/>
      <ns0:c r="L103" s="104"/>
      <ns0:c r="M103" s="104"/>
      <ns0:c r="N103" s="104"/>
      <ns0:c r="O103" s="104"/>
      <ns0:c r="P103" s="104"/>
      <ns0:c r="Q103" s="104"/>
      <ns0:c r="R103" s="104"/>
      <ns0:c r="S103" s="104"/>
      <ns0:c r="T103" s="104"/>
      <ns0:c r="U103" s="104"/>
      <ns0:c r="V103" s="104"/>
      <ns0:c r="W103" s="104"/>
      <ns0:c r="X103" s="104"/>
      <ns0:c r="Y103" s="104"/>
      <ns0:c r="Z103" s="104"/>
      <ns0:c r="AA103" s="104"/>
      <ns0:c r="AB103" s="104"/>
      <ns0:c r="AC103"/>
    </ns0:row>
    <ns0:row r="104" ht="16" customHeight="1" spans="1:29">
      <ns0:c r="A104" s="104"/>
      <ns0:c r="B104" s="104"/>
      <ns0:c r="C104" s="104"/>
      <ns0:c r="D104" s="104"/>
      <ns0:c r="E104" s="104"/>
      <ns0:c r="F104" s="104"/>
      <ns0:c r="G104" s="104"/>
      <ns0:c r="H104" s="104"/>
      <ns0:c r="I104" s="104"/>
      <ns0:c r="J104" s="104"/>
      <ns0:c r="K104" s="104"/>
      <ns0:c r="L104" s="104"/>
      <ns0:c r="M104" s="104"/>
      <ns0:c r="N104" s="104"/>
      <ns0:c r="O104" s="104"/>
      <ns0:c r="P104" s="104"/>
      <ns0:c r="Q104" s="104"/>
      <ns0:c r="R104" s="104"/>
      <ns0:c r="S104" s="104"/>
      <ns0:c r="T104" s="104"/>
      <ns0:c r="U104" s="104"/>
      <ns0:c r="V104" s="104"/>
      <ns0:c r="W104" s="104"/>
      <ns0:c r="X104" s="104"/>
      <ns0:c r="Y104" s="104"/>
      <ns0:c r="Z104" s="104"/>
      <ns0:c r="AA104" s="104"/>
      <ns0:c r="AB104" s="104"/>
      <ns0:c r="AC104"/>
    </ns0:row>
    <ns0:row r="105" ht="16" customHeight="1" spans="1:29">
      <ns0:c r="A105" s="104"/>
      <ns0:c r="B105" s="104"/>
      <ns0:c r="C105" s="104"/>
      <ns0:c r="D105" s="104"/>
      <ns0:c r="E105" s="104"/>
      <ns0:c r="F105" s="104"/>
      <ns0:c r="G105" s="104"/>
      <ns0:c r="H105" s="104"/>
      <ns0:c r="I105" s="104"/>
      <ns0:c r="J105" s="104"/>
      <ns0:c r="K105" s="104"/>
      <ns0:c r="L105" s="104"/>
      <ns0:c r="M105" s="104"/>
      <ns0:c r="N105" s="104"/>
      <ns0:c r="O105" s="104"/>
      <ns0:c r="P105" s="104"/>
      <ns0:c r="Q105" s="104"/>
      <ns0:c r="R105" s="104"/>
      <ns0:c r="S105" s="104"/>
      <ns0:c r="T105" s="104"/>
      <ns0:c r="U105" s="104"/>
      <ns0:c r="V105" s="104"/>
      <ns0:c r="W105" s="104"/>
      <ns0:c r="X105" s="104"/>
      <ns0:c r="Y105" s="104"/>
      <ns0:c r="Z105" s="104"/>
      <ns0:c r="AA105" s="104"/>
      <ns0:c r="AB105" s="104"/>
      <ns0:c r="AC105"/>
    </ns0:row>
    <ns0:row r="106" ht="16" customHeight="1" spans="1:29">
      <ns0:c r="A106" s="104"/>
      <ns0:c r="B106" s="104"/>
      <ns0:c r="C106" s="104"/>
      <ns0:c r="D106" s="104"/>
      <ns0:c r="E106" s="104"/>
      <ns0:c r="F106" s="104"/>
      <ns0:c r="G106" s="104"/>
      <ns0:c r="H106" s="104"/>
      <ns0:c r="I106" s="104"/>
      <ns0:c r="J106" s="104"/>
      <ns0:c r="K106" s="104"/>
      <ns0:c r="L106" s="104"/>
      <ns0:c r="M106" s="104"/>
      <ns0:c r="N106" s="104"/>
      <ns0:c r="O106" s="104"/>
      <ns0:c r="P106" s="104"/>
      <ns0:c r="Q106" s="104"/>
      <ns0:c r="R106" s="104"/>
      <ns0:c r="S106" s="104"/>
      <ns0:c r="T106" s="104"/>
      <ns0:c r="U106" s="104"/>
      <ns0:c r="V106" s="104"/>
      <ns0:c r="W106" s="104"/>
      <ns0:c r="X106" s="104"/>
      <ns0:c r="Y106" s="104"/>
      <ns0:c r="Z106" s="104"/>
      <ns0:c r="AA106" s="104"/>
      <ns0:c r="AB106" s="104"/>
      <ns0:c r="AC106"/>
    </ns0:row>
    <ns0:row r="107" ht="16" customHeight="1" spans="1:29">
      <ns0:c r="A107" s="105"/>
      <ns0:c r="B107" s="105"/>
      <ns0:c r="C107" s="105"/>
      <ns0:c r="D107" s="105"/>
      <ns0:c r="E107" s="105"/>
      <ns0:c r="F107" s="105"/>
      <ns0:c r="G107" s="105"/>
      <ns0:c r="H107" s="105"/>
      <ns0:c r="I107" s="105"/>
      <ns0:c r="J107" s="105"/>
      <ns0:c r="K107" s="105"/>
      <ns0:c r="L107" s="105"/>
      <ns0:c r="M107" s="105"/>
      <ns0:c r="N107" s="105"/>
      <ns0:c r="O107" s="105"/>
      <ns0:c r="P107" s="105"/>
      <ns0:c r="Q107" s="105"/>
      <ns0:c r="R107" s="105"/>
      <ns0:c r="S107" s="105"/>
      <ns0:c r="T107" s="105"/>
      <ns0:c r="U107" s="105"/>
      <ns0:c r="V107" s="105"/>
      <ns0:c r="W107" s="105"/>
      <ns0:c r="X107" s="105"/>
      <ns0:c r="Y107" s="105"/>
      <ns0:c r="Z107" s="105"/>
      <ns0:c r="AA107" s="105"/>
      <ns0:c r="AB107" s="105"/>
      <ns0:c r="AC107"/>
    </ns0:row>
    <ns0:row r="108" ht="16" customHeight="1" spans="1:29">
      <ns0:c r="A108" s="106"/>
      <ns0:c r="B108" s="107"/>
      <ns0:c r="C108" s="108"/>
      <ns0:c r="D108" s="109"/>
      <ns0:c r="E108" s="112"/>
      <ns0:c r="F108" s="112"/>
      <ns0:c r="G108" s="112"/>
      <ns0:c r="H108" s="112"/>
      <ns0:c r="I108" s="112"/>
      <ns0:c r="J108" s="112"/>
      <ns0:c r="K108" s="112"/>
      <ns0:c r="L108" s="112"/>
      <ns0:c r="M108" s="112"/>
      <ns0:c r="N108" s="112"/>
      <ns0:c r="O108" s="112"/>
      <ns0:c r="P108" s="112"/>
      <ns0:c r="Q108" s="112"/>
      <ns0:c r="R108" s="112"/>
      <ns0:c r="S108" s="112"/>
      <ns0:c r="T108" s="112"/>
      <ns0:c r="U108" s="112"/>
      <ns0:c r="V108" s="112"/>
      <ns0:c r="W108" s="112"/>
      <ns0:c r="X108" s="112"/>
      <ns0:c r="Y108" s="112"/>
      <ns0:c r="Z108" s="112"/>
      <ns0:c r="AA108" s="112"/>
      <ns0:c r="AB108" s="112"/>
      <ns0:c r="AC108"/>
    </ns0:row>
    <ns0:row r="109" ht="16" customHeight="1" spans="1:29">
      <ns0:c r="A109" s="106"/>
      <ns0:c r="B109" s="107"/>
      <ns0:c r="C109" s="108"/>
      <ns0:c r="D109" s="109"/>
      <ns0:c r="E109" s="106"/>
      <ns0:c r="F109" s="106"/>
      <ns0:c r="G109" s="106"/>
      <ns0:c r="H109" s="106"/>
      <ns0:c r="I109" s="106"/>
      <ns0:c r="J109" s="106"/>
      <ns0:c r="K109" s="106"/>
      <ns0:c r="L109" s="106"/>
      <ns0:c r="M109" s="106"/>
      <ns0:c r="N109" s="106"/>
      <ns0:c r="O109" s="106"/>
      <ns0:c r="P109" s="106"/>
      <ns0:c r="Q109" s="106"/>
      <ns0:c r="R109" s="106"/>
      <ns0:c r="S109" s="106"/>
      <ns0:c r="T109" s="106"/>
      <ns0:c r="U109" s="106"/>
      <ns0:c r="V109" s="106"/>
      <ns0:c r="W109" s="106"/>
      <ns0:c r="X109" s="106"/>
      <ns0:c r="Y109" s="106"/>
      <ns0:c r="Z109" s="106"/>
      <ns0:c r="AA109" s="106"/>
      <ns0:c r="AB109" s="106"/>
      <ns0:c r="AC109"/>
    </ns0:row>
    <ns0:row r="110" ht="16" customHeight="1" spans="1:29">
      <ns0:c r="A110" s="106"/>
      <ns0:c r="B110" s="107"/>
      <ns0:c r="C110" s="108"/>
      <ns0:c r="D110" s="109"/>
      <ns0:c r="E110" s="106"/>
      <ns0:c r="F110" s="106"/>
      <ns0:c r="G110" s="106"/>
      <ns0:c r="H110" s="106"/>
      <ns0:c r="I110" s="106"/>
      <ns0:c r="J110" s="106"/>
      <ns0:c r="K110" s="106"/>
      <ns0:c r="L110" s="106"/>
      <ns0:c r="M110" s="106"/>
      <ns0:c r="N110" s="106"/>
      <ns0:c r="O110" s="106"/>
      <ns0:c r="P110" s="106"/>
      <ns0:c r="Q110" s="106"/>
      <ns0:c r="R110" s="106"/>
      <ns0:c r="S110" s="106"/>
      <ns0:c r="T110" s="106"/>
      <ns0:c r="U110" s="106"/>
      <ns0:c r="V110" s="106"/>
      <ns0:c r="W110" s="106"/>
      <ns0:c r="X110" s="106"/>
      <ns0:c r="Y110" s="106"/>
      <ns0:c r="Z110" s="106"/>
      <ns0:c r="AA110" s="106"/>
      <ns0:c r="AB110" s="106"/>
      <ns0:c r="AC110"/>
    </ns0:row>
    <ns0:row r="111" ht="16" customHeight="1" spans="1:29">
      <ns0:c r="A111" s="106"/>
      <ns0:c r="B111" s="107"/>
      <ns0:c r="C111" s="108"/>
      <ns0:c r="D111" s="109"/>
      <ns0:c r="E111" s="106"/>
      <ns0:c r="F111" s="106"/>
      <ns0:c r="G111" s="106"/>
      <ns0:c r="H111" s="106"/>
      <ns0:c r="I111" s="106"/>
      <ns0:c r="J111" s="106"/>
      <ns0:c r="K111" s="106"/>
      <ns0:c r="L111" s="106"/>
      <ns0:c r="M111" s="106"/>
      <ns0:c r="N111" s="106"/>
      <ns0:c r="O111" s="106"/>
      <ns0:c r="P111" s="106"/>
      <ns0:c r="Q111" s="106"/>
      <ns0:c r="R111" s="106"/>
      <ns0:c r="S111" s="106"/>
      <ns0:c r="T111" s="106"/>
      <ns0:c r="U111" s="106"/>
      <ns0:c r="V111" s="106"/>
      <ns0:c r="W111" s="106"/>
      <ns0:c r="X111" s="106"/>
      <ns0:c r="Y111" s="106"/>
      <ns0:c r="Z111" s="106"/>
      <ns0:c r="AA111" s="106"/>
      <ns0:c r="AB111" s="106"/>
      <ns0:c r="AC111"/>
    </ns0:row>
    <ns0:row r="112" ht="16" customHeight="1" spans="1:29">
      <ns0:c r="A112" s="106"/>
      <ns0:c r="B112" s="107"/>
      <ns0:c r="C112" s="108"/>
      <ns0:c r="D112" s="109"/>
      <ns0:c r="E112" s="106"/>
      <ns0:c r="F112" s="106"/>
      <ns0:c r="G112" s="106"/>
      <ns0:c r="H112" s="106"/>
      <ns0:c r="I112" s="106"/>
      <ns0:c r="J112" s="106"/>
      <ns0:c r="K112" s="106"/>
      <ns0:c r="L112" s="106"/>
      <ns0:c r="M112" s="106"/>
      <ns0:c r="N112" s="106"/>
      <ns0:c r="O112" s="106"/>
      <ns0:c r="P112" s="106"/>
      <ns0:c r="Q112" s="106"/>
      <ns0:c r="R112" s="106"/>
      <ns0:c r="S112" s="106"/>
      <ns0:c r="T112" s="106"/>
      <ns0:c r="U112" s="106"/>
      <ns0:c r="V112" s="106"/>
      <ns0:c r="W112" s="106"/>
      <ns0:c r="X112" s="106"/>
      <ns0:c r="Y112" s="106"/>
      <ns0:c r="Z112" s="106"/>
      <ns0:c r="AA112" s="106"/>
      <ns0:c r="AB112" s="106"/>
      <ns0:c r="AC112"/>
    </ns0:row>
    <ns0:row r="113" ht="16" customHeight="1" spans="1:29">
      <ns0:c r="A113" s="106"/>
      <ns0:c r="B113" s="107"/>
      <ns0:c r="C113" s="108"/>
      <ns0:c r="D113" s="109"/>
      <ns0:c r="E113" s="106"/>
      <ns0:c r="F113" s="106"/>
      <ns0:c r="G113" s="106"/>
      <ns0:c r="H113" s="106"/>
      <ns0:c r="I113" s="106"/>
      <ns0:c r="J113" s="106"/>
      <ns0:c r="K113" s="106"/>
      <ns0:c r="L113" s="106"/>
      <ns0:c r="M113" s="106"/>
      <ns0:c r="N113" s="106"/>
      <ns0:c r="O113" s="106"/>
      <ns0:c r="P113" s="106"/>
      <ns0:c r="Q113" s="106"/>
      <ns0:c r="R113" s="106"/>
      <ns0:c r="S113" s="106"/>
      <ns0:c r="T113" s="106"/>
      <ns0:c r="U113" s="106"/>
      <ns0:c r="V113" s="106"/>
      <ns0:c r="W113" s="106"/>
      <ns0:c r="X113" s="106"/>
      <ns0:c r="Y113" s="106"/>
      <ns0:c r="Z113" s="106"/>
      <ns0:c r="AA113" s="106"/>
      <ns0:c r="AB113" s="106"/>
      <ns0:c r="AC113"/>
    </ns0:row>
    <ns0:row r="114" ht="16" customHeight="1" spans="1:29">
      <ns0:c r="A114" s="106"/>
      <ns0:c r="B114" s="107"/>
      <ns0:c r="C114" s="108"/>
      <ns0:c r="D114" s="109"/>
      <ns0:c r="E114" s="106"/>
      <ns0:c r="F114" s="106"/>
      <ns0:c r="G114" s="106"/>
      <ns0:c r="H114" s="106"/>
      <ns0:c r="I114" s="106"/>
      <ns0:c r="J114" s="106"/>
      <ns0:c r="K114" s="106"/>
      <ns0:c r="L114" s="106"/>
      <ns0:c r="M114" s="106"/>
      <ns0:c r="N114" s="106"/>
      <ns0:c r="O114" s="106"/>
      <ns0:c r="P114" s="106"/>
      <ns0:c r="Q114" s="106"/>
      <ns0:c r="R114" s="106"/>
      <ns0:c r="S114" s="106"/>
      <ns0:c r="T114" s="106"/>
      <ns0:c r="U114" s="106"/>
      <ns0:c r="V114" s="106"/>
      <ns0:c r="W114" s="106"/>
      <ns0:c r="X114" s="106"/>
      <ns0:c r="Y114" s="106"/>
      <ns0:c r="Z114" s="106"/>
      <ns0:c r="AA114" s="106"/>
      <ns0:c r="AB114" s="106"/>
      <ns0:c r="AC114"/>
    </ns0:row>
    <ns0:row r="115" ht="16" customHeight="1" spans="1:29">
      <ns0:c r="A115" s="106"/>
      <ns0:c r="B115" s="107"/>
      <ns0:c r="C115" s="108"/>
      <ns0:c r="D115" s="109"/>
      <ns0:c r="E115" s="106"/>
      <ns0:c r="F115" s="106"/>
      <ns0:c r="G115" s="106"/>
      <ns0:c r="H115" s="106"/>
      <ns0:c r="I115" s="106"/>
      <ns0:c r="J115" s="106"/>
      <ns0:c r="K115" s="106"/>
      <ns0:c r="L115" s="106"/>
      <ns0:c r="M115" s="106"/>
      <ns0:c r="N115" s="106"/>
      <ns0:c r="O115" s="106"/>
      <ns0:c r="P115" s="106"/>
      <ns0:c r="Q115" s="106"/>
      <ns0:c r="R115" s="106"/>
      <ns0:c r="S115" s="106"/>
      <ns0:c r="T115" s="106"/>
      <ns0:c r="U115" s="106"/>
      <ns0:c r="V115" s="106"/>
      <ns0:c r="W115" s="106"/>
      <ns0:c r="X115" s="106"/>
      <ns0:c r="Y115" s="106"/>
      <ns0:c r="Z115" s="106"/>
      <ns0:c r="AA115" s="106"/>
      <ns0:c r="AB115" s="106"/>
      <ns0:c r="AC115"/>
    </ns0:row>
    <ns0:row r="116" ht="16" customHeight="1" spans="1:29">
      <ns0:c r="A116" s="110"/>
      <ns0:c r="B116" s="110"/>
      <ns0:c r="C116" s="110"/>
      <ns0:c r="D116" s="109"/>
      <ns0:c r="E116" s="106"/>
      <ns0:c r="F116" s="106"/>
      <ns0:c r="G116" s="106"/>
      <ns0:c r="H116" s="106"/>
      <ns0:c r="I116" s="106"/>
      <ns0:c r="J116" s="106"/>
      <ns0:c r="K116" s="106"/>
      <ns0:c r="L116" s="106"/>
      <ns0:c r="M116" s="106"/>
      <ns0:c r="N116" s="106"/>
      <ns0:c r="O116" s="106"/>
      <ns0:c r="P116" s="106"/>
      <ns0:c r="Q116" s="106"/>
      <ns0:c r="R116" s="106"/>
      <ns0:c r="S116" s="106"/>
      <ns0:c r="T116" s="106"/>
      <ns0:c r="U116" s="106"/>
      <ns0:c r="V116" s="106"/>
      <ns0:c r="W116" s="106"/>
      <ns0:c r="X116" s="106"/>
      <ns0:c r="Y116" s="106"/>
      <ns0:c r="Z116" s="106"/>
      <ns0:c r="AA116" s="106"/>
      <ns0:c r="AB116" s="106"/>
      <ns0:c r="AC116"/>
    </ns0:row>
    <ns0:row r="117" ht="16" customHeight="1" spans="1:29">
      <ns0:c r="A117" s="106"/>
      <ns0:c r="B117" s="107"/>
      <ns0:c r="C117" s="108"/>
      <ns0:c r="D117" s="109"/>
      <ns0:c r="E117" s="106"/>
      <ns0:c r="F117" s="106"/>
      <ns0:c r="G117" s="106"/>
      <ns0:c r="H117" s="106"/>
      <ns0:c r="I117" s="106"/>
      <ns0:c r="J117" s="106"/>
      <ns0:c r="K117" s="106"/>
      <ns0:c r="L117" s="106"/>
      <ns0:c r="M117" s="106"/>
      <ns0:c r="N117" s="106"/>
      <ns0:c r="O117" s="106"/>
      <ns0:c r="P117" s="106"/>
      <ns0:c r="Q117" s="106"/>
      <ns0:c r="R117" s="106"/>
      <ns0:c r="S117" s="106"/>
      <ns0:c r="T117" s="106"/>
      <ns0:c r="U117" s="106"/>
      <ns0:c r="V117" s="106"/>
      <ns0:c r="W117" s="106"/>
      <ns0:c r="X117" s="106"/>
      <ns0:c r="Y117" s="106"/>
      <ns0:c r="Z117" s="106"/>
      <ns0:c r="AA117" s="106"/>
      <ns0:c r="AB117" s="106"/>
      <ns0:c r="AC117"/>
    </ns0:row>
    <ns0:row r="118" ht="16" customHeight="1" spans="1:29">
      <ns0:c r="A118" s="106"/>
      <ns0:c r="B118" s="107"/>
      <ns0:c r="C118" s="108"/>
      <ns0:c r="D118" s="109"/>
      <ns0:c r="E118" s="106"/>
      <ns0:c r="F118" s="106"/>
      <ns0:c r="G118" s="106"/>
      <ns0:c r="H118" s="106"/>
      <ns0:c r="I118" s="106"/>
      <ns0:c r="J118" s="106"/>
      <ns0:c r="K118" s="106"/>
      <ns0:c r="L118" s="106"/>
      <ns0:c r="M118" s="106"/>
      <ns0:c r="N118" s="106"/>
      <ns0:c r="O118" s="106"/>
      <ns0:c r="P118" s="106"/>
      <ns0:c r="Q118" s="106"/>
      <ns0:c r="R118" s="106"/>
      <ns0:c r="S118" s="106"/>
      <ns0:c r="T118" s="106"/>
      <ns0:c r="U118" s="106"/>
      <ns0:c r="V118" s="106"/>
      <ns0:c r="W118" s="106"/>
      <ns0:c r="X118" s="106"/>
      <ns0:c r="Y118" s="106"/>
      <ns0:c r="Z118" s="106"/>
      <ns0:c r="AA118" s="106"/>
      <ns0:c r="AB118" s="106"/>
      <ns0:c r="AC118"/>
    </ns0:row>
    <ns0:row r="119" spans="1:29">
      <ns0:c r="A119" s="106"/>
      <ns0:c r="B119" s="107"/>
      <ns0:c r="C119" s="108"/>
      <ns0:c r="D119" s="109"/>
      <ns0:c r="E119" s="106"/>
      <ns0:c r="F119" s="106"/>
      <ns0:c r="G119" s="106"/>
      <ns0:c r="H119" s="106"/>
      <ns0:c r="I119" s="106"/>
      <ns0:c r="J119" s="106"/>
      <ns0:c r="K119" s="106"/>
      <ns0:c r="L119" s="106"/>
      <ns0:c r="M119" s="106"/>
      <ns0:c r="N119" s="106"/>
      <ns0:c r="O119" s="106"/>
      <ns0:c r="P119" s="106"/>
      <ns0:c r="Q119" s="106"/>
      <ns0:c r="R119" s="106"/>
      <ns0:c r="S119" s="106"/>
      <ns0:c r="T119" s="106"/>
      <ns0:c r="U119" s="106"/>
      <ns0:c r="V119" s="106"/>
      <ns0:c r="W119" s="106"/>
      <ns0:c r="X119" s="106"/>
      <ns0:c r="Y119" s="106"/>
      <ns0:c r="Z119" s="106"/>
      <ns0:c r="AA119" s="106"/>
      <ns0:c r="AB119" s="106"/>
      <ns0:c r="AC119"/>
    </ns0:row>
    <ns0:row r="120" spans="1:29">
      <ns0:c r="A120" s="106"/>
      <ns0:c r="B120" s="106"/>
      <ns0:c r="C120" s="108"/>
      <ns0:c r="D120" s="109"/>
      <ns0:c r="E120" s="106"/>
      <ns0:c r="F120" s="106"/>
      <ns0:c r="G120" s="106"/>
      <ns0:c r="H120" s="106"/>
      <ns0:c r="I120" s="106"/>
      <ns0:c r="J120" s="106"/>
      <ns0:c r="K120" s="106"/>
      <ns0:c r="L120" s="106"/>
      <ns0:c r="M120" s="106"/>
      <ns0:c r="N120" s="106"/>
      <ns0:c r="O120" s="106"/>
      <ns0:c r="P120" s="106"/>
      <ns0:c r="Q120" s="106"/>
      <ns0:c r="R120" s="106"/>
      <ns0:c r="S120" s="106"/>
      <ns0:c r="T120" s="106"/>
      <ns0:c r="U120" s="106"/>
      <ns0:c r="V120" s="106"/>
      <ns0:c r="W120" s="106"/>
      <ns0:c r="X120" s="106"/>
      <ns0:c r="Y120" s="106"/>
      <ns0:c r="Z120" s="106"/>
      <ns0:c r="AA120" s="106"/>
      <ns0:c r="AB120" s="106"/>
      <ns0:c r="AC120"/>
    </ns0:row>
    <ns0:row r="121" spans="1:29">
      <ns0:c r="A121" s="106"/>
      <ns0:c r="B121" s="107"/>
      <ns0:c r="C121" s="108"/>
      <ns0:c r="D121" s="109"/>
      <ns0:c r="E121" s="112"/>
      <ns0:c r="F121" s="112"/>
      <ns0:c r="G121" s="112"/>
      <ns0:c r="H121" s="112"/>
      <ns0:c r="I121" s="112"/>
      <ns0:c r="J121" s="112"/>
      <ns0:c r="K121" s="112"/>
      <ns0:c r="L121" s="112"/>
      <ns0:c r="M121" s="112"/>
      <ns0:c r="N121" s="112"/>
      <ns0:c r="O121" s="112"/>
      <ns0:c r="P121" s="112"/>
      <ns0:c r="Q121" s="112"/>
      <ns0:c r="R121" s="112"/>
      <ns0:c r="S121" s="112"/>
      <ns0:c r="T121" s="112"/>
      <ns0:c r="U121" s="112"/>
      <ns0:c r="V121" s="112"/>
      <ns0:c r="W121" s="112"/>
      <ns0:c r="X121" s="112"/>
      <ns0:c r="Y121" s="112"/>
      <ns0:c r="Z121" s="112"/>
      <ns0:c r="AA121" s="112"/>
      <ns0:c r="AB121" s="112"/>
      <ns0:c r="AC121"/>
    </ns0:row>
    <ns0:row r="122" spans="1:29">
      <ns0:c r="A122" s="106"/>
      <ns0:c r="B122" s="107"/>
      <ns0:c r="C122" s="108"/>
      <ns0:c r="D122" s="109"/>
      <ns0:c r="E122" s="106"/>
      <ns0:c r="F122" s="106"/>
      <ns0:c r="G122" s="106"/>
      <ns0:c r="H122" s="106"/>
      <ns0:c r="I122" s="106"/>
      <ns0:c r="J122" s="106"/>
      <ns0:c r="K122" s="106"/>
      <ns0:c r="L122" s="106"/>
      <ns0:c r="M122" s="106"/>
      <ns0:c r="N122" s="106"/>
      <ns0:c r="O122" s="106"/>
      <ns0:c r="P122" s="106"/>
      <ns0:c r="Q122" s="106"/>
      <ns0:c r="R122" s="106"/>
      <ns0:c r="S122" s="106"/>
      <ns0:c r="T122" s="106"/>
      <ns0:c r="U122" s="106"/>
      <ns0:c r="V122" s="106"/>
      <ns0:c r="W122" s="106"/>
      <ns0:c r="X122" s="106"/>
      <ns0:c r="Y122" s="106"/>
      <ns0:c r="Z122" s="106"/>
      <ns0:c r="AA122" s="106"/>
      <ns0:c r="AB122" s="106"/>
      <ns0:c r="AC122" s="113"/>
    </ns0:row>
    <ns0:row r="123" spans="1:29">
      <ns0:c r="A123" s="106"/>
      <ns0:c r="B123" s="107"/>
      <ns0:c r="C123" s="108"/>
      <ns0:c r="D123" s="109"/>
      <ns0:c r="E123" s="106"/>
      <ns0:c r="F123" s="106"/>
      <ns0:c r="G123" s="106"/>
      <ns0:c r="H123" s="106"/>
      <ns0:c r="I123" s="106"/>
      <ns0:c r="J123" s="106"/>
      <ns0:c r="K123" s="106"/>
      <ns0:c r="L123" s="106"/>
      <ns0:c r="M123" s="106"/>
      <ns0:c r="N123" s="106"/>
      <ns0:c r="O123" s="106"/>
      <ns0:c r="P123" s="106"/>
      <ns0:c r="Q123" s="106"/>
      <ns0:c r="R123" s="106"/>
      <ns0:c r="S123" s="106"/>
      <ns0:c r="T123" s="106"/>
      <ns0:c r="U123" s="106"/>
      <ns0:c r="V123" s="106"/>
      <ns0:c r="W123" s="106"/>
      <ns0:c r="X123" s="106"/>
      <ns0:c r="Y123" s="106"/>
      <ns0:c r="Z123" s="106"/>
      <ns0:c r="AA123" s="106"/>
      <ns0:c r="AB123" s="106"/>
      <ns0:c r="AC123" s="113"/>
    </ns0:row>
    <ns0:row r="124" spans="1:29">
      <ns0:c r="A124" s="106"/>
      <ns0:c r="B124" s="107"/>
      <ns0:c r="C124" s="108"/>
      <ns0:c r="D124" s="109"/>
      <ns0:c r="E124" s="106"/>
      <ns0:c r="F124" s="106"/>
      <ns0:c r="G124" s="106"/>
      <ns0:c r="H124" s="106"/>
      <ns0:c r="I124" s="106"/>
      <ns0:c r="J124" s="106"/>
      <ns0:c r="K124" s="106"/>
      <ns0:c r="L124" s="106"/>
      <ns0:c r="M124" s="106"/>
      <ns0:c r="N124" s="106"/>
      <ns0:c r="O124" s="106"/>
      <ns0:c r="P124" s="106"/>
      <ns0:c r="Q124" s="106"/>
      <ns0:c r="R124" s="106"/>
      <ns0:c r="S124" s="106"/>
      <ns0:c r="T124" s="106"/>
      <ns0:c r="U124" s="106"/>
      <ns0:c r="V124" s="106"/>
      <ns0:c r="W124" s="106"/>
      <ns0:c r="X124" s="106"/>
      <ns0:c r="Y124" s="106"/>
      <ns0:c r="Z124" s="106"/>
      <ns0:c r="AA124" s="106"/>
      <ns0:c r="AB124" s="106"/>
      <ns0:c r="AC124" s="113"/>
    </ns0:row>
    <ns0:row r="125" spans="1:29">
      <ns0:c r="A125" s="106"/>
      <ns0:c r="B125" s="107"/>
      <ns0:c r="C125" s="108"/>
      <ns0:c r="D125" s="109"/>
      <ns0:c r="E125" s="106"/>
      <ns0:c r="F125" s="106"/>
      <ns0:c r="G125" s="106"/>
      <ns0:c r="H125" s="106"/>
      <ns0:c r="I125" s="106"/>
      <ns0:c r="J125" s="106"/>
      <ns0:c r="K125" s="106"/>
      <ns0:c r="L125" s="106"/>
      <ns0:c r="M125" s="106"/>
      <ns0:c r="N125" s="106"/>
      <ns0:c r="O125" s="106"/>
      <ns0:c r="P125" s="106"/>
      <ns0:c r="Q125" s="106"/>
      <ns0:c r="R125" s="106"/>
      <ns0:c r="S125" s="106"/>
      <ns0:c r="T125" s="106"/>
      <ns0:c r="U125" s="106"/>
      <ns0:c r="V125" s="106"/>
      <ns0:c r="W125" s="106"/>
      <ns0:c r="X125" s="106"/>
      <ns0:c r="Y125" s="106"/>
      <ns0:c r="Z125" s="106"/>
      <ns0:c r="AA125" s="106"/>
      <ns0:c r="AB125" s="106"/>
      <ns0:c r="AC125" s="113"/>
    </ns0:row>
    <ns0:row r="126" spans="1:29">
      <ns0:c r="A126" s="106"/>
      <ns0:c r="B126" s="107"/>
      <ns0:c r="C126" s="108"/>
      <ns0:c r="D126" s="109"/>
      <ns0:c r="E126" s="106"/>
      <ns0:c r="F126" s="106"/>
      <ns0:c r="G126" s="106"/>
      <ns0:c r="H126" s="106"/>
      <ns0:c r="I126" s="106"/>
      <ns0:c r="J126" s="106"/>
      <ns0:c r="K126" s="106"/>
      <ns0:c r="L126" s="106"/>
      <ns0:c r="M126" s="106"/>
      <ns0:c r="N126" s="106"/>
      <ns0:c r="O126" s="106"/>
      <ns0:c r="P126" s="106"/>
      <ns0:c r="Q126" s="106"/>
      <ns0:c r="R126" s="106"/>
      <ns0:c r="S126" s="106"/>
      <ns0:c r="T126" s="106"/>
      <ns0:c r="U126" s="106"/>
      <ns0:c r="V126" s="106"/>
      <ns0:c r="W126" s="106"/>
      <ns0:c r="X126" s="106"/>
      <ns0:c r="Y126" s="106"/>
      <ns0:c r="Z126" s="106"/>
      <ns0:c r="AA126" s="106"/>
      <ns0:c r="AB126" s="106"/>
      <ns0:c r="AC126" s="113"/>
    </ns0:row>
    <ns0:row r="127" spans="1:29">
      <ns0:c r="A127" s="106"/>
      <ns0:c r="B127" s="107"/>
      <ns0:c r="C127" s="108"/>
      <ns0:c r="D127" s="109"/>
      <ns0:c r="E127" s="106"/>
      <ns0:c r="F127" s="106"/>
      <ns0:c r="G127" s="106"/>
      <ns0:c r="H127" s="106"/>
      <ns0:c r="I127" s="106"/>
      <ns0:c r="J127" s="106"/>
      <ns0:c r="K127" s="106"/>
      <ns0:c r="L127" s="106"/>
      <ns0:c r="M127" s="106"/>
      <ns0:c r="N127" s="106"/>
      <ns0:c r="O127" s="106"/>
      <ns0:c r="P127" s="106"/>
      <ns0:c r="Q127" s="106"/>
      <ns0:c r="R127" s="106"/>
      <ns0:c r="S127" s="106"/>
      <ns0:c r="T127" s="106"/>
      <ns0:c r="U127" s="106"/>
      <ns0:c r="V127" s="106"/>
      <ns0:c r="W127" s="106"/>
      <ns0:c r="X127" s="106"/>
      <ns0:c r="Y127" s="106"/>
      <ns0:c r="Z127" s="106"/>
      <ns0:c r="AA127" s="106"/>
      <ns0:c r="AB127" s="106"/>
      <ns0:c r="AC127" s="113"/>
    </ns0:row>
    <ns0:row r="128" spans="1:29">
      <ns0:c r="A128" s="106"/>
      <ns0:c r="B128" s="107"/>
      <ns0:c r="C128" s="108"/>
      <ns0:c r="D128" s="109"/>
      <ns0:c r="E128" s="106"/>
      <ns0:c r="F128" s="106"/>
      <ns0:c r="G128" s="106"/>
      <ns0:c r="H128" s="106"/>
      <ns0:c r="I128" s="106"/>
      <ns0:c r="J128" s="106"/>
      <ns0:c r="K128" s="106"/>
      <ns0:c r="L128" s="106"/>
      <ns0:c r="M128" s="106"/>
      <ns0:c r="N128" s="106"/>
      <ns0:c r="O128" s="106"/>
      <ns0:c r="P128" s="106"/>
      <ns0:c r="Q128" s="106"/>
      <ns0:c r="R128" s="106"/>
      <ns0:c r="S128" s="106"/>
      <ns0:c r="T128" s="106"/>
      <ns0:c r="U128" s="106"/>
      <ns0:c r="V128" s="106"/>
      <ns0:c r="W128" s="106"/>
      <ns0:c r="X128" s="106"/>
      <ns0:c r="Y128" s="106"/>
      <ns0:c r="Z128" s="106"/>
      <ns0:c r="AA128" s="106"/>
      <ns0:c r="AB128" s="106"/>
      <ns0:c r="AC128" s="113"/>
    </ns0:row>
    <ns0:row r="129" spans="1:29">
      <ns0:c r="A129" s="106"/>
      <ns0:c r="B129" s="110"/>
      <ns0:c r="C129" s="110"/>
      <ns0:c r="D129" s="109"/>
      <ns0:c r="E129" s="106"/>
      <ns0:c r="F129" s="106"/>
      <ns0:c r="G129" s="106"/>
      <ns0:c r="H129" s="106"/>
      <ns0:c r="I129" s="106"/>
      <ns0:c r="J129" s="106"/>
      <ns0:c r="K129" s="106"/>
      <ns0:c r="L129" s="106"/>
      <ns0:c r="M129" s="106"/>
      <ns0:c r="N129" s="106"/>
      <ns0:c r="O129" s="106"/>
      <ns0:c r="P129" s="106"/>
      <ns0:c r="Q129" s="106"/>
      <ns0:c r="R129" s="106"/>
      <ns0:c r="S129" s="106"/>
      <ns0:c r="T129" s="106"/>
      <ns0:c r="U129" s="106"/>
      <ns0:c r="V129" s="106"/>
      <ns0:c r="W129" s="106"/>
      <ns0:c r="X129" s="106"/>
      <ns0:c r="Y129" s="106"/>
      <ns0:c r="Z129" s="106"/>
      <ns0:c r="AA129" s="106"/>
      <ns0:c r="AB129" s="106"/>
      <ns0:c r="AC129" s="113"/>
    </ns0:row>
    <ns0:row r="130" spans="1:29">
      <ns0:c r="A130" s="106"/>
      <ns0:c r="B130" s="107"/>
      <ns0:c r="C130" s="108"/>
      <ns0:c r="D130" s="109"/>
      <ns0:c r="E130" s="106"/>
      <ns0:c r="F130" s="106"/>
      <ns0:c r="G130" s="106"/>
      <ns0:c r="H130" s="106"/>
      <ns0:c r="I130" s="106"/>
      <ns0:c r="J130" s="106"/>
      <ns0:c r="K130" s="106"/>
      <ns0:c r="L130" s="106"/>
      <ns0:c r="M130" s="106"/>
      <ns0:c r="N130" s="106"/>
      <ns0:c r="O130" s="106"/>
      <ns0:c r="P130" s="106"/>
      <ns0:c r="Q130" s="106"/>
      <ns0:c r="R130" s="106"/>
      <ns0:c r="S130" s="106"/>
      <ns0:c r="T130" s="106"/>
      <ns0:c r="U130" s="106"/>
      <ns0:c r="V130" s="106"/>
      <ns0:c r="W130" s="106"/>
      <ns0:c r="X130" s="106"/>
      <ns0:c r="Y130" s="106"/>
      <ns0:c r="Z130" s="106"/>
      <ns0:c r="AA130" s="106"/>
      <ns0:c r="AB130" s="106"/>
      <ns0:c r="AC130" s="113"/>
    </ns0:row>
    <ns0:row r="131" spans="1:29">
      <ns0:c r="A131" s="106"/>
      <ns0:c r="B131" s="107"/>
      <ns0:c r="C131" s="108"/>
      <ns0:c r="D131" s="109"/>
      <ns0:c r="E131" s="106"/>
      <ns0:c r="F131" s="106"/>
      <ns0:c r="G131" s="106"/>
      <ns0:c r="H131" s="106"/>
      <ns0:c r="I131" s="106"/>
      <ns0:c r="J131" s="106"/>
      <ns0:c r="K131" s="106"/>
      <ns0:c r="L131" s="106"/>
      <ns0:c r="M131" s="106"/>
      <ns0:c r="N131" s="106"/>
      <ns0:c r="O131" s="106"/>
      <ns0:c r="P131" s="106"/>
      <ns0:c r="Q131" s="106"/>
      <ns0:c r="R131" s="106"/>
      <ns0:c r="S131" s="106"/>
      <ns0:c r="T131" s="106"/>
      <ns0:c r="U131" s="106"/>
      <ns0:c r="V131" s="106"/>
      <ns0:c r="W131" s="106"/>
      <ns0:c r="X131" s="106"/>
      <ns0:c r="Y131" s="106"/>
      <ns0:c r="Z131" s="106"/>
      <ns0:c r="AA131" s="106"/>
      <ns0:c r="AB131" s="106"/>
      <ns0:c r="AC131" s="113"/>
    </ns0:row>
    <ns0:row r="132" spans="1:29">
      <ns0:c r="A132" s="106"/>
      <ns0:c r="B132" s="107"/>
      <ns0:c r="C132" s="108"/>
      <ns0:c r="D132" s="109"/>
      <ns0:c r="E132" s="106"/>
      <ns0:c r="F132" s="106"/>
      <ns0:c r="G132" s="106"/>
      <ns0:c r="H132" s="106"/>
      <ns0:c r="I132" s="106"/>
      <ns0:c r="J132" s="106"/>
      <ns0:c r="K132" s="106"/>
      <ns0:c r="L132" s="106"/>
      <ns0:c r="M132" s="106"/>
      <ns0:c r="N132" s="106"/>
      <ns0:c r="O132" s="106"/>
      <ns0:c r="P132" s="106"/>
      <ns0:c r="Q132" s="106"/>
      <ns0:c r="R132" s="106"/>
      <ns0:c r="S132" s="106"/>
      <ns0:c r="T132" s="106"/>
      <ns0:c r="U132" s="106"/>
      <ns0:c r="V132" s="106"/>
      <ns0:c r="W132" s="106"/>
      <ns0:c r="X132" s="106"/>
      <ns0:c r="Y132" s="106"/>
      <ns0:c r="Z132" s="106"/>
      <ns0:c r="AA132" s="106"/>
      <ns0:c r="AB132" s="106"/>
      <ns0:c r="AC132" s="113"/>
    </ns0:row>
    <ns0:row r="133" spans="1:29">
      <ns0:c r="A133" s="106"/>
      <ns0:c r="B133" s="106"/>
      <ns0:c r="C133" s="108"/>
      <ns0:c r="D133" s="109"/>
      <ns0:c r="E133" s="106"/>
      <ns0:c r="F133" s="106"/>
      <ns0:c r="G133" s="106"/>
      <ns0:c r="H133" s="106"/>
      <ns0:c r="I133" s="106"/>
      <ns0:c r="J133" s="106"/>
      <ns0:c r="K133" s="106"/>
      <ns0:c r="L133" s="106"/>
      <ns0:c r="M133" s="106"/>
      <ns0:c r="N133" s="106"/>
      <ns0:c r="O133" s="106"/>
      <ns0:c r="P133" s="106"/>
      <ns0:c r="Q133" s="106"/>
      <ns0:c r="R133" s="106"/>
      <ns0:c r="S133" s="106"/>
      <ns0:c r="T133" s="106"/>
      <ns0:c r="U133" s="106"/>
      <ns0:c r="V133" s="106"/>
      <ns0:c r="W133" s="106"/>
      <ns0:c r="X133" s="106"/>
      <ns0:c r="Y133" s="106"/>
      <ns0:c r="Z133" s="106"/>
      <ns0:c r="AA133" s="106"/>
      <ns0:c r="AB133" s="106"/>
      <ns0:c r="AC133" s="110"/>
    </ns0:row>
    <ns0:row r="134" spans="1:29">
      <ns0:c r="A134" s="106"/>
      <ns0:c r="B134" s="107"/>
      <ns0:c r="C134" s="108"/>
      <ns0:c r="D134" s="109"/>
      <ns0:c r="E134" s="112"/>
      <ns0:c r="F134" s="112"/>
      <ns0:c r="G134" s="112"/>
      <ns0:c r="H134" s="112"/>
      <ns0:c r="I134" s="112"/>
      <ns0:c r="J134" s="112"/>
      <ns0:c r="K134" s="112"/>
      <ns0:c r="L134" s="112"/>
      <ns0:c r="M134" s="112"/>
      <ns0:c r="N134" s="112"/>
      <ns0:c r="O134" s="112"/>
      <ns0:c r="P134" s="112"/>
      <ns0:c r="Q134" s="112"/>
      <ns0:c r="R134" s="112"/>
      <ns0:c r="S134" s="112"/>
      <ns0:c r="T134" s="112"/>
      <ns0:c r="U134" s="112"/>
      <ns0:c r="V134" s="112"/>
      <ns0:c r="W134" s="112"/>
      <ns0:c r="X134" s="112"/>
      <ns0:c r="Y134" s="112"/>
      <ns0:c r="Z134" s="112"/>
      <ns0:c r="AA134" s="112"/>
      <ns0:c r="AB134" s="112"/>
      <ns0:c r="AC134" s="115"/>
    </ns0:row>
    <ns0:row r="135" spans="1:29">
      <ns0:c r="A135" s="106"/>
      <ns0:c r="B135" s="107"/>
      <ns0:c r="C135" s="108"/>
      <ns0:c r="D135" s="109"/>
      <ns0:c r="E135" s="106"/>
      <ns0:c r="F135" s="106"/>
      <ns0:c r="G135" s="106"/>
      <ns0:c r="H135" s="106"/>
      <ns0:c r="I135" s="106"/>
      <ns0:c r="J135" s="106"/>
      <ns0:c r="K135" s="106"/>
      <ns0:c r="L135" s="106"/>
      <ns0:c r="M135" s="106"/>
      <ns0:c r="N135" s="106"/>
      <ns0:c r="O135" s="106"/>
      <ns0:c r="P135" s="106"/>
      <ns0:c r="Q135" s="106"/>
      <ns0:c r="R135" s="106"/>
      <ns0:c r="S135" s="106"/>
      <ns0:c r="T135" s="106"/>
      <ns0:c r="U135" s="106"/>
      <ns0:c r="V135" s="106"/>
      <ns0:c r="W135" s="106"/>
      <ns0:c r="X135" s="106"/>
      <ns0:c r="Y135" s="106"/>
      <ns0:c r="Z135" s="106"/>
      <ns0:c r="AA135" s="106"/>
      <ns0:c r="AB135" s="106"/>
      <ns0:c r="AC135" s="115"/>
    </ns0:row>
    <ns0:row r="136" spans="1:29">
      <ns0:c r="A136" s="106"/>
      <ns0:c r="B136" s="107"/>
      <ns0:c r="C136" s="108"/>
      <ns0:c r="D136" s="109"/>
      <ns0:c r="E136" s="106"/>
      <ns0:c r="F136" s="106"/>
      <ns0:c r="G136" s="106"/>
      <ns0:c r="H136" s="106"/>
      <ns0:c r="I136" s="106"/>
      <ns0:c r="J136" s="106"/>
      <ns0:c r="K136" s="106"/>
      <ns0:c r="L136" s="106"/>
      <ns0:c r="M136" s="106"/>
      <ns0:c r="N136" s="106"/>
      <ns0:c r="O136" s="106"/>
      <ns0:c r="P136" s="106"/>
      <ns0:c r="Q136" s="106"/>
      <ns0:c r="R136" s="106"/>
      <ns0:c r="S136" s="106"/>
      <ns0:c r="T136" s="106"/>
      <ns0:c r="U136" s="106"/>
      <ns0:c r="V136" s="106"/>
      <ns0:c r="W136" s="106"/>
      <ns0:c r="X136" s="106"/>
      <ns0:c r="Y136" s="106"/>
      <ns0:c r="Z136" s="106"/>
      <ns0:c r="AA136" s="106"/>
      <ns0:c r="AB136" s="106"/>
      <ns0:c r="AC136" s="115"/>
    </ns0:row>
    <ns0:row r="137" spans="1:29">
      <ns0:c r="A137" s="106"/>
      <ns0:c r="B137" s="107"/>
      <ns0:c r="C137" s="108"/>
      <ns0:c r="D137" s="109"/>
      <ns0:c r="E137" s="106"/>
      <ns0:c r="F137" s="106"/>
      <ns0:c r="G137" s="106"/>
      <ns0:c r="H137" s="106"/>
      <ns0:c r="I137" s="106"/>
      <ns0:c r="J137" s="106"/>
      <ns0:c r="K137" s="106"/>
      <ns0:c r="L137" s="106"/>
      <ns0:c r="M137" s="106"/>
      <ns0:c r="N137" s="106"/>
      <ns0:c r="O137" s="106"/>
      <ns0:c r="P137" s="106"/>
      <ns0:c r="Q137" s="106"/>
      <ns0:c r="R137" s="106"/>
      <ns0:c r="S137" s="106"/>
      <ns0:c r="T137" s="106"/>
      <ns0:c r="U137" s="106"/>
      <ns0:c r="V137" s="106"/>
      <ns0:c r="W137" s="106"/>
      <ns0:c r="X137" s="106"/>
      <ns0:c r="Y137" s="106"/>
      <ns0:c r="Z137" s="106"/>
      <ns0:c r="AA137" s="106"/>
      <ns0:c r="AB137" s="106"/>
      <ns0:c r="AC137" s="115"/>
    </ns0:row>
    <ns0:row r="138" spans="1:29">
      <ns0:c r="A138" s="106"/>
      <ns0:c r="B138" s="107"/>
      <ns0:c r="C138" s="108"/>
      <ns0:c r="D138" s="109"/>
      <ns0:c r="E138" s="106"/>
      <ns0:c r="F138" s="106"/>
      <ns0:c r="G138" s="106"/>
      <ns0:c r="H138" s="106"/>
      <ns0:c r="I138" s="106"/>
      <ns0:c r="J138" s="106"/>
      <ns0:c r="K138" s="106"/>
      <ns0:c r="L138" s="106"/>
      <ns0:c r="M138" s="106"/>
      <ns0:c r="N138" s="106"/>
      <ns0:c r="O138" s="106"/>
      <ns0:c r="P138" s="106"/>
      <ns0:c r="Q138" s="106"/>
      <ns0:c r="R138" s="106"/>
      <ns0:c r="S138" s="106"/>
      <ns0:c r="T138" s="106"/>
      <ns0:c r="U138" s="106"/>
      <ns0:c r="V138" s="106"/>
      <ns0:c r="W138" s="106"/>
      <ns0:c r="X138" s="106"/>
      <ns0:c r="Y138" s="106"/>
      <ns0:c r="Z138" s="106"/>
      <ns0:c r="AA138" s="106"/>
      <ns0:c r="AB138" s="106"/>
      <ns0:c r="AC138" s="115"/>
    </ns0:row>
    <ns0:row r="139" spans="1:29">
      <ns0:c r="A139" s="106"/>
      <ns0:c r="B139" s="107"/>
      <ns0:c r="C139" s="108"/>
      <ns0:c r="D139" s="109"/>
      <ns0:c r="E139" s="106"/>
      <ns0:c r="F139" s="106"/>
      <ns0:c r="G139" s="106"/>
      <ns0:c r="H139" s="106"/>
      <ns0:c r="I139" s="106"/>
      <ns0:c r="J139" s="106"/>
      <ns0:c r="K139" s="106"/>
      <ns0:c r="L139" s="106"/>
      <ns0:c r="M139" s="106"/>
      <ns0:c r="N139" s="106"/>
      <ns0:c r="O139" s="106"/>
      <ns0:c r="P139" s="106"/>
      <ns0:c r="Q139" s="106"/>
      <ns0:c r="R139" s="106"/>
      <ns0:c r="S139" s="106"/>
      <ns0:c r="T139" s="106"/>
      <ns0:c r="U139" s="106"/>
      <ns0:c r="V139" s="106"/>
      <ns0:c r="W139" s="106"/>
      <ns0:c r="X139" s="106"/>
      <ns0:c r="Y139" s="106"/>
      <ns0:c r="Z139" s="106"/>
      <ns0:c r="AA139" s="106"/>
      <ns0:c r="AB139" s="106"/>
      <ns0:c r="AC139" s="115"/>
    </ns0:row>
    <ns0:row r="140" spans="1:29">
      <ns0:c r="A140" s="106"/>
      <ns0:c r="B140" s="107"/>
      <ns0:c r="C140" s="108"/>
      <ns0:c r="D140" s="109"/>
      <ns0:c r="E140" s="106"/>
      <ns0:c r="F140" s="106"/>
      <ns0:c r="G140" s="106"/>
      <ns0:c r="H140" s="106"/>
      <ns0:c r="I140" s="106"/>
      <ns0:c r="J140" s="106"/>
      <ns0:c r="K140" s="106"/>
      <ns0:c r="L140" s="106"/>
      <ns0:c r="M140" s="106"/>
      <ns0:c r="N140" s="106"/>
      <ns0:c r="O140" s="106"/>
      <ns0:c r="P140" s="106"/>
      <ns0:c r="Q140" s="106"/>
      <ns0:c r="R140" s="106"/>
      <ns0:c r="S140" s="106"/>
      <ns0:c r="T140" s="106"/>
      <ns0:c r="U140" s="106"/>
      <ns0:c r="V140" s="106"/>
      <ns0:c r="W140" s="106"/>
      <ns0:c r="X140" s="106"/>
      <ns0:c r="Y140" s="106"/>
      <ns0:c r="Z140" s="106"/>
      <ns0:c r="AA140" s="106"/>
      <ns0:c r="AB140" s="106"/>
      <ns0:c r="AC140" s="115"/>
    </ns0:row>
    <ns0:row r="141" spans="1:29">
      <ns0:c r="A141" s="106"/>
      <ns0:c r="B141" s="107"/>
      <ns0:c r="C141" s="108"/>
      <ns0:c r="D141" s="109"/>
      <ns0:c r="E141" s="106"/>
      <ns0:c r="F141" s="106"/>
      <ns0:c r="G141" s="106"/>
      <ns0:c r="H141" s="106"/>
      <ns0:c r="I141" s="106"/>
      <ns0:c r="J141" s="106"/>
      <ns0:c r="K141" s="106"/>
      <ns0:c r="L141" s="106"/>
      <ns0:c r="M141" s="106"/>
      <ns0:c r="N141" s="106"/>
      <ns0:c r="O141" s="106"/>
      <ns0:c r="P141" s="106"/>
      <ns0:c r="Q141" s="106"/>
      <ns0:c r="R141" s="106"/>
      <ns0:c r="S141" s="106"/>
      <ns0:c r="T141" s="106"/>
      <ns0:c r="U141" s="106"/>
      <ns0:c r="V141" s="106"/>
      <ns0:c r="W141" s="106"/>
      <ns0:c r="X141" s="106"/>
      <ns0:c r="Y141" s="106"/>
      <ns0:c r="Z141" s="106"/>
      <ns0:c r="AA141" s="106"/>
      <ns0:c r="AB141" s="106"/>
      <ns0:c r="AC141" s="115"/>
    </ns0:row>
    <ns0:row r="142" spans="1:29">
      <ns0:c r="A142" s="106"/>
      <ns0:c r="B142" s="110"/>
      <ns0:c r="C142" s="110"/>
      <ns0:c r="D142" s="109"/>
      <ns0:c r="E142" s="106"/>
      <ns0:c r="F142" s="106"/>
      <ns0:c r="G142" s="106"/>
      <ns0:c r="H142" s="106"/>
      <ns0:c r="I142" s="106"/>
      <ns0:c r="J142" s="106"/>
      <ns0:c r="K142" s="106"/>
      <ns0:c r="L142" s="106"/>
      <ns0:c r="M142" s="106"/>
      <ns0:c r="N142" s="106"/>
      <ns0:c r="O142" s="106"/>
      <ns0:c r="P142" s="106"/>
      <ns0:c r="Q142" s="106"/>
      <ns0:c r="R142" s="106"/>
      <ns0:c r="S142" s="106"/>
      <ns0:c r="T142" s="106"/>
      <ns0:c r="U142" s="106"/>
      <ns0:c r="V142" s="106"/>
      <ns0:c r="W142" s="106"/>
      <ns0:c r="X142" s="106"/>
      <ns0:c r="Y142" s="106"/>
      <ns0:c r="Z142" s="106"/>
      <ns0:c r="AA142" s="106"/>
      <ns0:c r="AB142" s="106"/>
      <ns0:c r="AC142" s="115"/>
    </ns0:row>
    <ns0:row r="143" spans="1:29">
      <ns0:c r="A143" s="106"/>
      <ns0:c r="B143" s="107"/>
      <ns0:c r="C143" s="108"/>
      <ns0:c r="D143" s="109"/>
      <ns0:c r="E143" s="106"/>
      <ns0:c r="F143" s="106"/>
      <ns0:c r="G143" s="106"/>
      <ns0:c r="H143" s="106"/>
      <ns0:c r="I143" s="106"/>
      <ns0:c r="J143" s="106"/>
      <ns0:c r="K143" s="106"/>
      <ns0:c r="L143" s="106"/>
      <ns0:c r="M143" s="106"/>
      <ns0:c r="N143" s="106"/>
      <ns0:c r="O143" s="106"/>
      <ns0:c r="P143" s="106"/>
      <ns0:c r="Q143" s="106"/>
      <ns0:c r="R143" s="106"/>
      <ns0:c r="S143" s="106"/>
      <ns0:c r="T143" s="106"/>
      <ns0:c r="U143" s="106"/>
      <ns0:c r="V143" s="106"/>
      <ns0:c r="W143" s="106"/>
      <ns0:c r="X143" s="106"/>
      <ns0:c r="Y143" s="106"/>
      <ns0:c r="Z143" s="106"/>
      <ns0:c r="AA143" s="106"/>
      <ns0:c r="AB143" s="106"/>
      <ns0:c r="AC143" s="115"/>
    </ns0:row>
    <ns0:row r="144" spans="1:29">
      <ns0:c r="A144" s="106"/>
      <ns0:c r="B144" s="107"/>
      <ns0:c r="C144" s="108"/>
      <ns0:c r="D144" s="109"/>
      <ns0:c r="E144" s="106"/>
      <ns0:c r="F144" s="106"/>
      <ns0:c r="G144" s="106"/>
      <ns0:c r="H144" s="106"/>
      <ns0:c r="I144" s="106"/>
      <ns0:c r="J144" s="106"/>
      <ns0:c r="K144" s="106"/>
      <ns0:c r="L144" s="106"/>
      <ns0:c r="M144" s="106"/>
      <ns0:c r="N144" s="106"/>
      <ns0:c r="O144" s="106"/>
      <ns0:c r="P144" s="106"/>
      <ns0:c r="Q144" s="106"/>
      <ns0:c r="R144" s="106"/>
      <ns0:c r="S144" s="106"/>
      <ns0:c r="T144" s="106"/>
      <ns0:c r="U144" s="106"/>
      <ns0:c r="V144" s="106"/>
      <ns0:c r="W144" s="106"/>
      <ns0:c r="X144" s="106"/>
      <ns0:c r="Y144" s="106"/>
      <ns0:c r="Z144" s="106"/>
      <ns0:c r="AA144" s="106"/>
      <ns0:c r="AB144" s="106"/>
      <ns0:c r="AC144" s="115"/>
    </ns0:row>
    <ns0:row r="145" spans="1:29">
      <ns0:c r="A145" s="106"/>
      <ns0:c r="B145" s="107"/>
      <ns0:c r="C145" s="108"/>
      <ns0:c r="D145" s="109"/>
      <ns0:c r="E145" s="106"/>
      <ns0:c r="F145" s="106"/>
      <ns0:c r="G145" s="106"/>
      <ns0:c r="H145" s="106"/>
      <ns0:c r="I145" s="106"/>
      <ns0:c r="J145" s="106"/>
      <ns0:c r="K145" s="106"/>
      <ns0:c r="L145" s="106"/>
      <ns0:c r="M145" s="106"/>
      <ns0:c r="N145" s="106"/>
      <ns0:c r="O145" s="106"/>
      <ns0:c r="P145" s="106"/>
      <ns0:c r="Q145" s="106"/>
      <ns0:c r="R145" s="106"/>
      <ns0:c r="S145" s="106"/>
      <ns0:c r="T145" s="106"/>
      <ns0:c r="U145" s="106"/>
      <ns0:c r="V145" s="106"/>
      <ns0:c r="W145" s="106"/>
      <ns0:c r="X145" s="106"/>
      <ns0:c r="Y145" s="106"/>
      <ns0:c r="Z145" s="106"/>
      <ns0:c r="AA145" s="106"/>
      <ns0:c r="AB145" s="106"/>
      <ns0:c r="AC145" s="115"/>
    </ns0:row>
    <ns0:row r="146" s="86" customFormat="1" spans="1:29">
      <ns0:c r="A146" s="106"/>
      <ns0:c r="B146" s="106"/>
      <ns0:c r="C146" s="108"/>
      <ns0:c r="D146" s="109"/>
      <ns0:c r="E146" s="106"/>
      <ns0:c r="F146" s="106"/>
      <ns0:c r="G146" s="106"/>
      <ns0:c r="H146" s="106"/>
      <ns0:c r="I146" s="106"/>
      <ns0:c r="J146" s="106"/>
      <ns0:c r="K146" s="106"/>
      <ns0:c r="L146" s="106"/>
      <ns0:c r="M146" s="106"/>
      <ns0:c r="N146" s="106"/>
      <ns0:c r="O146" s="106"/>
      <ns0:c r="P146" s="106"/>
      <ns0:c r="Q146" s="106"/>
      <ns0:c r="R146" s="106"/>
      <ns0:c r="S146" s="106"/>
      <ns0:c r="T146" s="106"/>
      <ns0:c r="U146" s="106"/>
      <ns0:c r="V146" s="106"/>
      <ns0:c r="W146" s="106"/>
      <ns0:c r="X146" s="106"/>
      <ns0:c r="Y146" s="106"/>
      <ns0:c r="Z146" s="106"/>
      <ns0:c r="AA146" s="106"/>
      <ns0:c r="AB146" s="106"/>
      <ns0:c r="AC146" s="115"/>
    </ns0:row>
    <ns0:row r="147" spans="1:29">
      <ns0:c r="A147" s="106"/>
      <ns0:c r="B147" s="107"/>
      <ns0:c r="C147" s="108"/>
      <ns0:c r="D147" s="109"/>
      <ns0:c r="E147" s="112"/>
      <ns0:c r="F147" s="112"/>
      <ns0:c r="G147" s="112"/>
      <ns0:c r="H147" s="112"/>
      <ns0:c r="I147" s="112"/>
      <ns0:c r="J147" s="112"/>
      <ns0:c r="K147" s="112"/>
      <ns0:c r="L147" s="112"/>
      <ns0:c r="M147" s="112"/>
      <ns0:c r="N147" s="112"/>
      <ns0:c r="O147" s="112"/>
      <ns0:c r="P147" s="112"/>
      <ns0:c r="Q147" s="112"/>
      <ns0:c r="R147" s="112"/>
      <ns0:c r="S147" s="112"/>
      <ns0:c r="T147" s="112"/>
      <ns0:c r="U147" s="112"/>
      <ns0:c r="V147" s="112"/>
      <ns0:c r="W147" s="112"/>
      <ns0:c r="X147" s="112"/>
      <ns0:c r="Y147" s="112"/>
      <ns0:c r="Z147" s="112"/>
      <ns0:c r="AA147" s="112"/>
      <ns0:c r="AB147" s="112"/>
      <ns0:c r="AC147" s="115"/>
    </ns0:row>
    <ns0:row r="148" spans="1:29">
      <ns0:c r="A148" s="106"/>
      <ns0:c r="B148" s="107"/>
      <ns0:c r="C148" s="108"/>
      <ns0:c r="D148" s="109"/>
      <ns0:c r="E148" s="106"/>
      <ns0:c r="F148" s="106"/>
      <ns0:c r="G148" s="106"/>
      <ns0:c r="H148" s="106"/>
      <ns0:c r="I148" s="106"/>
      <ns0:c r="J148" s="106"/>
      <ns0:c r="K148" s="106"/>
      <ns0:c r="L148" s="106"/>
      <ns0:c r="M148" s="106"/>
      <ns0:c r="N148" s="106"/>
      <ns0:c r="O148" s="106"/>
      <ns0:c r="P148" s="106"/>
      <ns0:c r="Q148" s="106"/>
      <ns0:c r="R148" s="106"/>
      <ns0:c r="S148" s="106"/>
      <ns0:c r="T148" s="106"/>
      <ns0:c r="U148" s="106"/>
      <ns0:c r="V148" s="106"/>
      <ns0:c r="W148" s="106"/>
      <ns0:c r="X148" s="106"/>
      <ns0:c r="Y148" s="106"/>
      <ns0:c r="Z148" s="106"/>
      <ns0:c r="AA148" s="106"/>
      <ns0:c r="AB148" s="106"/>
      <ns0:c r="AC148" s="115"/>
    </ns0:row>
    <ns0:row r="149" spans="1:29">
      <ns0:c r="A149" s="106"/>
      <ns0:c r="B149" s="107"/>
      <ns0:c r="C149" s="108"/>
      <ns0:c r="D149" s="109"/>
      <ns0:c r="E149" s="106"/>
      <ns0:c r="F149" s="106"/>
      <ns0:c r="G149" s="106"/>
      <ns0:c r="H149" s="106"/>
      <ns0:c r="I149" s="106"/>
      <ns0:c r="J149" s="106"/>
      <ns0:c r="K149" s="106"/>
      <ns0:c r="L149" s="106"/>
      <ns0:c r="M149" s="106"/>
      <ns0:c r="N149" s="106"/>
      <ns0:c r="O149" s="106"/>
      <ns0:c r="P149" s="106"/>
      <ns0:c r="Q149" s="106"/>
      <ns0:c r="R149" s="106"/>
      <ns0:c r="S149" s="106"/>
      <ns0:c r="T149" s="106"/>
      <ns0:c r="U149" s="106"/>
      <ns0:c r="V149" s="106"/>
      <ns0:c r="W149" s="106"/>
      <ns0:c r="X149" s="106"/>
      <ns0:c r="Y149" s="106"/>
      <ns0:c r="Z149" s="106"/>
      <ns0:c r="AA149" s="106"/>
      <ns0:c r="AB149" s="106"/>
      <ns0:c r="AC149" s="115"/>
    </ns0:row>
    <ns0:row r="150" spans="1:29">
      <ns0:c r="A150" s="106"/>
      <ns0:c r="B150" s="107"/>
      <ns0:c r="C150" s="108"/>
      <ns0:c r="D150" s="109"/>
      <ns0:c r="E150" s="106"/>
      <ns0:c r="F150" s="106"/>
      <ns0:c r="G150" s="106"/>
      <ns0:c r="H150" s="106"/>
      <ns0:c r="I150" s="106"/>
      <ns0:c r="J150" s="106"/>
      <ns0:c r="K150" s="106"/>
      <ns0:c r="L150" s="106"/>
      <ns0:c r="M150" s="106"/>
      <ns0:c r="N150" s="106"/>
      <ns0:c r="O150" s="106"/>
      <ns0:c r="P150" s="106"/>
      <ns0:c r="Q150" s="106"/>
      <ns0:c r="R150" s="106"/>
      <ns0:c r="S150" s="106"/>
      <ns0:c r="T150" s="106"/>
      <ns0:c r="U150" s="106"/>
      <ns0:c r="V150" s="106"/>
      <ns0:c r="W150" s="106"/>
      <ns0:c r="X150" s="106"/>
      <ns0:c r="Y150" s="106"/>
      <ns0:c r="Z150" s="106"/>
      <ns0:c r="AA150" s="106"/>
      <ns0:c r="AB150" s="106"/>
      <ns0:c r="AC150" s="115"/>
    </ns0:row>
    <ns0:row r="151" spans="1:29">
      <ns0:c r="A151" s="106"/>
      <ns0:c r="B151" s="107"/>
      <ns0:c r="C151" s="108"/>
      <ns0:c r="D151" s="109"/>
      <ns0:c r="E151" s="106"/>
      <ns0:c r="F151" s="106"/>
      <ns0:c r="G151" s="106"/>
      <ns0:c r="H151" s="106"/>
      <ns0:c r="I151" s="106"/>
      <ns0:c r="J151" s="106"/>
      <ns0:c r="K151" s="106"/>
      <ns0:c r="L151" s="106"/>
      <ns0:c r="M151" s="106"/>
      <ns0:c r="N151" s="106"/>
      <ns0:c r="O151" s="106"/>
      <ns0:c r="P151" s="106"/>
      <ns0:c r="Q151" s="106"/>
      <ns0:c r="R151" s="106"/>
      <ns0:c r="S151" s="106"/>
      <ns0:c r="T151" s="106"/>
      <ns0:c r="U151" s="106"/>
      <ns0:c r="V151" s="106"/>
      <ns0:c r="W151" s="106"/>
      <ns0:c r="X151" s="106"/>
      <ns0:c r="Y151" s="106"/>
      <ns0:c r="Z151" s="106"/>
      <ns0:c r="AA151" s="106"/>
      <ns0:c r="AB151" s="106"/>
      <ns0:c r="AC151" s="115"/>
    </ns0:row>
    <ns0:row r="152" spans="1:29">
      <ns0:c r="A152" s="106"/>
      <ns0:c r="B152" s="107"/>
      <ns0:c r="C152" s="108"/>
      <ns0:c r="D152" s="109"/>
      <ns0:c r="E152" s="106"/>
      <ns0:c r="F152" s="106"/>
      <ns0:c r="G152" s="106"/>
      <ns0:c r="H152" s="106"/>
      <ns0:c r="I152" s="106"/>
      <ns0:c r="J152" s="106"/>
      <ns0:c r="K152" s="106"/>
      <ns0:c r="L152" s="106"/>
      <ns0:c r="M152" s="106"/>
      <ns0:c r="N152" s="106"/>
      <ns0:c r="O152" s="106"/>
      <ns0:c r="P152" s="106"/>
      <ns0:c r="Q152" s="106"/>
      <ns0:c r="R152" s="106"/>
      <ns0:c r="S152" s="106"/>
      <ns0:c r="T152" s="106"/>
      <ns0:c r="U152" s="106"/>
      <ns0:c r="V152" s="106"/>
      <ns0:c r="W152" s="106"/>
      <ns0:c r="X152" s="106"/>
      <ns0:c r="Y152" s="106"/>
      <ns0:c r="Z152" s="106"/>
      <ns0:c r="AA152" s="106"/>
      <ns0:c r="AB152" s="106"/>
      <ns0:c r="AC152" s="115"/>
    </ns0:row>
    <ns0:row r="153" spans="1:29">
      <ns0:c r="A153" s="106"/>
      <ns0:c r="B153" s="107"/>
      <ns0:c r="C153" s="108"/>
      <ns0:c r="D153" s="109"/>
      <ns0:c r="E153" s="106"/>
      <ns0:c r="F153" s="106"/>
      <ns0:c r="G153" s="106"/>
      <ns0:c r="H153" s="106"/>
      <ns0:c r="I153" s="106"/>
      <ns0:c r="J153" s="106"/>
      <ns0:c r="K153" s="106"/>
      <ns0:c r="L153" s="106"/>
      <ns0:c r="M153" s="106"/>
      <ns0:c r="N153" s="106"/>
      <ns0:c r="O153" s="106"/>
      <ns0:c r="P153" s="106"/>
      <ns0:c r="Q153" s="106"/>
      <ns0:c r="R153" s="106"/>
      <ns0:c r="S153" s="106"/>
      <ns0:c r="T153" s="106"/>
      <ns0:c r="U153" s="106"/>
      <ns0:c r="V153" s="106"/>
      <ns0:c r="W153" s="106"/>
      <ns0:c r="X153" s="106"/>
      <ns0:c r="Y153" s="106"/>
      <ns0:c r="Z153" s="106"/>
      <ns0:c r="AA153" s="106"/>
      <ns0:c r="AB153" s="106"/>
      <ns0:c r="AC153" s="115"/>
    </ns0:row>
    <ns0:row r="154" spans="1:29">
      <ns0:c r="A154" s="106"/>
      <ns0:c r="B154" s="107"/>
      <ns0:c r="C154" s="108"/>
      <ns0:c r="D154" s="109"/>
      <ns0:c r="E154" s="106"/>
      <ns0:c r="F154" s="106"/>
      <ns0:c r="G154" s="106"/>
      <ns0:c r="H154" s="106"/>
      <ns0:c r="I154" s="106"/>
      <ns0:c r="J154" s="106"/>
      <ns0:c r="K154" s="106"/>
      <ns0:c r="L154" s="106"/>
      <ns0:c r="M154" s="106"/>
      <ns0:c r="N154" s="106"/>
      <ns0:c r="O154" s="106"/>
      <ns0:c r="P154" s="106"/>
      <ns0:c r="Q154" s="106"/>
      <ns0:c r="R154" s="106"/>
      <ns0:c r="S154" s="106"/>
      <ns0:c r="T154" s="106"/>
      <ns0:c r="U154" s="106"/>
      <ns0:c r="V154" s="106"/>
      <ns0:c r="W154" s="106"/>
      <ns0:c r="X154" s="106"/>
      <ns0:c r="Y154" s="106"/>
      <ns0:c r="Z154" s="106"/>
      <ns0:c r="AA154" s="106"/>
      <ns0:c r="AB154" s="106"/>
      <ns0:c r="AC154" s="115"/>
    </ns0:row>
    <ns0:row r="155" spans="1:29">
      <ns0:c r="A155" s="106"/>
      <ns0:c r="B155" s="110"/>
      <ns0:c r="C155" s="110"/>
      <ns0:c r="D155" s="109"/>
      <ns0:c r="E155" s="106"/>
      <ns0:c r="F155" s="106"/>
      <ns0:c r="G155" s="106"/>
      <ns0:c r="H155" s="106"/>
      <ns0:c r="I155" s="106"/>
      <ns0:c r="J155" s="106"/>
      <ns0:c r="K155" s="106"/>
      <ns0:c r="L155" s="106"/>
      <ns0:c r="M155" s="106"/>
      <ns0:c r="N155" s="106"/>
      <ns0:c r="O155" s="106"/>
      <ns0:c r="P155" s="106"/>
      <ns0:c r="Q155" s="106"/>
      <ns0:c r="R155" s="106"/>
      <ns0:c r="S155" s="106"/>
      <ns0:c r="T155" s="106"/>
      <ns0:c r="U155" s="106"/>
      <ns0:c r="V155" s="106"/>
      <ns0:c r="W155" s="106"/>
      <ns0:c r="X155" s="106"/>
      <ns0:c r="Y155" s="106"/>
      <ns0:c r="Z155" s="106"/>
      <ns0:c r="AA155" s="106"/>
      <ns0:c r="AB155" s="106"/>
      <ns0:c r="AC155" s="115"/>
    </ns0:row>
    <ns0:row r="156" spans="1:29">
      <ns0:c r="A156" s="106"/>
      <ns0:c r="B156" s="107"/>
      <ns0:c r="C156" s="108"/>
      <ns0:c r="D156" s="109"/>
      <ns0:c r="E156" s="106"/>
      <ns0:c r="F156" s="106"/>
      <ns0:c r="G156" s="106"/>
      <ns0:c r="H156" s="106"/>
      <ns0:c r="I156" s="106"/>
      <ns0:c r="J156" s="106"/>
      <ns0:c r="K156" s="106"/>
      <ns0:c r="L156" s="106"/>
      <ns0:c r="M156" s="106"/>
      <ns0:c r="N156" s="106"/>
      <ns0:c r="O156" s="106"/>
      <ns0:c r="P156" s="106"/>
      <ns0:c r="Q156" s="106"/>
      <ns0:c r="R156" s="106"/>
      <ns0:c r="S156" s="106"/>
      <ns0:c r="T156" s="106"/>
      <ns0:c r="U156" s="106"/>
      <ns0:c r="V156" s="106"/>
      <ns0:c r="W156" s="106"/>
      <ns0:c r="X156" s="106"/>
      <ns0:c r="Y156" s="106"/>
      <ns0:c r="Z156" s="106"/>
      <ns0:c r="AA156" s="106"/>
      <ns0:c r="AB156" s="106"/>
      <ns0:c r="AC156" s="115"/>
    </ns0:row>
    <ns0:row r="157" spans="1:29">
      <ns0:c r="A157" s="106"/>
      <ns0:c r="B157" s="107"/>
      <ns0:c r="C157" s="108"/>
      <ns0:c r="D157" s="109"/>
      <ns0:c r="E157" s="106"/>
      <ns0:c r="F157" s="106"/>
      <ns0:c r="G157" s="106"/>
      <ns0:c r="H157" s="106"/>
      <ns0:c r="I157" s="106"/>
      <ns0:c r="J157" s="106"/>
      <ns0:c r="K157" s="106"/>
      <ns0:c r="L157" s="106"/>
      <ns0:c r="M157" s="106"/>
      <ns0:c r="N157" s="106"/>
      <ns0:c r="O157" s="106"/>
      <ns0:c r="P157" s="106"/>
      <ns0:c r="Q157" s="106"/>
      <ns0:c r="R157" s="106"/>
      <ns0:c r="S157" s="106"/>
      <ns0:c r="T157" s="106"/>
      <ns0:c r="U157" s="106"/>
      <ns0:c r="V157" s="106"/>
      <ns0:c r="W157" s="106"/>
      <ns0:c r="X157" s="106"/>
      <ns0:c r="Y157" s="106"/>
      <ns0:c r="Z157" s="106"/>
      <ns0:c r="AA157" s="106"/>
      <ns0:c r="AB157" s="106"/>
      <ns0:c r="AC157" s="115"/>
    </ns0:row>
    <ns0:row r="158" spans="1:29">
      <ns0:c r="A158" s="106"/>
      <ns0:c r="B158" s="107"/>
      <ns0:c r="C158" s="108"/>
      <ns0:c r="D158" s="109"/>
      <ns0:c r="E158" s="106"/>
      <ns0:c r="F158" s="106"/>
      <ns0:c r="G158" s="106"/>
      <ns0:c r="H158" s="106"/>
      <ns0:c r="I158" s="106"/>
      <ns0:c r="J158" s="106"/>
      <ns0:c r="K158" s="106"/>
      <ns0:c r="L158" s="106"/>
      <ns0:c r="M158" s="106"/>
      <ns0:c r="N158" s="106"/>
      <ns0:c r="O158" s="106"/>
      <ns0:c r="P158" s="106"/>
      <ns0:c r="Q158" s="106"/>
      <ns0:c r="R158" s="106"/>
      <ns0:c r="S158" s="106"/>
      <ns0:c r="T158" s="106"/>
      <ns0:c r="U158" s="106"/>
      <ns0:c r="V158" s="106"/>
      <ns0:c r="W158" s="106"/>
      <ns0:c r="X158" s="106"/>
      <ns0:c r="Y158" s="106"/>
      <ns0:c r="Z158" s="106"/>
      <ns0:c r="AA158" s="106"/>
      <ns0:c r="AB158" s="106"/>
      <ns0:c r="AC158" s="115"/>
    </ns0:row>
    <ns0:row r="159" s="86" customFormat="1" spans="1:29">
      <ns0:c r="A159" s="106"/>
      <ns0:c r="B159" s="106"/>
      <ns0:c r="C159" s="106"/>
      <ns0:c r="D159" s="109"/>
      <ns0:c r="E159" s="106"/>
      <ns0:c r="F159" s="106"/>
      <ns0:c r="G159" s="106"/>
      <ns0:c r="H159" s="106"/>
      <ns0:c r="I159" s="106"/>
      <ns0:c r="J159" s="106"/>
      <ns0:c r="K159" s="106"/>
      <ns0:c r="L159" s="106"/>
      <ns0:c r="M159" s="106"/>
      <ns0:c r="N159" s="106"/>
      <ns0:c r="O159" s="106"/>
      <ns0:c r="P159" s="106"/>
      <ns0:c r="Q159" s="106"/>
      <ns0:c r="R159" s="106"/>
      <ns0:c r="S159" s="106"/>
      <ns0:c r="T159" s="106"/>
      <ns0:c r="U159" s="106"/>
      <ns0:c r="V159" s="106"/>
      <ns0:c r="W159" s="106"/>
      <ns0:c r="X159" s="106"/>
      <ns0:c r="Y159" s="106"/>
      <ns0:c r="Z159" s="106"/>
      <ns0:c r="AA159" s="106"/>
      <ns0:c r="AB159" s="106"/>
      <ns0:c r="AC159" s="115"/>
    </ns0:row>
    <ns0:row r="160" spans="1:29">
      <ns0:c r="A160" s="106"/>
      <ns0:c r="B160" s="107"/>
      <ns0:c r="C160" s="108"/>
      <ns0:c r="D160" s="109"/>
      <ns0:c r="E160" s="106"/>
      <ns0:c r="F160" s="106"/>
      <ns0:c r="G160" s="106"/>
      <ns0:c r="H160" s="106"/>
      <ns0:c r="I160" s="106"/>
      <ns0:c r="J160" s="106"/>
      <ns0:c r="K160" s="106"/>
      <ns0:c r="L160" s="106"/>
      <ns0:c r="M160" s="106"/>
      <ns0:c r="N160" s="106"/>
      <ns0:c r="O160" s="106"/>
      <ns0:c r="P160" s="106"/>
      <ns0:c r="Q160" s="106"/>
      <ns0:c r="R160" s="106"/>
      <ns0:c r="S160" s="106"/>
      <ns0:c r="T160" s="106"/>
      <ns0:c r="U160" s="106"/>
      <ns0:c r="V160" s="106"/>
      <ns0:c r="W160" s="106"/>
      <ns0:c r="X160" s="106"/>
      <ns0:c r="Y160" s="106"/>
      <ns0:c r="Z160" s="106"/>
      <ns0:c r="AA160" s="106"/>
      <ns0:c r="AB160" s="106"/>
      <ns0:c r="AC160" s="115"/>
    </ns0:row>
    <ns0:row r="161" spans="1:29">
      <ns0:c r="A161" s="106"/>
      <ns0:c r="B161" s="107"/>
      <ns0:c r="C161" s="108"/>
      <ns0:c r="D161" s="109"/>
      <ns0:c r="E161" s="112"/>
      <ns0:c r="F161" s="112"/>
      <ns0:c r="G161" s="112"/>
      <ns0:c r="H161" s="112"/>
      <ns0:c r="I161" s="112"/>
      <ns0:c r="J161" s="112"/>
      <ns0:c r="K161" s="112"/>
      <ns0:c r="L161" s="112"/>
      <ns0:c r="M161" s="112"/>
      <ns0:c r="N161" s="112"/>
      <ns0:c r="O161" s="112"/>
      <ns0:c r="P161" s="112"/>
      <ns0:c r="Q161" s="112"/>
      <ns0:c r="R161" s="112"/>
      <ns0:c r="S161" s="112"/>
      <ns0:c r="T161" s="112"/>
      <ns0:c r="U161" s="112"/>
      <ns0:c r="V161" s="112"/>
      <ns0:c r="W161" s="112"/>
      <ns0:c r="X161" s="112"/>
      <ns0:c r="Y161" s="112"/>
      <ns0:c r="Z161" s="112"/>
      <ns0:c r="AA161" s="112"/>
      <ns0:c r="AB161" s="112"/>
      <ns0:c r="AC161" s="115"/>
    </ns0:row>
    <ns0:row r="162" spans="1:29">
      <ns0:c r="A162" s="106"/>
      <ns0:c r="B162" s="107"/>
      <ns0:c r="C162" s="108"/>
      <ns0:c r="D162" s="109"/>
      <ns0:c r="E162" s="106"/>
      <ns0:c r="F162" s="106"/>
      <ns0:c r="G162" s="106"/>
      <ns0:c r="H162" s="106"/>
      <ns0:c r="I162" s="106"/>
      <ns0:c r="J162" s="106"/>
      <ns0:c r="K162" s="106"/>
      <ns0:c r="L162" s="106"/>
      <ns0:c r="M162" s="106"/>
      <ns0:c r="N162" s="106"/>
      <ns0:c r="O162" s="106"/>
      <ns0:c r="P162" s="106"/>
      <ns0:c r="Q162" s="106"/>
      <ns0:c r="R162" s="106"/>
      <ns0:c r="S162" s="106"/>
      <ns0:c r="T162" s="106"/>
      <ns0:c r="U162" s="106"/>
      <ns0:c r="V162" s="106"/>
      <ns0:c r="W162" s="106"/>
      <ns0:c r="X162" s="106"/>
      <ns0:c r="Y162" s="106"/>
      <ns0:c r="Z162" s="106"/>
      <ns0:c r="AA162" s="106"/>
      <ns0:c r="AB162" s="106"/>
      <ns0:c r="AC162" s="115"/>
    </ns0:row>
    <ns0:row r="163" spans="1:29">
      <ns0:c r="A163" s="106"/>
      <ns0:c r="B163" s="107"/>
      <ns0:c r="C163" s="108"/>
      <ns0:c r="D163" s="109"/>
      <ns0:c r="E163" s="106"/>
      <ns0:c r="F163" s="106"/>
      <ns0:c r="G163" s="106"/>
      <ns0:c r="H163" s="106"/>
      <ns0:c r="I163" s="106"/>
      <ns0:c r="J163" s="106"/>
      <ns0:c r="K163" s="106"/>
      <ns0:c r="L163" s="106"/>
      <ns0:c r="M163" s="106"/>
      <ns0:c r="N163" s="106"/>
      <ns0:c r="O163" s="106"/>
      <ns0:c r="P163" s="106"/>
      <ns0:c r="Q163" s="106"/>
      <ns0:c r="R163" s="106"/>
      <ns0:c r="S163" s="106"/>
      <ns0:c r="T163" s="106"/>
      <ns0:c r="U163" s="106"/>
      <ns0:c r="V163" s="106"/>
      <ns0:c r="W163" s="106"/>
      <ns0:c r="X163" s="106"/>
      <ns0:c r="Y163" s="106"/>
      <ns0:c r="Z163" s="106"/>
      <ns0:c r="AA163" s="106"/>
      <ns0:c r="AB163" s="106"/>
      <ns0:c r="AC163" s="115"/>
    </ns0:row>
    <ns0:row r="164" spans="1:29">
      <ns0:c r="A164" s="106"/>
      <ns0:c r="B164" s="107"/>
      <ns0:c r="C164" s="108"/>
      <ns0:c r="D164" s="109"/>
      <ns0:c r="E164" s="106"/>
      <ns0:c r="F164" s="106"/>
      <ns0:c r="G164" s="106"/>
      <ns0:c r="H164" s="106"/>
      <ns0:c r="I164" s="106"/>
      <ns0:c r="J164" s="106"/>
      <ns0:c r="K164" s="106"/>
      <ns0:c r="L164" s="106"/>
      <ns0:c r="M164" s="106"/>
      <ns0:c r="N164" s="106"/>
      <ns0:c r="O164" s="106"/>
      <ns0:c r="P164" s="106"/>
      <ns0:c r="Q164" s="106"/>
      <ns0:c r="R164" s="106"/>
      <ns0:c r="S164" s="106"/>
      <ns0:c r="T164" s="106"/>
      <ns0:c r="U164" s="106"/>
      <ns0:c r="V164" s="106"/>
      <ns0:c r="W164" s="106"/>
      <ns0:c r="X164" s="106"/>
      <ns0:c r="Y164" s="106"/>
      <ns0:c r="Z164" s="106"/>
      <ns0:c r="AA164" s="106"/>
      <ns0:c r="AB164" s="106"/>
      <ns0:c r="AC164" s="115"/>
    </ns0:row>
    <ns0:row r="165" spans="1:29">
      <ns0:c r="A165" s="106"/>
      <ns0:c r="B165" s="107"/>
      <ns0:c r="C165" s="108"/>
      <ns0:c r="D165" s="109"/>
      <ns0:c r="E165" s="106"/>
      <ns0:c r="F165" s="106"/>
      <ns0:c r="G165" s="106"/>
      <ns0:c r="H165" s="106"/>
      <ns0:c r="I165" s="106"/>
      <ns0:c r="J165" s="106"/>
      <ns0:c r="K165" s="106"/>
      <ns0:c r="L165" s="106"/>
      <ns0:c r="M165" s="106"/>
      <ns0:c r="N165" s="106"/>
      <ns0:c r="O165" s="106"/>
      <ns0:c r="P165" s="106"/>
      <ns0:c r="Q165" s="106"/>
      <ns0:c r="R165" s="106"/>
      <ns0:c r="S165" s="106"/>
      <ns0:c r="T165" s="106"/>
      <ns0:c r="U165" s="106"/>
      <ns0:c r="V165" s="106"/>
      <ns0:c r="W165" s="106"/>
      <ns0:c r="X165" s="106"/>
      <ns0:c r="Y165" s="106"/>
      <ns0:c r="Z165" s="106"/>
      <ns0:c r="AA165" s="106"/>
      <ns0:c r="AB165" s="106"/>
      <ns0:c r="AC165" s="115"/>
    </ns0:row>
    <ns0:row r="166" spans="1:29">
      <ns0:c r="A166" s="106"/>
      <ns0:c r="B166" s="107"/>
      <ns0:c r="C166" s="108"/>
      <ns0:c r="D166" s="109"/>
      <ns0:c r="E166" s="106"/>
      <ns0:c r="F166" s="106"/>
      <ns0:c r="G166" s="106"/>
      <ns0:c r="H166" s="106"/>
      <ns0:c r="I166" s="106"/>
      <ns0:c r="J166" s="106"/>
      <ns0:c r="K166" s="106"/>
      <ns0:c r="L166" s="106"/>
      <ns0:c r="M166" s="106"/>
      <ns0:c r="N166" s="106"/>
      <ns0:c r="O166" s="106"/>
      <ns0:c r="P166" s="106"/>
      <ns0:c r="Q166" s="106"/>
      <ns0:c r="R166" s="106"/>
      <ns0:c r="S166" s="106"/>
      <ns0:c r="T166" s="106"/>
      <ns0:c r="U166" s="106"/>
      <ns0:c r="V166" s="106"/>
      <ns0:c r="W166" s="106"/>
      <ns0:c r="X166" s="106"/>
      <ns0:c r="Y166" s="106"/>
      <ns0:c r="Z166" s="106"/>
      <ns0:c r="AA166" s="106"/>
      <ns0:c r="AB166" s="106"/>
      <ns0:c r="AC166" s="115"/>
    </ns0:row>
    <ns0:row r="167" spans="1:29">
      <ns0:c r="A167" s="106"/>
      <ns0:c r="B167" s="107"/>
      <ns0:c r="C167" s="108"/>
      <ns0:c r="D167" s="109"/>
      <ns0:c r="E167" s="106"/>
      <ns0:c r="F167" s="106"/>
      <ns0:c r="G167" s="106"/>
      <ns0:c r="H167" s="106"/>
      <ns0:c r="I167" s="106"/>
      <ns0:c r="J167" s="106"/>
      <ns0:c r="K167" s="106"/>
      <ns0:c r="L167" s="106"/>
      <ns0:c r="M167" s="106"/>
      <ns0:c r="N167" s="106"/>
      <ns0:c r="O167" s="106"/>
      <ns0:c r="P167" s="106"/>
      <ns0:c r="Q167" s="106"/>
      <ns0:c r="R167" s="106"/>
      <ns0:c r="S167" s="106"/>
      <ns0:c r="T167" s="106"/>
      <ns0:c r="U167" s="106"/>
      <ns0:c r="V167" s="106"/>
      <ns0:c r="W167" s="106"/>
      <ns0:c r="X167" s="106"/>
      <ns0:c r="Y167" s="106"/>
      <ns0:c r="Z167" s="106"/>
      <ns0:c r="AA167" s="106"/>
      <ns0:c r="AB167" s="106"/>
      <ns0:c r="AC167" s="115"/>
    </ns0:row>
    <ns0:row r="168" spans="1:29">
      <ns0:c r="A168" s="106"/>
      <ns0:c r="B168" s="110"/>
      <ns0:c r="C168" s="110"/>
      <ns0:c r="D168" s="109"/>
      <ns0:c r="E168" s="106"/>
      <ns0:c r="F168" s="106"/>
      <ns0:c r="G168" s="106"/>
      <ns0:c r="H168" s="106"/>
      <ns0:c r="I168" s="106"/>
      <ns0:c r="J168" s="106"/>
      <ns0:c r="K168" s="106"/>
      <ns0:c r="L168" s="106"/>
      <ns0:c r="M168" s="106"/>
      <ns0:c r="N168" s="106"/>
      <ns0:c r="O168" s="106"/>
      <ns0:c r="P168" s="106"/>
      <ns0:c r="Q168" s="106"/>
      <ns0:c r="R168" s="106"/>
      <ns0:c r="S168" s="106"/>
      <ns0:c r="T168" s="106"/>
      <ns0:c r="U168" s="106"/>
      <ns0:c r="V168" s="106"/>
      <ns0:c r="W168" s="106"/>
      <ns0:c r="X168" s="106"/>
      <ns0:c r="Y168" s="106"/>
      <ns0:c r="Z168" s="106"/>
      <ns0:c r="AA168" s="106"/>
      <ns0:c r="AB168" s="106"/>
      <ns0:c r="AC168" s="115"/>
    </ns0:row>
    <ns0:row r="169" spans="1:29">
      <ns0:c r="A169" s="106"/>
      <ns0:c r="B169" s="107"/>
      <ns0:c r="C169" s="108"/>
      <ns0:c r="D169" s="109"/>
      <ns0:c r="E169" s="106"/>
      <ns0:c r="F169" s="106"/>
      <ns0:c r="G169" s="106"/>
      <ns0:c r="H169" s="106"/>
      <ns0:c r="I169" s="106"/>
      <ns0:c r="J169" s="106"/>
      <ns0:c r="K169" s="106"/>
      <ns0:c r="L169" s="106"/>
      <ns0:c r="M169" s="106"/>
      <ns0:c r="N169" s="106"/>
      <ns0:c r="O169" s="106"/>
      <ns0:c r="P169" s="106"/>
      <ns0:c r="Q169" s="106"/>
      <ns0:c r="R169" s="106"/>
      <ns0:c r="S169" s="106"/>
      <ns0:c r="T169" s="106"/>
      <ns0:c r="U169" s="106"/>
      <ns0:c r="V169" s="106"/>
      <ns0:c r="W169" s="106"/>
      <ns0:c r="X169" s="106"/>
      <ns0:c r="Y169" s="106"/>
      <ns0:c r="Z169" s="106"/>
      <ns0:c r="AA169" s="106"/>
      <ns0:c r="AB169" s="106"/>
      <ns0:c r="AC169" s="115"/>
    </ns0:row>
    <ns0:row r="170" spans="1:29">
      <ns0:c r="A170" s="106"/>
      <ns0:c r="B170" s="107"/>
      <ns0:c r="C170" s="108"/>
      <ns0:c r="D170" s="109"/>
      <ns0:c r="E170" s="106"/>
      <ns0:c r="F170" s="106"/>
      <ns0:c r="G170" s="106"/>
      <ns0:c r="H170" s="106"/>
      <ns0:c r="I170" s="106"/>
      <ns0:c r="J170" s="106"/>
      <ns0:c r="K170" s="106"/>
      <ns0:c r="L170" s="106"/>
      <ns0:c r="M170" s="106"/>
      <ns0:c r="N170" s="106"/>
      <ns0:c r="O170" s="106"/>
      <ns0:c r="P170" s="106"/>
      <ns0:c r="Q170" s="106"/>
      <ns0:c r="R170" s="106"/>
      <ns0:c r="S170" s="106"/>
      <ns0:c r="T170" s="106"/>
      <ns0:c r="U170" s="106"/>
      <ns0:c r="V170" s="106"/>
      <ns0:c r="W170" s="106"/>
      <ns0:c r="X170" s="106"/>
      <ns0:c r="Y170" s="106"/>
      <ns0:c r="Z170" s="106"/>
      <ns0:c r="AA170" s="106"/>
      <ns0:c r="AB170" s="106"/>
      <ns0:c r="AC170" s="115"/>
    </ns0:row>
    <ns0:row r="171" spans="1:29">
      <ns0:c r="A171" s="106"/>
      <ns0:c r="B171" s="107"/>
      <ns0:c r="C171" s="108"/>
      <ns0:c r="D171" s="109"/>
      <ns0:c r="E171" s="106"/>
      <ns0:c r="F171" s="106"/>
      <ns0:c r="G171" s="106"/>
      <ns0:c r="H171" s="106"/>
      <ns0:c r="I171" s="106"/>
      <ns0:c r="J171" s="106"/>
      <ns0:c r="K171" s="106"/>
      <ns0:c r="L171" s="106"/>
      <ns0:c r="M171" s="106"/>
      <ns0:c r="N171" s="106"/>
      <ns0:c r="O171" s="106"/>
      <ns0:c r="P171" s="106"/>
      <ns0:c r="Q171" s="106"/>
      <ns0:c r="R171" s="106"/>
      <ns0:c r="S171" s="106"/>
      <ns0:c r="T171" s="106"/>
      <ns0:c r="U171" s="106"/>
      <ns0:c r="V171" s="106"/>
      <ns0:c r="W171" s="106"/>
      <ns0:c r="X171" s="106"/>
      <ns0:c r="Y171" s="106"/>
      <ns0:c r="Z171" s="106"/>
      <ns0:c r="AA171" s="106"/>
      <ns0:c r="AB171" s="106"/>
      <ns0:c r="AC171" s="115"/>
    </ns0:row>
    <ns0:row r="172" s="86" customFormat="1" spans="1:29">
      <ns0:c r="A172" s="106"/>
      <ns0:c r="B172" s="106"/>
      <ns0:c r="C172" s="106"/>
      <ns0:c r="D172" s="109"/>
      <ns0:c r="E172" s="106"/>
      <ns0:c r="F172" s="106"/>
      <ns0:c r="G172" s="106"/>
      <ns0:c r="H172" s="106"/>
      <ns0:c r="I172" s="106"/>
      <ns0:c r="J172" s="106"/>
      <ns0:c r="K172" s="106"/>
      <ns0:c r="L172" s="106"/>
      <ns0:c r="M172" s="106"/>
      <ns0:c r="N172" s="106"/>
      <ns0:c r="O172" s="106"/>
      <ns0:c r="P172" s="106"/>
      <ns0:c r="Q172" s="106"/>
      <ns0:c r="R172" s="106"/>
      <ns0:c r="S172" s="106"/>
      <ns0:c r="T172" s="106"/>
      <ns0:c r="U172" s="106"/>
      <ns0:c r="V172" s="106"/>
      <ns0:c r="W172" s="106"/>
      <ns0:c r="X172" s="106"/>
      <ns0:c r="Y172" s="106"/>
      <ns0:c r="Z172" s="106"/>
      <ns0:c r="AA172" s="106"/>
      <ns0:c r="AB172" s="106"/>
      <ns0:c r="AC172" s="115"/>
    </ns0:row>
    <ns0:row r="173" ht="17.6" spans="1:29">
      <ns0:c r="A173" s="106"/>
      <ns0:c r="B173" s="107"/>
      <ns0:c r="C173" s="108"/>
      <ns0:c r="D173" s="109"/>
      <ns0:c r="E173" s="114"/>
      <ns0:c r="F173" s="114"/>
      <ns0:c r="G173" s="114"/>
      <ns0:c r="H173" s="114"/>
      <ns0:c r="I173" s="114"/>
      <ns0:c r="J173" s="114"/>
      <ns0:c r="K173" s="114"/>
      <ns0:c r="L173" s="114"/>
      <ns0:c r="M173" s="114"/>
      <ns0:c r="N173" s="114"/>
      <ns0:c r="O173" s="114"/>
      <ns0:c r="P173" s="114"/>
      <ns0:c r="Q173" s="114"/>
      <ns0:c r="R173" s="114"/>
      <ns0:c r="S173" s="114"/>
      <ns0:c r="T173" s="114"/>
      <ns0:c r="U173" s="114"/>
      <ns0:c r="V173" s="114"/>
      <ns0:c r="W173" s="114"/>
      <ns0:c r="X173" s="114"/>
      <ns0:c r="Y173" s="114"/>
      <ns0:c r="Z173" s="114"/>
      <ns0:c r="AA173" s="114"/>
      <ns0:c r="AB173" s="114"/>
      <ns0:c r="AC173" s="115"/>
    </ns0:row>
    <ns0:row r="174" spans="1:29">
      <ns0:c r="A174" s="106"/>
      <ns0:c r="B174" s="107"/>
      <ns0:c r="C174" s="108"/>
      <ns0:c r="D174" s="109"/>
      <ns0:c r="E174" s="106"/>
      <ns0:c r="F174" s="106"/>
      <ns0:c r="G174" s="106"/>
      <ns0:c r="H174" s="106"/>
      <ns0:c r="I174" s="106"/>
      <ns0:c r="J174" s="106"/>
      <ns0:c r="K174" s="106"/>
      <ns0:c r="L174" s="106"/>
      <ns0:c r="M174" s="106"/>
      <ns0:c r="N174" s="106"/>
      <ns0:c r="O174" s="106"/>
      <ns0:c r="P174" s="106"/>
      <ns0:c r="Q174" s="106"/>
      <ns0:c r="R174" s="106"/>
      <ns0:c r="S174" s="106"/>
      <ns0:c r="T174" s="106"/>
      <ns0:c r="U174" s="106"/>
      <ns0:c r="V174" s="106"/>
      <ns0:c r="W174" s="106"/>
      <ns0:c r="X174" s="106"/>
      <ns0:c r="Y174" s="106"/>
      <ns0:c r="Z174" s="106"/>
      <ns0:c r="AA174" s="106"/>
      <ns0:c r="AB174" s="106"/>
      <ns0:c r="AC174" s="115"/>
    </ns0:row>
    <ns0:row r="175" spans="1:29">
      <ns0:c r="A175" s="106"/>
      <ns0:c r="B175" s="107"/>
      <ns0:c r="C175" s="108"/>
      <ns0:c r="D175" s="109"/>
      <ns0:c r="E175" s="106"/>
      <ns0:c r="F175" s="106"/>
      <ns0:c r="G175" s="106"/>
      <ns0:c r="H175" s="106"/>
      <ns0:c r="I175" s="106"/>
      <ns0:c r="J175" s="106"/>
      <ns0:c r="K175" s="106"/>
      <ns0:c r="L175" s="106"/>
      <ns0:c r="M175" s="106"/>
      <ns0:c r="N175" s="106"/>
      <ns0:c r="O175" s="106"/>
      <ns0:c r="P175" s="106"/>
      <ns0:c r="Q175" s="106"/>
      <ns0:c r="R175" s="106"/>
      <ns0:c r="S175" s="106"/>
      <ns0:c r="T175" s="106"/>
      <ns0:c r="U175" s="106"/>
      <ns0:c r="V175" s="106"/>
      <ns0:c r="W175" s="106"/>
      <ns0:c r="X175" s="106"/>
      <ns0:c r="Y175" s="106"/>
      <ns0:c r="Z175" s="106"/>
      <ns0:c r="AA175" s="106"/>
      <ns0:c r="AB175" s="106"/>
      <ns0:c r="AC175" s="115"/>
    </ns0:row>
    <ns0:row r="176" spans="1:29">
      <ns0:c r="A176" s="106"/>
      <ns0:c r="B176" s="107"/>
      <ns0:c r="C176" s="108"/>
      <ns0:c r="D176" s="109"/>
      <ns0:c r="E176" s="106"/>
      <ns0:c r="F176" s="106"/>
      <ns0:c r="G176" s="106"/>
      <ns0:c r="H176" s="106"/>
      <ns0:c r="I176" s="106"/>
      <ns0:c r="J176" s="106"/>
      <ns0:c r="K176" s="106"/>
      <ns0:c r="L176" s="106"/>
      <ns0:c r="M176" s="106"/>
      <ns0:c r="N176" s="106"/>
      <ns0:c r="O176" s="106"/>
      <ns0:c r="P176" s="106"/>
      <ns0:c r="Q176" s="106"/>
      <ns0:c r="R176" s="106"/>
      <ns0:c r="S176" s="106"/>
      <ns0:c r="T176" s="106"/>
      <ns0:c r="U176" s="106"/>
      <ns0:c r="V176" s="106"/>
      <ns0:c r="W176" s="106"/>
      <ns0:c r="X176" s="106"/>
      <ns0:c r="Y176" s="106"/>
      <ns0:c r="Z176" s="106"/>
      <ns0:c r="AA176" s="106"/>
      <ns0:c r="AB176" s="106"/>
      <ns0:c r="AC176" s="115"/>
    </ns0:row>
    <ns0:row r="177" spans="1:29">
      <ns0:c r="A177" s="106"/>
      <ns0:c r="B177" s="107"/>
      <ns0:c r="C177" s="108"/>
      <ns0:c r="D177" s="109"/>
      <ns0:c r="E177" s="106"/>
      <ns0:c r="F177" s="106"/>
      <ns0:c r="G177" s="106"/>
      <ns0:c r="H177" s="106"/>
      <ns0:c r="I177" s="106"/>
      <ns0:c r="J177" s="106"/>
      <ns0:c r="K177" s="106"/>
      <ns0:c r="L177" s="106"/>
      <ns0:c r="M177" s="106"/>
      <ns0:c r="N177" s="106"/>
      <ns0:c r="O177" s="106"/>
      <ns0:c r="P177" s="106"/>
      <ns0:c r="Q177" s="106"/>
      <ns0:c r="R177" s="106"/>
      <ns0:c r="S177" s="106"/>
      <ns0:c r="T177" s="106"/>
      <ns0:c r="U177" s="106"/>
      <ns0:c r="V177" s="106"/>
      <ns0:c r="W177" s="106"/>
      <ns0:c r="X177" s="106"/>
      <ns0:c r="Y177" s="106"/>
      <ns0:c r="Z177" s="106"/>
      <ns0:c r="AA177" s="106"/>
      <ns0:c r="AB177" s="106"/>
      <ns0:c r="AC177" s="115"/>
    </ns0:row>
    <ns0:row r="178" spans="1:29">
      <ns0:c r="A178" s="106"/>
      <ns0:c r="B178" s="107"/>
      <ns0:c r="C178" s="108"/>
      <ns0:c r="D178" s="109"/>
      <ns0:c r="E178" s="106"/>
      <ns0:c r="F178" s="106"/>
      <ns0:c r="G178" s="106"/>
      <ns0:c r="H178" s="106"/>
      <ns0:c r="I178" s="106"/>
      <ns0:c r="J178" s="106"/>
      <ns0:c r="K178" s="106"/>
      <ns0:c r="L178" s="106"/>
      <ns0:c r="M178" s="106"/>
      <ns0:c r="N178" s="106"/>
      <ns0:c r="O178" s="106"/>
      <ns0:c r="P178" s="106"/>
      <ns0:c r="Q178" s="106"/>
      <ns0:c r="R178" s="106"/>
      <ns0:c r="S178" s="106"/>
      <ns0:c r="T178" s="106"/>
      <ns0:c r="U178" s="106"/>
      <ns0:c r="V178" s="106"/>
      <ns0:c r="W178" s="106"/>
      <ns0:c r="X178" s="106"/>
      <ns0:c r="Y178" s="106"/>
      <ns0:c r="Z178" s="106"/>
      <ns0:c r="AA178" s="106"/>
      <ns0:c r="AB178" s="106"/>
      <ns0:c r="AC178" s="115"/>
    </ns0:row>
    <ns0:row r="179" spans="1:29">
      <ns0:c r="A179" s="106"/>
      <ns0:c r="B179" s="107"/>
      <ns0:c r="C179" s="108"/>
      <ns0:c r="D179" s="109"/>
      <ns0:c r="E179" s="106"/>
      <ns0:c r="F179" s="106"/>
      <ns0:c r="G179" s="106"/>
      <ns0:c r="H179" s="106"/>
      <ns0:c r="I179" s="106"/>
      <ns0:c r="J179" s="106"/>
      <ns0:c r="K179" s="106"/>
      <ns0:c r="L179" s="106"/>
      <ns0:c r="M179" s="106"/>
      <ns0:c r="N179" s="106"/>
      <ns0:c r="O179" s="106"/>
      <ns0:c r="P179" s="106"/>
      <ns0:c r="Q179" s="106"/>
      <ns0:c r="R179" s="106"/>
      <ns0:c r="S179" s="106"/>
      <ns0:c r="T179" s="106"/>
      <ns0:c r="U179" s="106"/>
      <ns0:c r="V179" s="106"/>
      <ns0:c r="W179" s="106"/>
      <ns0:c r="X179" s="106"/>
      <ns0:c r="Y179" s="106"/>
      <ns0:c r="Z179" s="106"/>
      <ns0:c r="AA179" s="106"/>
      <ns0:c r="AB179" s="106"/>
      <ns0:c r="AC179" s="115"/>
    </ns0:row>
    <ns0:row r="180" spans="1:29">
      <ns0:c r="A180" s="106"/>
      <ns0:c r="B180" s="107"/>
      <ns0:c r="C180" s="108"/>
      <ns0:c r="D180" s="109"/>
      <ns0:c r="E180" s="106"/>
      <ns0:c r="F180" s="106"/>
      <ns0:c r="G180" s="106"/>
      <ns0:c r="H180" s="106"/>
      <ns0:c r="I180" s="106"/>
      <ns0:c r="J180" s="106"/>
      <ns0:c r="K180" s="106"/>
      <ns0:c r="L180" s="106"/>
      <ns0:c r="M180" s="106"/>
      <ns0:c r="N180" s="106"/>
      <ns0:c r="O180" s="106"/>
      <ns0:c r="P180" s="106"/>
      <ns0:c r="Q180" s="106"/>
      <ns0:c r="R180" s="106"/>
      <ns0:c r="S180" s="106"/>
      <ns0:c r="T180" s="106"/>
      <ns0:c r="U180" s="106"/>
      <ns0:c r="V180" s="106"/>
      <ns0:c r="W180" s="106"/>
      <ns0:c r="X180" s="106"/>
      <ns0:c r="Y180" s="106"/>
      <ns0:c r="Z180" s="106"/>
      <ns0:c r="AA180" s="106"/>
      <ns0:c r="AB180" s="106"/>
      <ns0:c r="AC180" s="115"/>
    </ns0:row>
    <ns0:row r="181" spans="1:29">
      <ns0:c r="A181" s="106"/>
      <ns0:c r="B181" s="110"/>
      <ns0:c r="C181" s="110"/>
      <ns0:c r="D181" s="109"/>
      <ns0:c r="E181" s="106"/>
      <ns0:c r="F181" s="106"/>
      <ns0:c r="G181" s="106"/>
      <ns0:c r="H181" s="106"/>
      <ns0:c r="I181" s="106"/>
      <ns0:c r="J181" s="106"/>
      <ns0:c r="K181" s="106"/>
      <ns0:c r="L181" s="106"/>
      <ns0:c r="M181" s="106"/>
      <ns0:c r="N181" s="106"/>
      <ns0:c r="O181" s="106"/>
      <ns0:c r="P181" s="106"/>
      <ns0:c r="Q181" s="106"/>
      <ns0:c r="R181" s="106"/>
      <ns0:c r="S181" s="106"/>
      <ns0:c r="T181" s="106"/>
      <ns0:c r="U181" s="106"/>
      <ns0:c r="V181" s="106"/>
      <ns0:c r="W181" s="106"/>
      <ns0:c r="X181" s="106"/>
      <ns0:c r="Y181" s="106"/>
      <ns0:c r="Z181" s="106"/>
      <ns0:c r="AA181" s="106"/>
      <ns0:c r="AB181" s="106"/>
      <ns0:c r="AC181" s="115"/>
    </ns0:row>
    <ns0:row r="182" spans="1:29">
      <ns0:c r="A182" s="106"/>
      <ns0:c r="B182" s="107"/>
      <ns0:c r="C182" s="108"/>
      <ns0:c r="D182" s="109"/>
      <ns0:c r="E182" s="106"/>
      <ns0:c r="F182" s="106"/>
      <ns0:c r="G182" s="106"/>
      <ns0:c r="H182" s="106"/>
      <ns0:c r="I182" s="106"/>
      <ns0:c r="J182" s="106"/>
      <ns0:c r="K182" s="106"/>
      <ns0:c r="L182" s="106"/>
      <ns0:c r="M182" s="106"/>
      <ns0:c r="N182" s="106"/>
      <ns0:c r="O182" s="106"/>
      <ns0:c r="P182" s="106"/>
      <ns0:c r="Q182" s="106"/>
      <ns0:c r="R182" s="106"/>
      <ns0:c r="S182" s="106"/>
      <ns0:c r="T182" s="106"/>
      <ns0:c r="U182" s="106"/>
      <ns0:c r="V182" s="106"/>
      <ns0:c r="W182" s="106"/>
      <ns0:c r="X182" s="106"/>
      <ns0:c r="Y182" s="106"/>
      <ns0:c r="Z182" s="106"/>
      <ns0:c r="AA182" s="106"/>
      <ns0:c r="AB182" s="106"/>
      <ns0:c r="AC182" s="115"/>
    </ns0:row>
    <ns0:row r="183" s="87" customFormat="1" spans="1:29">
      <ns0:c r="A183" s="106"/>
      <ns0:c r="B183" s="107"/>
      <ns0:c r="C183" s="108"/>
      <ns0:c r="D183" s="109"/>
      <ns0:c r="E183" s="106"/>
      <ns0:c r="F183" s="106"/>
      <ns0:c r="G183" s="106"/>
      <ns0:c r="H183" s="106"/>
      <ns0:c r="I183" s="106"/>
      <ns0:c r="J183" s="106"/>
      <ns0:c r="K183" s="106"/>
      <ns0:c r="L183" s="106"/>
      <ns0:c r="M183" s="106"/>
      <ns0:c r="N183" s="106"/>
      <ns0:c r="O183" s="106"/>
      <ns0:c r="P183" s="106"/>
      <ns0:c r="Q183" s="106"/>
      <ns0:c r="R183" s="106"/>
      <ns0:c r="S183" s="106"/>
      <ns0:c r="T183" s="106"/>
      <ns0:c r="U183" s="106"/>
      <ns0:c r="V183" s="106"/>
      <ns0:c r="W183" s="106"/>
      <ns0:c r="X183" s="106"/>
      <ns0:c r="Y183" s="106"/>
      <ns0:c r="Z183" s="106"/>
      <ns0:c r="AA183" s="106"/>
      <ns0:c r="AB183" s="106"/>
      <ns0:c r="AC183" s="115"/>
    </ns0:row>
    <ns0:row r="184" spans="1:29">
      <ns0:c r="A184" s="106"/>
      <ns0:c r="B184" s="107"/>
      <ns0:c r="C184" s="108"/>
      <ns0:c r="D184" s="109"/>
      <ns0:c r="E184" s="106"/>
      <ns0:c r="F184" s="106"/>
      <ns0:c r="G184" s="106"/>
      <ns0:c r="H184" s="106"/>
      <ns0:c r="I184" s="106"/>
      <ns0:c r="J184" s="106"/>
      <ns0:c r="K184" s="106"/>
      <ns0:c r="L184" s="106"/>
      <ns0:c r="M184" s="106"/>
      <ns0:c r="N184" s="106"/>
      <ns0:c r="O184" s="106"/>
      <ns0:c r="P184" s="106"/>
      <ns0:c r="Q184" s="106"/>
      <ns0:c r="R184" s="106"/>
      <ns0:c r="S184" s="106"/>
      <ns0:c r="T184" s="106"/>
      <ns0:c r="U184" s="106"/>
      <ns0:c r="V184" s="106"/>
      <ns0:c r="W184" s="106"/>
      <ns0:c r="X184" s="106"/>
      <ns0:c r="Y184" s="106"/>
      <ns0:c r="Z184" s="106"/>
      <ns0:c r="AA184" s="106"/>
      <ns0:c r="AB184" s="106"/>
      <ns0:c r="AC184" s="115"/>
    </ns0:row>
    <ns0:row r="185" s="86" customFormat="1" spans="1:29">
      <ns0:c r="A185" s="106"/>
      <ns0:c r="B185" s="106"/>
      <ns0:c r="C185" s="108"/>
      <ns0:c r="D185" s="109"/>
      <ns0:c r="E185" s="106"/>
      <ns0:c r="F185" s="106"/>
      <ns0:c r="G185" s="106"/>
      <ns0:c r="H185" s="106"/>
      <ns0:c r="I185" s="106"/>
      <ns0:c r="J185" s="106"/>
      <ns0:c r="K185" s="106"/>
      <ns0:c r="L185" s="106"/>
      <ns0:c r="M185" s="106"/>
      <ns0:c r="N185" s="106"/>
      <ns0:c r="O185" s="106"/>
      <ns0:c r="P185" s="106"/>
      <ns0:c r="Q185" s="106"/>
      <ns0:c r="R185" s="106"/>
      <ns0:c r="S185" s="106"/>
      <ns0:c r="T185" s="106"/>
      <ns0:c r="U185" s="106"/>
      <ns0:c r="V185" s="106"/>
      <ns0:c r="W185" s="106"/>
      <ns0:c r="X185" s="106"/>
      <ns0:c r="Y185" s="106"/>
      <ns0:c r="Z185" s="106"/>
      <ns0:c r="AA185" s="106"/>
      <ns0:c r="AB185" s="106"/>
      <ns0:c r="AC185" s="115"/>
    </ns0:row>
    <ns0:row r="186" spans="1:55">
      <ns0:c r="A186" s="106"/>
      <ns0:c r="B186" s="107"/>
      <ns0:c r="C186" s="108"/>
      <ns0:c r="D186" s="109"/>
      <ns0:c r="E186" s="112"/>
      <ns0:c r="F186" s="112"/>
      <ns0:c r="G186" s="112"/>
      <ns0:c r="H186" s="112"/>
      <ns0:c r="I186" s="112"/>
      <ns0:c r="J186" s="112"/>
      <ns0:c r="K186" s="112"/>
      <ns0:c r="L186" s="112"/>
      <ns0:c r="M186" s="112"/>
      <ns0:c r="N186" s="112"/>
      <ns0:c r="O186" s="112"/>
      <ns0:c r="P186" s="112"/>
      <ns0:c r="Q186" s="112"/>
      <ns0:c r="R186" s="112"/>
      <ns0:c r="S186" s="112"/>
      <ns0:c r="T186" s="112"/>
      <ns0:c r="U186" s="112"/>
      <ns0:c r="V186" s="112"/>
      <ns0:c r="W186" s="112"/>
      <ns0:c r="X186" s="112"/>
      <ns0:c r="Y186" s="112"/>
      <ns0:c r="Z186" s="112"/>
      <ns0:c r="AA186" s="112"/>
      <ns0:c r="AB186" s="112"/>
      <ns0:c r="AC186" s="115"/>
      <ns0:c r="AF186">
        <ns0:v>0.15</ns0:v>
      </ns0:c>
      <ns0:c r="AG186">
        <ns0:v>0.12</ns0:v>
      </ns0:c>
      <ns0:c r="AH186">
        <ns0:v>0.12</ns0:v>
      </ns0:c>
      <ns0:c r="AI186">
        <ns0:v>0.15</ns0:v>
      </ns0:c>
      <ns0:c r="AJ186">
        <ns0:v>0.15</ns0:v>
      </ns0:c>
      <ns0:c r="AK186">
        <ns0:v>0.15</ns0:v>
      </ns0:c>
      <ns0:c r="AL186">
        <ns0:v>0.18</ns0:v>
      </ns0:c>
      <ns0:c r="AM186">
        <ns0:v>0.21</ns0:v>
      </ns0:c>
      <ns0:c r="AN186">
        <ns0:v>0.24</ns0:v>
      </ns0:c>
      <ns0:c r="AO186">
        <ns0:v>0.21</ns0:v>
      </ns0:c>
      <ns0:c r="AP186">
        <ns0:v>0.24</ns0:v>
      </ns0:c>
      <ns0:c r="AQ186">
        <ns0:v>0.27</ns0:v>
      </ns0:c>
      <ns0:c r="AR186">
        <ns0:v>0.33</ns0:v>
      </ns0:c>
      <ns0:c r="AS186">
        <ns0:v>0.3</ns0:v>
      </ns0:c>
      <ns0:c r="AT186">
        <ns0:v>0.36</ns0:v>
      </ns0:c>
      <ns0:c r="AU186">
        <ns0:v>0.39</ns0:v>
      </ns0:c>
      <ns0:c r="AV186">
        <ns0:v>0.48</ns0:v>
      </ns0:c>
      <ns0:c r="AW186">
        <ns0:v>0.42</ns0:v>
      </ns0:c>
      <ns0:c r="AX186">
        <ns0:v>0.42</ns0:v>
      </ns0:c>
      <ns0:c r="AY186">
        <ns0:v>0.39</ns0:v>
      </ns0:c>
      <ns0:c r="AZ186">
        <ns0:v>0.39</ns0:v>
      </ns0:c>
      <ns0:c r="BA186">
        <ns0:v>0.36</ns0:v>
      </ns0:c>
      <ns0:c r="BB186">
        <ns0:v>0.24</ns0:v>
      </ns0:c>
      <ns0:c r="BC186">
        <ns0:v>0.27</ns0:v>
      </ns0:c>
    </ns0:row>
    <ns0:row r="187" spans="1:55">
      <ns0:c r="A187" s="106"/>
      <ns0:c r="B187" s="107"/>
      <ns0:c r="C187" s="108"/>
      <ns0:c r="D187" s="109"/>
      <ns0:c r="E187" s="106"/>
      <ns0:c r="F187" s="106"/>
      <ns0:c r="G187" s="106"/>
      <ns0:c r="H187" s="106"/>
      <ns0:c r="I187" s="106"/>
      <ns0:c r="J187" s="106"/>
      <ns0:c r="K187" s="106"/>
      <ns0:c r="L187" s="106"/>
      <ns0:c r="M187" s="106"/>
      <ns0:c r="N187" s="106"/>
      <ns0:c r="O187" s="106"/>
      <ns0:c r="P187" s="106"/>
      <ns0:c r="Q187" s="106"/>
      <ns0:c r="R187" s="106"/>
      <ns0:c r="S187" s="106"/>
      <ns0:c r="T187" s="106"/>
      <ns0:c r="U187" s="106"/>
      <ns0:c r="V187" s="106"/>
      <ns0:c r="W187" s="106"/>
      <ns0:c r="X187" s="106"/>
      <ns0:c r="Y187" s="106"/>
      <ns0:c r="Z187" s="106"/>
      <ns0:c r="AA187" s="106"/>
      <ns0:c r="AB187" s="106"/>
      <ns0:c r="AC187" s="115"/>
      <ns0:c r="AF187">
        <ns0:v>0.21</ns0:v>
      </ns0:c>
      <ns0:c r="AG187">
        <ns0:v>0.24</ns0:v>
      </ns0:c>
      <ns0:c r="AH187">
        <ns0:v>0.21</ns0:v>
      </ns0:c>
      <ns0:c r="AI187">
        <ns0:v>0.21</ns0:v>
      </ns0:c>
      <ns0:c r="AJ187">
        <ns0:v>0.21</ns0:v>
      </ns0:c>
      <ns0:c r="AK187">
        <ns0:v>0.18</ns0:v>
      </ns0:c>
      <ns0:c r="AL187">
        <ns0:v>0.21</ns0:v>
      </ns0:c>
      <ns0:c r="AM187">
        <ns0:v>0.27</ns0:v>
      </ns0:c>
      <ns0:c r="AN187">
        <ns0:v>0.27</ns0:v>
      </ns0:c>
      <ns0:c r="AO187">
        <ns0:v>0.39</ns0:v>
      </ns0:c>
      <ns0:c r="AP187">
        <ns0:v>0.48</ns0:v>
      </ns0:c>
      <ns0:c r="AQ187">
        <ns0:v>0.3</ns0:v>
      </ns0:c>
      <ns0:c r="AR187">
        <ns0:v>0.3</ns0:v>
      </ns0:c>
      <ns0:c r="AS187">
        <ns0:v>0.27</ns0:v>
      </ns0:c>
      <ns0:c r="AT187">
        <ns0:v>0.24</ns0:v>
      </ns0:c>
      <ns0:c r="AU187">
        <ns0:v>0.27</ns0:v>
      </ns0:c>
      <ns0:c r="AV187">
        <ns0:v>0.27</ns0:v>
      </ns0:c>
      <ns0:c r="AW187">
        <ns0:v>0.3</ns0:v>
      </ns0:c>
      <ns0:c r="AX187">
        <ns0:v>0.3</ns0:v>
      </ns0:c>
      <ns0:c r="AY187">
        <ns0:v>0.3</ns0:v>
      </ns0:c>
      <ns0:c r="AZ187">
        <ns0:v>0.24</ns0:v>
      </ns0:c>
      <ns0:c r="BA187">
        <ns0:v>0.21</ns0:v>
      </ns0:c>
      <ns0:c r="BB187">
        <ns0:v>0.21</ns0:v>
      </ns0:c>
      <ns0:c r="BC187">
        <ns0:v>0.21</ns0:v>
      </ns0:c>
    </ns0:row>
    <ns0:row r="188" spans="1:55">
      <ns0:c r="A188" s="106"/>
      <ns0:c r="B188" s="107"/>
      <ns0:c r="C188" s="108"/>
      <ns0:c r="D188" s="109"/>
      <ns0:c r="E188" s="106"/>
      <ns0:c r="F188" s="106"/>
      <ns0:c r="G188" s="106"/>
      <ns0:c r="H188" s="106"/>
      <ns0:c r="I188" s="106"/>
      <ns0:c r="J188" s="106"/>
      <ns0:c r="K188" s="106"/>
      <ns0:c r="L188" s="106"/>
      <ns0:c r="M188" s="106"/>
      <ns0:c r="N188" s="106"/>
      <ns0:c r="O188" s="106"/>
      <ns0:c r="P188" s="106"/>
      <ns0:c r="Q188" s="106"/>
      <ns0:c r="R188" s="106"/>
      <ns0:c r="S188" s="106"/>
      <ns0:c r="T188" s="106"/>
      <ns0:c r="U188" s="106"/>
      <ns0:c r="V188" s="106"/>
      <ns0:c r="W188" s="106"/>
      <ns0:c r="X188" s="106"/>
      <ns0:c r="Y188" s="106"/>
      <ns0:c r="Z188" s="106"/>
      <ns0:c r="AA188" s="106"/>
      <ns0:c r="AB188" s="106"/>
      <ns0:c r="AC188" s="115"/>
      <ns0:c r="AF188">
        <ns0:v>0.27</ns0:v>
      </ns0:c>
      <ns0:c r="AG188">
        <ns0:v>0.27</ns0:v>
      </ns0:c>
      <ns0:c r="AH188">
        <ns0:v>0.24</ns0:v>
      </ns0:c>
      <ns0:c r="AI188">
        <ns0:v>0.21</ns0:v>
      </ns0:c>
      <ns0:c r="AJ188">
        <ns0:v>0.21</ns0:v>
      </ns0:c>
      <ns0:c r="AK188">
        <ns0:v>0.18</ns0:v>
      </ns0:c>
      <ns0:c r="AL188">
        <ns0:v>0.21</ns0:v>
      </ns0:c>
      <ns0:c r="AM188">
        <ns0:v>0.27</ns0:v>
      </ns0:c>
      <ns0:c r="AN188">
        <ns0:v>0.3</ns0:v>
      </ns0:c>
      <ns0:c r="AO188">
        <ns0:v>0.3</ns0:v>
      </ns0:c>
      <ns0:c r="AP188">
        <ns0:v>0.3</ns0:v>
      </ns0:c>
      <ns0:c r="AQ188">
        <ns0:v>0.3</ns0:v>
      </ns0:c>
      <ns0:c r="AR188">
        <ns0:v>0.27</ns0:v>
      </ns0:c>
      <ns0:c r="AS188">
        <ns0:v>0.27</ns0:v>
      </ns0:c>
      <ns0:c r="AT188">
        <ns0:v>0.3</ns0:v>
      </ns0:c>
      <ns0:c r="AU188">
        <ns0:v>0.42</ns0:v>
      </ns0:c>
      <ns0:c r="AV188">
        <ns0:v>0.24</ns0:v>
      </ns0:c>
      <ns0:c r="AW188">
        <ns0:v>0.3</ns0:v>
      </ns0:c>
      <ns0:c r="AX188">
        <ns0:v>0.27</ns0:v>
      </ns0:c>
      <ns0:c r="AY188">
        <ns0:v>0.21</ns0:v>
      </ns0:c>
      <ns0:c r="AZ188">
        <ns0:v>0.24</ns0:v>
      </ns0:c>
      <ns0:c r="BA188">
        <ns0:v>0.24</ns0:v>
      </ns0:c>
      <ns0:c r="BB188">
        <ns0:v>0.27</ns0:v>
      </ns0:c>
      <ns0:c r="BC188">
        <ns0:v>0.21</ns0:v>
      </ns0:c>
    </ns0:row>
    <ns0:row r="189" spans="1:55">
      <ns0:c r="A189" s="106"/>
      <ns0:c r="B189" s="107"/>
      <ns0:c r="C189" s="108"/>
      <ns0:c r="D189" s="109"/>
      <ns0:c r="E189" s="106"/>
      <ns0:c r="F189" s="106"/>
      <ns0:c r="G189" s="106"/>
      <ns0:c r="H189" s="106"/>
      <ns0:c r="I189" s="106"/>
      <ns0:c r="J189" s="106"/>
      <ns0:c r="K189" s="106"/>
      <ns0:c r="L189" s="106"/>
      <ns0:c r="M189" s="106"/>
      <ns0:c r="N189" s="106"/>
      <ns0:c r="O189" s="106"/>
      <ns0:c r="P189" s="106"/>
      <ns0:c r="Q189" s="106"/>
      <ns0:c r="R189" s="106"/>
      <ns0:c r="S189" s="106"/>
      <ns0:c r="T189" s="106"/>
      <ns0:c r="U189" s="106"/>
      <ns0:c r="V189" s="106"/>
      <ns0:c r="W189" s="106"/>
      <ns0:c r="X189" s="106"/>
      <ns0:c r="Y189" s="106"/>
      <ns0:c r="Z189" s="106"/>
      <ns0:c r="AA189" s="106"/>
      <ns0:c r="AB189" s="106"/>
      <ns0:c r="AC189" s="115"/>
      <ns0:c r="AF189">
        <ns0:v>0.15</ns0:v>
      </ns0:c>
      <ns0:c r="AG189">
        <ns0:v>0.18</ns0:v>
      </ns0:c>
      <ns0:c r="AH189">
        <ns0:v>0.15</ns0:v>
      </ns0:c>
      <ns0:c r="AI189">
        <ns0:v>0.21</ns0:v>
      </ns0:c>
      <ns0:c r="AJ189">
        <ns0:v>0.21</ns0:v>
      </ns0:c>
      <ns0:c r="AK189">
        <ns0:v>0.21</ns0:v>
      </ns0:c>
      <ns0:c r="AL189">
        <ns0:v>0.21</ns0:v>
      </ns0:c>
      <ns0:c r="AM189">
        <ns0:v>0.21</ns0:v>
      </ns0:c>
      <ns0:c r="AN189">
        <ns0:v>0.27</ns0:v>
      </ns0:c>
      <ns0:c r="AO189">
        <ns0:v>0.24</ns0:v>
      </ns0:c>
      <ns0:c r="AP189">
        <ns0:v>0.27</ns0:v>
      </ns0:c>
      <ns0:c r="AQ189">
        <ns0:v>0.27</ns0:v>
      </ns0:c>
      <ns0:c r="AR189">
        <ns0:v>0.33</ns0:v>
      </ns0:c>
      <ns0:c r="AS189">
        <ns0:v>0.21</ns0:v>
      </ns0:c>
      <ns0:c r="AT189">
        <ns0:v>0.3</ns0:v>
      </ns0:c>
      <ns0:c r="AU189">
        <ns0:v>0.33</ns0:v>
      </ns0:c>
      <ns0:c r="AV189">
        <ns0:v>0.3</ns0:v>
      </ns0:c>
      <ns0:c r="AW189">
        <ns0:v>0.3</ns0:v>
      </ns0:c>
      <ns0:c r="AX189">
        <ns0:v>0.27</ns0:v>
      </ns0:c>
      <ns0:c r="AY189">
        <ns0:v>0.21</ns0:v>
      </ns0:c>
      <ns0:c r="AZ189">
        <ns0:v>0.24</ns0:v>
      </ns0:c>
      <ns0:c r="BA189">
        <ns0:v>0.18</ns0:v>
      </ns0:c>
      <ns0:c r="BB189">
        <ns0:v>0.12</ns0:v>
      </ns0:c>
      <ns0:c r="BC189">
        <ns0:v>0.15</ns0:v>
      </ns0:c>
    </ns0:row>
    <ns0:row r="190" spans="1:55">
      <ns0:c r="A190" s="106"/>
      <ns0:c r="B190" s="107"/>
      <ns0:c r="C190" s="108"/>
      <ns0:c r="D190" s="109"/>
      <ns0:c r="E190" s="106"/>
      <ns0:c r="F190" s="106"/>
      <ns0:c r="G190" s="106"/>
      <ns0:c r="H190" s="106"/>
      <ns0:c r="I190" s="106"/>
      <ns0:c r="J190" s="106"/>
      <ns0:c r="K190" s="106"/>
      <ns0:c r="L190" s="106"/>
      <ns0:c r="M190" s="106"/>
      <ns0:c r="N190" s="106"/>
      <ns0:c r="O190" s="106"/>
      <ns0:c r="P190" s="106"/>
      <ns0:c r="Q190" s="106"/>
      <ns0:c r="R190" s="106"/>
      <ns0:c r="S190" s="106"/>
      <ns0:c r="T190" s="106"/>
      <ns0:c r="U190" s="106"/>
      <ns0:c r="V190" s="106"/>
      <ns0:c r="W190" s="106"/>
      <ns0:c r="X190" s="106"/>
      <ns0:c r="Y190" s="106"/>
      <ns0:c r="Z190" s="106"/>
      <ns0:c r="AA190" s="106"/>
      <ns0:c r="AB190" s="106"/>
      <ns0:c r="AC190" s="115"/>
      <ns0:c r="AF190">
        <ns0:f>AVERAGEA(AF186:AF189)</ns0:f>
        <ns0:v>0.195</ns0:v>
      </ns0:c>
      <ns0:c r="AG190">
        <ns0:f>AVERAGEA(AG186:AG189)</ns0:f>
        <ns0:v>0.2025</ns0:v>
      </ns0:c>
      <ns0:c r="AH190">
        <ns0:f>AVERAGEA(AH186:AH189)</ns0:f>
        <ns0:v>0.18</ns0:v>
      </ns0:c>
      <ns0:c r="AI190">
        <ns0:f>AVERAGEA(AI186:AI189)</ns0:f>
        <ns0:v>0.195</ns0:v>
      </ns0:c>
      <ns0:c r="AJ190">
        <ns0:f>AVERAGEA(AJ186:AJ189)</ns0:f>
        <ns0:v>0.195</ns0:v>
      </ns0:c>
      <ns0:c r="AK190">
        <ns0:f>AVERAGEA(AK186:AK189)</ns0:f>
        <ns0:v>0.18</ns0:v>
      </ns0:c>
      <ns0:c r="AL190">
        <ns0:f>AVERAGEA(AL186:AL189)</ns0:f>
        <ns0:v>0.2025</ns0:v>
      </ns0:c>
      <ns0:c r="AM190">
        <ns0:f>AVERAGEA(AM186:AM189)</ns0:f>
        <ns0:v>0.24</ns0:v>
      </ns0:c>
      <ns0:c r="AN190">
        <ns0:f>AVERAGEA(AN186:AN189)</ns0:f>
        <ns0:v>0.27</ns0:v>
      </ns0:c>
      <ns0:c r="AO190">
        <ns0:f>AVERAGEA(AO186:AO189)</ns0:f>
        <ns0:v>0.285</ns0:v>
      </ns0:c>
      <ns0:c r="AP190">
        <ns0:f>AVERAGEA(AP186:AP189)</ns0:f>
        <ns0:v>0.3225</ns0:v>
      </ns0:c>
      <ns0:c r="AQ190">
        <ns0:f>AVERAGEA(AQ186:AQ189)</ns0:f>
        <ns0:v>0.285</ns0:v>
      </ns0:c>
      <ns0:c r="AR190">
        <ns0:f>AVERAGEA(AR186:AR189)</ns0:f>
        <ns0:v>0.3075</ns0:v>
      </ns0:c>
      <ns0:c r="AS190">
        <ns0:f>AVERAGEA(AS186:AS189)</ns0:f>
        <ns0:v>0.2625</ns0:v>
      </ns0:c>
      <ns0:c r="AT190">
        <ns0:f>AVERAGEA(AT186:AT189)</ns0:f>
        <ns0:v>0.3</ns0:v>
      </ns0:c>
      <ns0:c r="AU190">
        <ns0:f>AVERAGEA(AU186:AU189)</ns0:f>
        <ns0:v>0.3525</ns0:v>
      </ns0:c>
      <ns0:c r="AV190">
        <ns0:f>AVERAGEA(AV186:AV189)</ns0:f>
        <ns0:v>0.3225</ns0:v>
      </ns0:c>
      <ns0:c r="AW190">
        <ns0:f>AVERAGEA(AW186:AW189)</ns0:f>
        <ns0:v>0.33</ns0:v>
      </ns0:c>
      <ns0:c r="AX190">
        <ns0:f>AVERAGEA(AX186:AX189)</ns0:f>
        <ns0:v>0.315</ns0:v>
      </ns0:c>
      <ns0:c r="AY190">
        <ns0:f>AVERAGEA(AY186:AY189)</ns0:f>
        <ns0:v>0.2775</ns0:v>
      </ns0:c>
      <ns0:c r="AZ190">
        <ns0:f>AVERAGEA(AZ186:AZ189)</ns0:f>
        <ns0:v>0.2775</ns0:v>
      </ns0:c>
      <ns0:c r="BA190">
        <ns0:f>AVERAGEA(BA186:BA189)</ns0:f>
        <ns0:v>0.2475</ns0:v>
      </ns0:c>
      <ns0:c r="BB190">
        <ns0:f>AVERAGEA(BB186:BB189)</ns0:f>
        <ns0:v>0.21</ns0:v>
      </ns0:c>
      <ns0:c r="BC190">
        <ns0:f>AVERAGEA(BC186:BC189)</ns0:f>
        <ns0:v>0.21</ns0:v>
      </ns0:c>
    </ns0:row>
    <ns0:row r="191" spans="1:52">
      <ns0:c r="A191" s="106"/>
      <ns0:c r="B191" s="107"/>
      <ns0:c r="C191" s="108"/>
      <ns0:c r="D191" s="109"/>
      <ns0:c r="E191" s="106"/>
      <ns0:c r="F191" s="106"/>
      <ns0:c r="G191" s="106"/>
      <ns0:c r="H191" s="106"/>
      <ns0:c r="I191" s="106"/>
      <ns0:c r="J191" s="106"/>
      <ns0:c r="K191" s="106"/>
      <ns0:c r="L191" s="106"/>
      <ns0:c r="M191" s="106"/>
      <ns0:c r="N191" s="106"/>
      <ns0:c r="O191" s="106"/>
      <ns0:c r="P191" s="106"/>
      <ns0:c r="Q191" s="106"/>
      <ns0:c r="R191" s="106"/>
      <ns0:c r="S191" s="106"/>
      <ns0:c r="T191" s="106"/>
      <ns0:c r="U191" s="106"/>
      <ns0:c r="V191" s="106"/>
      <ns0:c r="W191" s="106"/>
      <ns0:c r="X191" s="106"/>
      <ns0:c r="Y191" s="106"/>
      <ns0:c r="Z191" s="106"/>
      <ns0:c r="AA191" s="106"/>
      <ns0:c r="AB191" s="106"/>
      <ns0:c r="AC191" s="115"/>
      <ns0:c r="AY191">
        <ns0:v>1.1475</ns0:v>
      </ns0:c>
      <ns0:c r="AZ191">
        <ns0:v>415</ns0:v>
      </ns0:c>
    </ns0:row>
    <ns0:row r="192" spans="1:52">
      <ns0:c r="A192" s="106"/>
      <ns0:c r="B192" s="107"/>
      <ns0:c r="C192" s="108"/>
      <ns0:c r="D192" s="109"/>
      <ns0:c r="E192" s="106"/>
      <ns0:c r="F192" s="106"/>
      <ns0:c r="G192" s="106"/>
      <ns0:c r="H192" s="106"/>
      <ns0:c r="I192" s="106"/>
      <ns0:c r="J192" s="106"/>
      <ns0:c r="K192" s="106"/>
      <ns0:c r="L192" s="106"/>
      <ns0:c r="M192" s="106"/>
      <ns0:c r="N192" s="106"/>
      <ns0:c r="O192" s="106"/>
      <ns0:c r="P192" s="106"/>
      <ns0:c r="Q192" s="106"/>
      <ns0:c r="R192" s="106"/>
      <ns0:c r="S192" s="106"/>
      <ns0:c r="T192" s="106"/>
      <ns0:c r="U192" s="106"/>
      <ns0:c r="V192" s="106"/>
      <ns0:c r="W192" s="106"/>
      <ns0:c r="X192" s="106"/>
      <ns0:c r="Y192" s="106"/>
      <ns0:c r="Z192" s="106"/>
      <ns0:c r="AA192" s="106"/>
      <ns0:c r="AB192" s="106"/>
      <ns0:c r="AC192" s="115"/>
      <ns0:c r="AY192">
        <ns0:v>1.8675</ns0:v>
      </ns0:c>
      <ns0:c r="AZ192">
        <ns0:v>465.32</ns0:v>
      </ns0:c>
    </ns0:row>
    <ns0:row r="193" spans="1:51">
      <ns0:c r="A193" s="106"/>
      <ns0:c r="B193" s="107"/>
      <ns0:c r="C193" s="108"/>
      <ns0:c r="D193" s="109"/>
      <ns0:c r="E193" s="106"/>
      <ns0:c r="F193" s="106"/>
      <ns0:c r="G193" s="106"/>
      <ns0:c r="H193" s="106"/>
      <ns0:c r="I193" s="106"/>
      <ns0:c r="J193" s="106"/>
      <ns0:c r="K193" s="106"/>
      <ns0:c r="L193" s="106"/>
      <ns0:c r="M193" s="106"/>
      <ns0:c r="N193" s="106"/>
      <ns0:c r="O193" s="106"/>
      <ns0:c r="P193" s="106"/>
      <ns0:c r="Q193" s="106"/>
      <ns0:c r="R193" s="106"/>
      <ns0:c r="S193" s="106"/>
      <ns0:c r="T193" s="106"/>
      <ns0:c r="U193" s="106"/>
      <ns0:c r="V193" s="106"/>
      <ns0:c r="W193" s="106"/>
      <ns0:c r="X193" s="106"/>
      <ns0:c r="Y193" s="106"/>
      <ns0:c r="Z193" s="106"/>
      <ns0:c r="AA193" s="106"/>
      <ns0:c r="AB193" s="106"/>
      <ns0:c r="AC193" s="115"/>
      <ns0:c r="AY193">
        <ns0:v>6.165</ns0:v>
      </ns0:c>
    </ns0:row>
    <ns0:row r="194" spans="1:53">
      <ns0:c r="A194" s="106"/>
      <ns0:c r="B194" s="110"/>
      <ns0:c r="C194" s="110"/>
      <ns0:c r="D194" s="109"/>
      <ns0:c r="E194" s="106"/>
      <ns0:c r="F194" s="106"/>
      <ns0:c r="G194" s="106"/>
      <ns0:c r="H194" s="106"/>
      <ns0:c r="I194" s="106"/>
      <ns0:c r="J194" s="106"/>
      <ns0:c r="K194" s="106"/>
      <ns0:c r="L194" s="106"/>
      <ns0:c r="M194" s="106"/>
      <ns0:c r="N194" s="106"/>
      <ns0:c r="O194" s="106"/>
      <ns0:c r="P194" s="106"/>
      <ns0:c r="Q194" s="106"/>
      <ns0:c r="R194" s="106"/>
      <ns0:c r="S194" s="106"/>
      <ns0:c r="T194" s="106"/>
      <ns0:c r="U194" s="106"/>
      <ns0:c r="V194" s="106"/>
      <ns0:c r="W194" s="106"/>
      <ns0:c r="X194" s="106"/>
      <ns0:c r="Y194" s="106"/>
      <ns0:c r="Z194" s="106"/>
      <ns0:c r="AA194" s="106"/>
      <ns0:c r="AB194" s="106"/>
      <ns0:c r="AC194" s="115"/>
      <ns0:c r="AD194" s="87"/>
      <ns0:c r="AE194" s="87"/>
      <ns0:c r="AF194" s="87"/>
      <ns0:c r="AG194" s="87"/>
      <ns0:c r="AH194" s="87"/>
      <ns0:c r="AI194" s="87"/>
      <ns0:c r="AJ194" s="87"/>
      <ns0:c r="AK194" s="87"/>
      <ns0:c r="AL194" s="87"/>
      <ns0:c r="AM194" s="87"/>
      <ns0:c r="AN194" s="87"/>
      <ns0:c r="AO194" s="87"/>
      <ns0:c r="AP194" s="87"/>
      <ns0:c r="AQ194" s="87"/>
      <ns0:c r="AR194" s="87"/>
      <ns0:c r="AS194" s="87"/>
      <ns0:c r="AT194" s="87"/>
      <ns0:c r="AU194" s="87"/>
      <ns0:c r="AV194" s="87"/>
      <ns0:c r="AW194" s="87"/>
      <ns0:c r="AX194" s="87">
        <ns0:f>AY194/AY193</ns0:f>
        <ns0:v>0.510948905109489</ns0:v>
      </ns0:c>
      <ns0:c r="AY194" s="87">
        <ns0:f>AY193-AY192-AY191</ns0:f>
        <ns0:v>3.15</ns0:v>
      </ns0:c>
      <ns0:c r="AZ194" s="87">
        <ns0:v>332.88</ns0:v>
      </ns0:c>
      <ns0:c r="BA194" s="87"/>
    </ns0:row>
    <ns0:row r="195" spans="1:53">
      <ns0:c r="A195" s="106"/>
      <ns0:c r="B195" s="107"/>
      <ns0:c r="C195" s="108"/>
      <ns0:c r="D195" s="109"/>
      <ns0:c r="E195" s="106"/>
      <ns0:c r="F195" s="106"/>
      <ns0:c r="G195" s="106"/>
      <ns0:c r="H195" s="106"/>
      <ns0:c r="I195" s="106"/>
      <ns0:c r="J195" s="106"/>
      <ns0:c r="K195" s="106"/>
      <ns0:c r="L195" s="106"/>
      <ns0:c r="M195" s="106"/>
      <ns0:c r="N195" s="106"/>
      <ns0:c r="O195" s="106"/>
      <ns0:c r="P195" s="106"/>
      <ns0:c r="Q195" s="106"/>
      <ns0:c r="R195" s="106"/>
      <ns0:c r="S195" s="106"/>
      <ns0:c r="T195" s="106"/>
      <ns0:c r="U195" s="106"/>
      <ns0:c r="V195" s="106"/>
      <ns0:c r="W195" s="106"/>
      <ns0:c r="X195" s="106"/>
      <ns0:c r="Y195" s="106"/>
      <ns0:c r="Z195" s="106"/>
      <ns0:c r="AA195" s="106"/>
      <ns0:c r="AB195" s="106"/>
      <ns0:c r="AC195" s="115"/>
      <ns0:c r="AD195" s="87"/>
      <ns0:c r="AE195" s="87"/>
      <ns0:c r="AF195" s="87"/>
      <ns0:c r="AG195" s="87"/>
      <ns0:c r="AH195" s="87"/>
      <ns0:c r="AI195" s="87"/>
      <ns0:c r="AJ195" s="87"/>
      <ns0:c r="AK195" s="87"/>
      <ns0:c r="AL195" s="87"/>
      <ns0:c r="AM195" s="87"/>
      <ns0:c r="AN195" s="87"/>
      <ns0:c r="AO195" s="87"/>
      <ns0:c r="AP195" s="87"/>
      <ns0:c r="AQ195" s="87"/>
      <ns0:c r="AR195" s="87"/>
      <ns0:c r="AS195" s="87"/>
      <ns0:c r="AT195" s="87"/>
      <ns0:c r="AU195" s="87"/>
      <ns0:c r="AV195" s="87"/>
      <ns0:c r="AW195" s="87"/>
      <ns0:c r="AX195" s="87"/>
      <ns0:c r="AY195" s="87"/>
      <ns0:c r="AZ195" s="87">
        <ns0:f>(AY194*AZ194+AY192*AZ192+AY191*AZ191)/AY193</ns0:f>
        <ns0:v>388.283795620438</ns0:v>
      </ns0:c>
      <ns0:c r="BA195" s="87"/>
    </ns0:row>
    <ns0:row r="196" spans="1:53">
      <ns0:c r="A196" s="106"/>
      <ns0:c r="B196" s="107"/>
      <ns0:c r="C196" s="108"/>
      <ns0:c r="D196" s="109"/>
      <ns0:c r="E196" s="106"/>
      <ns0:c r="F196" s="106"/>
      <ns0:c r="G196" s="106"/>
      <ns0:c r="H196" s="106"/>
      <ns0:c r="I196" s="106"/>
      <ns0:c r="J196" s="106"/>
      <ns0:c r="K196" s="106"/>
      <ns0:c r="L196" s="106"/>
      <ns0:c r="M196" s="106"/>
      <ns0:c r="N196" s="106"/>
      <ns0:c r="O196" s="106"/>
      <ns0:c r="P196" s="106"/>
      <ns0:c r="Q196" s="106"/>
      <ns0:c r="R196" s="106"/>
      <ns0:c r="S196" s="106"/>
      <ns0:c r="T196" s="106"/>
      <ns0:c r="U196" s="106"/>
      <ns0:c r="V196" s="106"/>
      <ns0:c r="W196" s="106"/>
      <ns0:c r="X196" s="106"/>
      <ns0:c r="Y196" s="106"/>
      <ns0:c r="Z196" s="106"/>
      <ns0:c r="AA196" s="106"/>
      <ns0:c r="AB196" s="106"/>
      <ns0:c r="AC196" s="115"/>
      <ns0:c r="AD196" s="87"/>
      <ns0:c r="AE196" s="87"/>
      <ns0:c r="AF196" s="87"/>
      <ns0:c r="AG196" s="87"/>
      <ns0:c r="AH196" s="87"/>
      <ns0:c r="AI196" s="87"/>
      <ns0:c r="AJ196" s="87"/>
      <ns0:c r="AK196" s="87"/>
      <ns0:c r="AL196" s="87"/>
      <ns0:c r="AM196" s="87"/>
      <ns0:c r="AN196" s="87"/>
      <ns0:c r="AO196" s="87"/>
      <ns0:c r="AP196" s="87"/>
      <ns0:c r="AQ196" s="87"/>
      <ns0:c r="AR196" s="87"/>
      <ns0:c r="AS196" s="87"/>
      <ns0:c r="AT196" s="87"/>
      <ns0:c r="AU196" s="87"/>
      <ns0:c r="AV196" s="87"/>
      <ns0:c r="AW196" s="87"/>
      <ns0:c r="AX196" s="87"/>
      <ns0:c r="AY196" s="87"/>
      <ns0:c r="AZ196" s="87"/>
      <ns0:c r="BA196" s="87"/>
    </ns0:row>
    <ns0:row r="197" spans="1:53">
      <ns0:c r="A197" s="106"/>
      <ns0:c r="B197" s="107"/>
      <ns0:c r="C197" s="108"/>
      <ns0:c r="D197" s="109"/>
      <ns0:c r="E197" s="106"/>
      <ns0:c r="F197" s="106"/>
      <ns0:c r="G197" s="106"/>
      <ns0:c r="H197" s="106"/>
      <ns0:c r="I197" s="106"/>
      <ns0:c r="J197" s="106"/>
      <ns0:c r="K197" s="106"/>
      <ns0:c r="L197" s="106"/>
      <ns0:c r="M197" s="106"/>
      <ns0:c r="N197" s="106"/>
      <ns0:c r="O197" s="106"/>
      <ns0:c r="P197" s="106"/>
      <ns0:c r="Q197" s="106"/>
      <ns0:c r="R197" s="106"/>
      <ns0:c r="S197" s="106"/>
      <ns0:c r="T197" s="106"/>
      <ns0:c r="U197" s="106"/>
      <ns0:c r="V197" s="106"/>
      <ns0:c r="W197" s="106"/>
      <ns0:c r="X197" s="106"/>
      <ns0:c r="Y197" s="106"/>
      <ns0:c r="Z197" s="106"/>
      <ns0:c r="AA197" s="106"/>
      <ns0:c r="AB197" s="106"/>
      <ns0:c r="AC197" s="115"/>
      <ns0:c r="AD197" s="87"/>
      <ns0:c r="AE197" s="87"/>
      <ns0:c r="AF197" s="87"/>
      <ns0:c r="AG197" s="87"/>
      <ns0:c r="AH197" s="87"/>
      <ns0:c r="AI197" s="87"/>
      <ns0:c r="AJ197" s="87"/>
      <ns0:c r="AK197" s="87"/>
      <ns0:c r="AL197" s="87"/>
      <ns0:c r="AM197" s="87"/>
      <ns0:c r="AN197" s="87"/>
      <ns0:c r="AO197" s="87"/>
      <ns0:c r="AP197" s="87"/>
      <ns0:c r="AQ197" s="87"/>
      <ns0:c r="AR197" s="87"/>
      <ns0:c r="AS197" s="87"/>
      <ns0:c r="AT197" s="87"/>
      <ns0:c r="AU197" s="87"/>
      <ns0:c r="AV197" s="87"/>
      <ns0:c r="AW197" s="87"/>
      <ns0:c r="AX197" s="87"/>
      <ns0:c r="AY197" s="87"/>
      <ns0:c r="AZ197" s="87"/>
      <ns0:c r="BA197" s="87"/>
    </ns0:row>
    <ns0:row r="198" s="86" customFormat="1" spans="1:53">
      <ns0:c r="A198" s="106"/>
      <ns0:c r="B198" s="106"/>
      <ns0:c r="C198" s="106"/>
      <ns0:c r="D198" s="109"/>
      <ns0:c r="E198" s="106"/>
      <ns0:c r="F198" s="106"/>
      <ns0:c r="G198" s="106"/>
      <ns0:c r="H198" s="106"/>
      <ns0:c r="I198" s="106"/>
      <ns0:c r="J198" s="106"/>
      <ns0:c r="K198" s="106"/>
      <ns0:c r="L198" s="106"/>
      <ns0:c r="M198" s="106"/>
      <ns0:c r="N198" s="106"/>
      <ns0:c r="O198" s="106"/>
      <ns0:c r="P198" s="106"/>
      <ns0:c r="Q198" s="106"/>
      <ns0:c r="R198" s="106"/>
      <ns0:c r="S198" s="106"/>
      <ns0:c r="T198" s="106"/>
      <ns0:c r="U198" s="106"/>
      <ns0:c r="V198" s="106"/>
      <ns0:c r="W198" s="106"/>
      <ns0:c r="X198" s="106"/>
      <ns0:c r="Y198" s="106"/>
      <ns0:c r="Z198" s="106"/>
      <ns0:c r="AA198" s="106"/>
      <ns0:c r="AB198" s="106"/>
      <ns0:c r="AC198" s="115"/>
      <ns0:c r="AD198" s="87"/>
      <ns0:c r="AE198" s="87"/>
      <ns0:c r="AF198" s="87"/>
      <ns0:c r="AG198" s="87"/>
      <ns0:c r="AH198" s="87"/>
      <ns0:c r="AI198" s="87"/>
      <ns0:c r="AJ198" s="87"/>
      <ns0:c r="AK198" s="87"/>
      <ns0:c r="AL198" s="87"/>
      <ns0:c r="AM198" s="87"/>
      <ns0:c r="AN198" s="87"/>
      <ns0:c r="AO198" s="87"/>
      <ns0:c r="AP198" s="87"/>
      <ns0:c r="AQ198" s="87"/>
      <ns0:c r="AR198" s="87"/>
      <ns0:c r="AS198" s="87"/>
      <ns0:c r="AT198" s="87"/>
      <ns0:c r="AU198" s="87"/>
      <ns0:c r="AV198" s="87"/>
      <ns0:c r="AW198" s="87"/>
      <ns0:c r="AX198" s="87"/>
      <ns0:c r="AY198" s="87"/>
      <ns0:c r="AZ198" s="87"/>
      <ns0:c r="BA198" s="87"/>
    </ns0:row>
    <ns0:row r="199" spans="1:53">
      <ns0:c r="A199" s="106"/>
      <ns0:c r="B199" s="107"/>
      <ns0:c r="C199" s="108"/>
      <ns0:c r="D199" s="109"/>
      <ns0:c r="E199" s="112"/>
      <ns0:c r="F199" s="112"/>
      <ns0:c r="G199" s="112"/>
      <ns0:c r="H199" s="112"/>
      <ns0:c r="I199" s="112"/>
      <ns0:c r="J199" s="112"/>
      <ns0:c r="K199" s="112"/>
      <ns0:c r="L199" s="112"/>
      <ns0:c r="M199" s="112"/>
      <ns0:c r="N199" s="112"/>
      <ns0:c r="O199" s="112"/>
      <ns0:c r="P199" s="112"/>
      <ns0:c r="Q199" s="112"/>
      <ns0:c r="R199" s="112"/>
      <ns0:c r="S199" s="112"/>
      <ns0:c r="T199" s="112"/>
      <ns0:c r="U199" s="112"/>
      <ns0:c r="V199" s="112"/>
      <ns0:c r="W199" s="112"/>
      <ns0:c r="X199" s="112"/>
      <ns0:c r="Y199" s="112"/>
      <ns0:c r="Z199" s="112"/>
      <ns0:c r="AA199" s="112"/>
      <ns0:c r="AB199" s="112"/>
      <ns0:c r="AC199" s="115"/>
      <ns0:c r="AD199" s="87"/>
      <ns0:c r="AE199" s="87"/>
      <ns0:c r="AF199" s="87"/>
      <ns0:c r="AG199" s="87"/>
      <ns0:c r="AH199" s="87"/>
      <ns0:c r="AI199" s="87"/>
      <ns0:c r="AJ199" s="87"/>
      <ns0:c r="AK199" s="87"/>
      <ns0:c r="AL199" s="87"/>
      <ns0:c r="AM199" s="87"/>
      <ns0:c r="AN199" s="87"/>
      <ns0:c r="AO199" s="87"/>
      <ns0:c r="AP199" s="87"/>
      <ns0:c r="AQ199" s="87"/>
      <ns0:c r="AR199" s="87"/>
      <ns0:c r="AS199" s="87"/>
      <ns0:c r="AT199" s="87"/>
      <ns0:c r="AU199" s="87"/>
      <ns0:c r="AV199" s="87"/>
      <ns0:c r="AW199" s="87"/>
      <ns0:c r="AX199" s="87"/>
      <ns0:c r="AY199" s="87"/>
      <ns0:c r="AZ199" s="87"/>
      <ns0:c r="BA199" s="87"/>
    </ns0:row>
    <ns0:row r="200" spans="1:53">
      <ns0:c r="A200" s="106"/>
      <ns0:c r="B200" s="107"/>
      <ns0:c r="C200" s="108"/>
      <ns0:c r="D200" s="109"/>
      <ns0:c r="E200" s="106"/>
      <ns0:c r="F200" s="106"/>
      <ns0:c r="G200" s="106"/>
      <ns0:c r="H200" s="106"/>
      <ns0:c r="I200" s="106"/>
      <ns0:c r="J200" s="106"/>
      <ns0:c r="K200" s="106"/>
      <ns0:c r="L200" s="106"/>
      <ns0:c r="M200" s="106"/>
      <ns0:c r="N200" s="106"/>
      <ns0:c r="O200" s="106"/>
      <ns0:c r="P200" s="106"/>
      <ns0:c r="Q200" s="106"/>
      <ns0:c r="R200" s="106"/>
      <ns0:c r="S200" s="106"/>
      <ns0:c r="T200" s="106"/>
      <ns0:c r="U200" s="106"/>
      <ns0:c r="V200" s="106"/>
      <ns0:c r="W200" s="106"/>
      <ns0:c r="X200" s="106"/>
      <ns0:c r="Y200" s="106"/>
      <ns0:c r="Z200" s="106"/>
      <ns0:c r="AA200" s="106"/>
      <ns0:c r="AB200" s="106"/>
      <ns0:c r="AC200" s="115"/>
      <ns0:c r="AD200" s="87"/>
      <ns0:c r="AE200" s="87"/>
      <ns0:c r="AF200" s="87"/>
      <ns0:c r="AG200" s="87"/>
      <ns0:c r="AH200" s="87"/>
      <ns0:c r="AI200" s="87"/>
      <ns0:c r="AJ200" s="87"/>
      <ns0:c r="AK200" s="87"/>
      <ns0:c r="AL200" s="87"/>
      <ns0:c r="AM200" s="87"/>
      <ns0:c r="AN200" s="87"/>
      <ns0:c r="AO200" s="87"/>
      <ns0:c r="AP200" s="87"/>
      <ns0:c r="AQ200" s="87"/>
      <ns0:c r="AR200" s="87"/>
      <ns0:c r="AS200" s="87"/>
      <ns0:c r="AT200" s="87"/>
      <ns0:c r="AU200" s="87"/>
      <ns0:c r="AV200" s="87"/>
      <ns0:c r="AW200" s="87"/>
      <ns0:c r="AX200" s="87"/>
      <ns0:c r="AY200" s="87"/>
      <ns0:c r="AZ200" s="87"/>
      <ns0:c r="BA200" s="87"/>
    </ns0:row>
    <ns0:row r="201" spans="1:53">
      <ns0:c r="A201" s="106"/>
      <ns0:c r="B201" s="107"/>
      <ns0:c r="C201" s="108"/>
      <ns0:c r="D201" s="109"/>
      <ns0:c r="E201" s="106"/>
      <ns0:c r="F201" s="106"/>
      <ns0:c r="G201" s="106"/>
      <ns0:c r="H201" s="106"/>
      <ns0:c r="I201" s="106"/>
      <ns0:c r="J201" s="106"/>
      <ns0:c r="K201" s="106"/>
      <ns0:c r="L201" s="106"/>
      <ns0:c r="M201" s="106"/>
      <ns0:c r="N201" s="106"/>
      <ns0:c r="O201" s="106"/>
      <ns0:c r="P201" s="106"/>
      <ns0:c r="Q201" s="106"/>
      <ns0:c r="R201" s="106"/>
      <ns0:c r="S201" s="106"/>
      <ns0:c r="T201" s="106"/>
      <ns0:c r="U201" s="106"/>
      <ns0:c r="V201" s="106"/>
      <ns0:c r="W201" s="106"/>
      <ns0:c r="X201" s="106"/>
      <ns0:c r="Y201" s="106"/>
      <ns0:c r="Z201" s="106"/>
      <ns0:c r="AA201" s="106"/>
      <ns0:c r="AB201" s="106"/>
      <ns0:c r="AC201" s="115"/>
      <ns0:c r="AD201" s="87"/>
      <ns0:c r="AE201" s="87"/>
      <ns0:c r="AF201" s="87"/>
      <ns0:c r="AG201" s="87"/>
      <ns0:c r="AH201" s="87"/>
      <ns0:c r="AI201" s="87"/>
      <ns0:c r="AJ201" s="87"/>
      <ns0:c r="AK201" s="87"/>
      <ns0:c r="AL201" s="87"/>
      <ns0:c r="AM201" s="87"/>
      <ns0:c r="AN201" s="87"/>
      <ns0:c r="AO201" s="87"/>
      <ns0:c r="AP201" s="87"/>
      <ns0:c r="AQ201" s="87"/>
      <ns0:c r="AR201" s="87"/>
      <ns0:c r="AS201" s="87"/>
      <ns0:c r="AT201" s="87"/>
      <ns0:c r="AU201" s="87"/>
      <ns0:c r="AV201" s="87"/>
      <ns0:c r="AW201" s="87"/>
      <ns0:c r="AX201" s="87"/>
      <ns0:c r="AY201" s="87"/>
      <ns0:c r="AZ201" s="87"/>
      <ns0:c r="BA201" s="87"/>
    </ns0:row>
    <ns0:row r="202" spans="1:53">
      <ns0:c r="A202" s="106"/>
      <ns0:c r="B202" s="107"/>
      <ns0:c r="C202" s="108"/>
      <ns0:c r="D202" s="109"/>
      <ns0:c r="E202" s="106"/>
      <ns0:c r="F202" s="106"/>
      <ns0:c r="G202" s="106"/>
      <ns0:c r="H202" s="106"/>
      <ns0:c r="I202" s="106"/>
      <ns0:c r="J202" s="106"/>
      <ns0:c r="K202" s="106"/>
      <ns0:c r="L202" s="106"/>
      <ns0:c r="M202" s="106"/>
      <ns0:c r="N202" s="106"/>
      <ns0:c r="O202" s="106"/>
      <ns0:c r="P202" s="106"/>
      <ns0:c r="Q202" s="106"/>
      <ns0:c r="R202" s="106"/>
      <ns0:c r="S202" s="106"/>
      <ns0:c r="T202" s="106"/>
      <ns0:c r="U202" s="106"/>
      <ns0:c r="V202" s="106"/>
      <ns0:c r="W202" s="106"/>
      <ns0:c r="X202" s="106"/>
      <ns0:c r="Y202" s="106"/>
      <ns0:c r="Z202" s="106"/>
      <ns0:c r="AA202" s="106"/>
      <ns0:c r="AB202" s="106"/>
      <ns0:c r="AC202" s="115"/>
      <ns0:c r="AD202" s="87"/>
      <ns0:c r="AE202" s="87"/>
      <ns0:c r="AF202" s="87"/>
      <ns0:c r="AG202" s="87"/>
      <ns0:c r="AH202" s="87"/>
      <ns0:c r="AI202" s="87"/>
      <ns0:c r="AJ202" s="87"/>
      <ns0:c r="AK202" s="87"/>
      <ns0:c r="AL202" s="87"/>
      <ns0:c r="AM202" s="87"/>
      <ns0:c r="AN202" s="87"/>
      <ns0:c r="AO202" s="87"/>
      <ns0:c r="AP202" s="87"/>
      <ns0:c r="AQ202" s="87"/>
      <ns0:c r="AR202" s="87"/>
      <ns0:c r="AS202" s="87"/>
      <ns0:c r="AT202" s="87"/>
      <ns0:c r="AU202" s="87"/>
      <ns0:c r="AV202" s="87"/>
      <ns0:c r="AW202" s="87"/>
      <ns0:c r="AX202" s="87"/>
      <ns0:c r="AY202" s="87"/>
      <ns0:c r="AZ202" s="87"/>
      <ns0:c r="BA202" s="87"/>
    </ns0:row>
    <ns0:row r="203" spans="1:53">
      <ns0:c r="A203" s="106"/>
      <ns0:c r="B203" s="107"/>
      <ns0:c r="C203" s="108"/>
      <ns0:c r="D203" s="109"/>
      <ns0:c r="E203" s="106"/>
      <ns0:c r="F203" s="106"/>
      <ns0:c r="G203" s="106"/>
      <ns0:c r="H203" s="106"/>
      <ns0:c r="I203" s="106"/>
      <ns0:c r="J203" s="106"/>
      <ns0:c r="K203" s="106"/>
      <ns0:c r="L203" s="106"/>
      <ns0:c r="M203" s="106"/>
      <ns0:c r="N203" s="106"/>
      <ns0:c r="O203" s="106"/>
      <ns0:c r="P203" s="106"/>
      <ns0:c r="Q203" s="106"/>
      <ns0:c r="R203" s="106"/>
      <ns0:c r="S203" s="106"/>
      <ns0:c r="T203" s="106"/>
      <ns0:c r="U203" s="106"/>
      <ns0:c r="V203" s="106"/>
      <ns0:c r="W203" s="106"/>
      <ns0:c r="X203" s="106"/>
      <ns0:c r="Y203" s="106"/>
      <ns0:c r="Z203" s="106"/>
      <ns0:c r="AA203" s="106"/>
      <ns0:c r="AB203" s="106"/>
      <ns0:c r="AC203" s="115"/>
      <ns0:c r="AD203" s="87"/>
      <ns0:c r="AE203" s="87"/>
      <ns0:c r="AF203" s="87"/>
      <ns0:c r="AG203" s="87"/>
      <ns0:c r="AH203" s="87"/>
      <ns0:c r="AI203" s="87"/>
      <ns0:c r="AJ203" s="87"/>
      <ns0:c r="AK203" s="87"/>
      <ns0:c r="AL203" s="87"/>
      <ns0:c r="AM203" s="87"/>
      <ns0:c r="AN203" s="87"/>
      <ns0:c r="AO203" s="87"/>
      <ns0:c r="AP203" s="87"/>
      <ns0:c r="AQ203" s="87"/>
      <ns0:c r="AR203" s="87"/>
      <ns0:c r="AS203" s="87"/>
      <ns0:c r="AT203" s="87"/>
      <ns0:c r="AU203" s="87"/>
      <ns0:c r="AV203" s="87"/>
      <ns0:c r="AW203" s="87"/>
      <ns0:c r="AX203" s="87"/>
      <ns0:c r="AY203" s="87"/>
      <ns0:c r="AZ203" s="87"/>
      <ns0:c r="BA203" s="87"/>
    </ns0:row>
    <ns0:row r="204" spans="1:53">
      <ns0:c r="A204" s="106"/>
      <ns0:c r="B204" s="107"/>
      <ns0:c r="C204" s="108"/>
      <ns0:c r="D204" s="109"/>
      <ns0:c r="E204" s="106"/>
      <ns0:c r="F204" s="106"/>
      <ns0:c r="G204" s="106"/>
      <ns0:c r="H204" s="106"/>
      <ns0:c r="I204" s="106"/>
      <ns0:c r="J204" s="106"/>
      <ns0:c r="K204" s="106"/>
      <ns0:c r="L204" s="106"/>
      <ns0:c r="M204" s="106"/>
      <ns0:c r="N204" s="106"/>
      <ns0:c r="O204" s="106"/>
      <ns0:c r="P204" s="106"/>
      <ns0:c r="Q204" s="106"/>
      <ns0:c r="R204" s="106"/>
      <ns0:c r="S204" s="106"/>
      <ns0:c r="T204" s="106"/>
      <ns0:c r="U204" s="106"/>
      <ns0:c r="V204" s="106"/>
      <ns0:c r="W204" s="106"/>
      <ns0:c r="X204" s="106"/>
      <ns0:c r="Y204" s="106"/>
      <ns0:c r="Z204" s="106"/>
      <ns0:c r="AA204" s="106"/>
      <ns0:c r="AB204" s="106"/>
      <ns0:c r="AC204" s="115"/>
      <ns0:c r="AD204" s="87"/>
      <ns0:c r="AE204" s="87"/>
      <ns0:c r="AF204" s="87"/>
      <ns0:c r="AG204" s="87"/>
      <ns0:c r="AH204" s="87"/>
      <ns0:c r="AI204" s="87"/>
      <ns0:c r="AJ204" s="87"/>
      <ns0:c r="AK204" s="87"/>
      <ns0:c r="AL204" s="87"/>
      <ns0:c r="AM204" s="87"/>
      <ns0:c r="AN204" s="87"/>
      <ns0:c r="AO204" s="87"/>
      <ns0:c r="AP204" s="87"/>
      <ns0:c r="AQ204" s="87"/>
      <ns0:c r="AR204" s="87"/>
      <ns0:c r="AS204" s="87"/>
      <ns0:c r="AT204" s="87"/>
      <ns0:c r="AU204" s="87"/>
      <ns0:c r="AV204" s="87"/>
      <ns0:c r="AW204" s="87"/>
      <ns0:c r="AX204" s="87"/>
      <ns0:c r="AY204" s="87"/>
      <ns0:c r="AZ204" s="87"/>
      <ns0:c r="BA204" s="87"/>
    </ns0:row>
    <ns0:row r="205" spans="1:53">
      <ns0:c r="A205" s="106"/>
      <ns0:c r="B205" s="107"/>
      <ns0:c r="C205" s="108"/>
      <ns0:c r="D205" s="109"/>
      <ns0:c r="E205" s="106"/>
      <ns0:c r="F205" s="106"/>
      <ns0:c r="G205" s="106"/>
      <ns0:c r="H205" s="106"/>
      <ns0:c r="I205" s="106"/>
      <ns0:c r="J205" s="106"/>
      <ns0:c r="K205" s="106"/>
      <ns0:c r="L205" s="106"/>
      <ns0:c r="M205" s="106"/>
      <ns0:c r="N205" s="106"/>
      <ns0:c r="O205" s="106"/>
      <ns0:c r="P205" s="106"/>
      <ns0:c r="Q205" s="106"/>
      <ns0:c r="R205" s="106"/>
      <ns0:c r="S205" s="106"/>
      <ns0:c r="T205" s="106"/>
      <ns0:c r="U205" s="106"/>
      <ns0:c r="V205" s="106"/>
      <ns0:c r="W205" s="106"/>
      <ns0:c r="X205" s="106"/>
      <ns0:c r="Y205" s="106"/>
      <ns0:c r="Z205" s="106"/>
      <ns0:c r="AA205" s="106"/>
      <ns0:c r="AB205" s="106"/>
      <ns0:c r="AC205" s="115"/>
      <ns0:c r="AD205" s="87"/>
      <ns0:c r="AE205" s="87"/>
      <ns0:c r="AF205" s="87"/>
      <ns0:c r="AG205" s="87"/>
      <ns0:c r="AH205" s="87"/>
      <ns0:c r="AI205" s="87"/>
      <ns0:c r="AJ205" s="87"/>
      <ns0:c r="AK205" s="87"/>
      <ns0:c r="AL205" s="87"/>
      <ns0:c r="AM205" s="87"/>
      <ns0:c r="AN205" s="87"/>
      <ns0:c r="AO205" s="87"/>
      <ns0:c r="AP205" s="87"/>
      <ns0:c r="AQ205" s="87"/>
      <ns0:c r="AR205" s="87"/>
      <ns0:c r="AS205" s="87"/>
      <ns0:c r="AT205" s="87"/>
      <ns0:c r="AU205" s="87"/>
      <ns0:c r="AV205" s="87"/>
      <ns0:c r="AW205" s="87"/>
      <ns0:c r="AX205" s="87"/>
      <ns0:c r="AY205" s="87"/>
      <ns0:c r="AZ205" s="87"/>
      <ns0:c r="BA205" s="87"/>
    </ns0:row>
    <ns0:row r="206" spans="1:53">
      <ns0:c r="A206" s="106"/>
      <ns0:c r="B206" s="107"/>
      <ns0:c r="C206" s="108"/>
      <ns0:c r="D206" s="109"/>
      <ns0:c r="E206" s="106"/>
      <ns0:c r="F206" s="106"/>
      <ns0:c r="G206" s="106"/>
      <ns0:c r="H206" s="106"/>
      <ns0:c r="I206" s="106"/>
      <ns0:c r="J206" s="106"/>
      <ns0:c r="K206" s="106"/>
      <ns0:c r="L206" s="106"/>
      <ns0:c r="M206" s="106"/>
      <ns0:c r="N206" s="106"/>
      <ns0:c r="O206" s="106"/>
      <ns0:c r="P206" s="106"/>
      <ns0:c r="Q206" s="106"/>
      <ns0:c r="R206" s="106"/>
      <ns0:c r="S206" s="106"/>
      <ns0:c r="T206" s="106"/>
      <ns0:c r="U206" s="106"/>
      <ns0:c r="V206" s="106"/>
      <ns0:c r="W206" s="106"/>
      <ns0:c r="X206" s="106"/>
      <ns0:c r="Y206" s="106"/>
      <ns0:c r="Z206" s="106"/>
      <ns0:c r="AA206" s="106"/>
      <ns0:c r="AB206" s="106"/>
      <ns0:c r="AC206" s="115"/>
      <ns0:c r="AD206" s="87"/>
      <ns0:c r="AE206" s="87"/>
      <ns0:c r="AF206" s="87"/>
      <ns0:c r="AG206" s="87"/>
      <ns0:c r="AH206" s="87"/>
      <ns0:c r="AI206" s="87"/>
      <ns0:c r="AJ206" s="87"/>
      <ns0:c r="AK206" s="87"/>
      <ns0:c r="AL206" s="87"/>
      <ns0:c r="AM206" s="87"/>
      <ns0:c r="AN206" s="87"/>
      <ns0:c r="AO206" s="87"/>
      <ns0:c r="AP206" s="87"/>
      <ns0:c r="AQ206" s="87"/>
      <ns0:c r="AR206" s="87"/>
      <ns0:c r="AS206" s="87"/>
      <ns0:c r="AT206" s="87"/>
      <ns0:c r="AU206" s="87"/>
      <ns0:c r="AV206" s="87"/>
      <ns0:c r="AW206" s="87"/>
      <ns0:c r="AX206" s="87"/>
      <ns0:c r="AY206" s="87"/>
      <ns0:c r="AZ206" s="87"/>
      <ns0:c r="BA206" s="87"/>
    </ns0:row>
    <ns0:row r="207" spans="1:53">
      <ns0:c r="A207" s="106"/>
      <ns0:c r="B207" s="110"/>
      <ns0:c r="C207" s="110"/>
      <ns0:c r="D207" s="109"/>
      <ns0:c r="E207" s="106"/>
      <ns0:c r="F207" s="106"/>
      <ns0:c r="G207" s="106"/>
      <ns0:c r="H207" s="106"/>
      <ns0:c r="I207" s="106"/>
      <ns0:c r="J207" s="106"/>
      <ns0:c r="K207" s="106"/>
      <ns0:c r="L207" s="106"/>
      <ns0:c r="M207" s="106"/>
      <ns0:c r="N207" s="106"/>
      <ns0:c r="O207" s="106"/>
      <ns0:c r="P207" s="106"/>
      <ns0:c r="Q207" s="106"/>
      <ns0:c r="R207" s="106"/>
      <ns0:c r="S207" s="106"/>
      <ns0:c r="T207" s="106"/>
      <ns0:c r="U207" s="106"/>
      <ns0:c r="V207" s="106"/>
      <ns0:c r="W207" s="106"/>
      <ns0:c r="X207" s="106"/>
      <ns0:c r="Y207" s="106"/>
      <ns0:c r="Z207" s="106"/>
      <ns0:c r="AA207" s="106"/>
      <ns0:c r="AB207" s="106"/>
      <ns0:c r="AC207" s="115"/>
      <ns0:c r="AD207" s="87"/>
      <ns0:c r="AE207" s="87"/>
      <ns0:c r="AF207" s="87"/>
      <ns0:c r="AG207" s="87"/>
      <ns0:c r="AH207" s="87"/>
      <ns0:c r="AI207" s="87"/>
      <ns0:c r="AJ207" s="87"/>
      <ns0:c r="AK207" s="87"/>
      <ns0:c r="AL207" s="87"/>
      <ns0:c r="AM207" s="87"/>
      <ns0:c r="AN207" s="87"/>
      <ns0:c r="AO207" s="87"/>
      <ns0:c r="AP207" s="87"/>
      <ns0:c r="AQ207" s="87"/>
      <ns0:c r="AR207" s="87"/>
      <ns0:c r="AS207" s="87"/>
      <ns0:c r="AT207" s="87"/>
      <ns0:c r="AU207" s="87"/>
      <ns0:c r="AV207" s="87"/>
      <ns0:c r="AW207" s="87"/>
      <ns0:c r="AX207" s="87"/>
      <ns0:c r="AY207" s="87"/>
      <ns0:c r="AZ207" s="87"/>
      <ns0:c r="BA207" s="87"/>
    </ns0:row>
    <ns0:row r="208" spans="1:53">
      <ns0:c r="A208" s="106"/>
      <ns0:c r="B208" s="107"/>
      <ns0:c r="C208" s="108"/>
      <ns0:c r="D208" s="109"/>
      <ns0:c r="E208" s="106"/>
      <ns0:c r="F208" s="106"/>
      <ns0:c r="G208" s="106"/>
      <ns0:c r="H208" s="106"/>
      <ns0:c r="I208" s="106"/>
      <ns0:c r="J208" s="106"/>
      <ns0:c r="K208" s="106"/>
      <ns0:c r="L208" s="106"/>
      <ns0:c r="M208" s="106"/>
      <ns0:c r="N208" s="106"/>
      <ns0:c r="O208" s="106"/>
      <ns0:c r="P208" s="106"/>
      <ns0:c r="Q208" s="106"/>
      <ns0:c r="R208" s="106"/>
      <ns0:c r="S208" s="106"/>
      <ns0:c r="T208" s="106"/>
      <ns0:c r="U208" s="106"/>
      <ns0:c r="V208" s="106"/>
      <ns0:c r="W208" s="106"/>
      <ns0:c r="X208" s="106"/>
      <ns0:c r="Y208" s="106"/>
      <ns0:c r="Z208" s="106"/>
      <ns0:c r="AA208" s="106"/>
      <ns0:c r="AB208" s="106"/>
      <ns0:c r="AC208" s="115"/>
      <ns0:c r="AD208" s="87"/>
      <ns0:c r="AE208" s="87"/>
      <ns0:c r="AF208" s="87"/>
      <ns0:c r="AG208" s="87"/>
      <ns0:c r="AH208" s="87"/>
      <ns0:c r="AI208" s="87"/>
      <ns0:c r="AJ208" s="87"/>
      <ns0:c r="AK208" s="87"/>
      <ns0:c r="AL208" s="87"/>
      <ns0:c r="AM208" s="87"/>
      <ns0:c r="AN208" s="87"/>
      <ns0:c r="AO208" s="87"/>
      <ns0:c r="AP208" s="87"/>
      <ns0:c r="AQ208" s="87"/>
      <ns0:c r="AR208" s="87"/>
      <ns0:c r="AS208" s="87"/>
      <ns0:c r="AT208" s="87"/>
      <ns0:c r="AU208" s="87"/>
      <ns0:c r="AV208" s="87"/>
      <ns0:c r="AW208" s="87"/>
      <ns0:c r="AX208" s="87"/>
      <ns0:c r="AY208" s="87"/>
      <ns0:c r="AZ208" s="87"/>
      <ns0:c r="BA208" s="87"/>
    </ns0:row>
    <ns0:row r="209" spans="1:53">
      <ns0:c r="A209" s="106"/>
      <ns0:c r="B209" s="107"/>
      <ns0:c r="C209" s="108"/>
      <ns0:c r="D209" s="109"/>
      <ns0:c r="E209" s="106"/>
      <ns0:c r="F209" s="106"/>
      <ns0:c r="G209" s="106"/>
      <ns0:c r="H209" s="106"/>
      <ns0:c r="I209" s="106"/>
      <ns0:c r="J209" s="106"/>
      <ns0:c r="K209" s="106"/>
      <ns0:c r="L209" s="106"/>
      <ns0:c r="M209" s="106"/>
      <ns0:c r="N209" s="106"/>
      <ns0:c r="O209" s="106"/>
      <ns0:c r="P209" s="106"/>
      <ns0:c r="Q209" s="106"/>
      <ns0:c r="R209" s="106"/>
      <ns0:c r="S209" s="106"/>
      <ns0:c r="T209" s="106"/>
      <ns0:c r="U209" s="106"/>
      <ns0:c r="V209" s="106"/>
      <ns0:c r="W209" s="106"/>
      <ns0:c r="X209" s="106"/>
      <ns0:c r="Y209" s="106"/>
      <ns0:c r="Z209" s="106"/>
      <ns0:c r="AA209" s="106"/>
      <ns0:c r="AB209" s="106"/>
      <ns0:c r="AC209" s="115"/>
      <ns0:c r="AD209" s="87"/>
      <ns0:c r="AE209" s="87"/>
      <ns0:c r="AF209" s="87"/>
      <ns0:c r="AG209" s="87"/>
      <ns0:c r="AH209" s="87"/>
      <ns0:c r="AI209" s="87"/>
      <ns0:c r="AJ209" s="87"/>
      <ns0:c r="AK209" s="87"/>
      <ns0:c r="AL209" s="87"/>
      <ns0:c r="AM209" s="87"/>
      <ns0:c r="AN209" s="87"/>
      <ns0:c r="AO209" s="87"/>
      <ns0:c r="AP209" s="87"/>
      <ns0:c r="AQ209" s="87"/>
      <ns0:c r="AR209" s="87"/>
      <ns0:c r="AS209" s="87"/>
      <ns0:c r="AT209" s="87"/>
      <ns0:c r="AU209" s="87"/>
      <ns0:c r="AV209" s="87"/>
      <ns0:c r="AW209" s="87"/>
      <ns0:c r="AX209" s="87"/>
      <ns0:c r="AY209" s="87"/>
      <ns0:c r="AZ209" s="87"/>
      <ns0:c r="BA209" s="87"/>
    </ns0:row>
    <ns0:row r="210" s="86" customFormat="1" spans="1:106">
      <ns0:c r="A210" s="106"/>
      <ns0:c r="B210" s="107"/>
      <ns0:c r="C210" s="108"/>
      <ns0:c r="D210" s="109"/>
      <ns0:c r="E210" s="112"/>
      <ns0:c r="F210" s="112"/>
      <ns0:c r="G210" s="112"/>
      <ns0:c r="H210" s="112"/>
      <ns0:c r="I210" s="112"/>
      <ns0:c r="J210" s="112"/>
      <ns0:c r="K210" s="112"/>
      <ns0:c r="L210" s="112"/>
      <ns0:c r="M210" s="112"/>
      <ns0:c r="N210" s="112"/>
      <ns0:c r="O210" s="112"/>
      <ns0:c r="P210" s="112"/>
      <ns0:c r="Q210" s="112"/>
      <ns0:c r="R210" s="112"/>
      <ns0:c r="S210" s="112"/>
      <ns0:c r="T210" s="112"/>
      <ns0:c r="U210" s="112"/>
      <ns0:c r="V210" s="112"/>
      <ns0:c r="W210" s="112"/>
      <ns0:c r="X210" s="112"/>
      <ns0:c r="Y210" s="112"/>
      <ns0:c r="Z210" s="112"/>
      <ns0:c r="AA210" s="112"/>
      <ns0:c r="AB210" s="112"/>
      <ns0:c r="AC210" s="115"/>
      <ns0:c r="AD210" s="87"/>
      <ns0:c r="AE210" s="87"/>
      <ns0:c r="AF210" s="87"/>
      <ns0:c r="AG210" s="87"/>
      <ns0:c r="AH210" s="87"/>
      <ns0:c r="AI210" s="87"/>
      <ns0:c r="AJ210" s="87"/>
      <ns0:c r="AK210" s="87"/>
      <ns0:c r="AL210" s="87"/>
      <ns0:c r="AM210" s="87"/>
      <ns0:c r="AN210" s="87"/>
      <ns0:c r="AO210" s="87"/>
      <ns0:c r="AP210" s="87"/>
      <ns0:c r="AQ210" s="87"/>
      <ns0:c r="AR210" s="87"/>
      <ns0:c r="AS210" s="87"/>
      <ns0:c r="AT210" s="87"/>
      <ns0:c r="AU210" s="87"/>
      <ns0:c r="AV210" s="87"/>
      <ns0:c r="AW210" s="87"/>
      <ns0:c r="AX210" s="87"/>
      <ns0:c r="AY210" s="87"/>
      <ns0:c r="AZ210" s="87"/>
      <ns0:c r="BA210" s="87"/>
      <ns0:c r="BB210" s="87"/>
      <ns0:c r="BC210" s="87"/>
      <ns0:c r="BD210" s="87"/>
      <ns0:c r="BE210" s="87"/>
      <ns0:c r="BF210" s="87"/>
      <ns0:c r="BG210" s="87"/>
      <ns0:c r="BH210" s="87"/>
      <ns0:c r="BI210" s="87"/>
      <ns0:c r="BJ210" s="87"/>
      <ns0:c r="BK210" s="87"/>
      <ns0:c r="BL210" s="87"/>
      <ns0:c r="BM210" s="87"/>
      <ns0:c r="BN210" s="87"/>
      <ns0:c r="BO210" s="87"/>
      <ns0:c r="BP210" s="87"/>
      <ns0:c r="BQ210" s="87"/>
      <ns0:c r="BR210" s="87"/>
      <ns0:c r="BS210" s="87"/>
      <ns0:c r="BT210" s="87"/>
      <ns0:c r="BU210" s="87"/>
      <ns0:c r="BV210" s="87"/>
      <ns0:c r="BW210" s="87"/>
      <ns0:c r="BX210" s="87"/>
      <ns0:c r="BY210" s="87"/>
      <ns0:c r="BZ210" s="87"/>
      <ns0:c r="CA210" s="87"/>
      <ns0:c r="CB210" s="87"/>
      <ns0:c r="CC210" s="87"/>
      <ns0:c r="CD210" s="87"/>
      <ns0:c r="CE210" s="87"/>
      <ns0:c r="CF210" s="87"/>
      <ns0:c r="CG210" s="87"/>
      <ns0:c r="CH210" s="87"/>
      <ns0:c r="CI210" s="87"/>
      <ns0:c r="CJ210" s="87"/>
      <ns0:c r="CK210" s="87"/>
      <ns0:c r="CL210" s="87"/>
      <ns0:c r="CM210" s="87"/>
      <ns0:c r="CN210" s="87"/>
      <ns0:c r="CO210" s="87"/>
      <ns0:c r="CP210" s="87"/>
      <ns0:c r="CQ210" s="87"/>
      <ns0:c r="CR210" s="87"/>
      <ns0:c r="CS210" s="87"/>
      <ns0:c r="CT210" s="87"/>
      <ns0:c r="CU210" s="87"/>
      <ns0:c r="CV210" s="87"/>
      <ns0:c r="CW210" s="87"/>
      <ns0:c r="CX210" s="87"/>
      <ns0:c r="CY210" s="87"/>
      <ns0:c r="CZ210" s="87"/>
      <ns0:c r="DA210" s="87"/>
      <ns0:c r="DB210" s="87"/>
    </ns0:row>
    <ns0:row r="211" s="86" customFormat="1" spans="1:53">
      <ns0:c r="A211" s="106"/>
      <ns0:c r="B211" s="106"/>
      <ns0:c r="C211" s="108"/>
      <ns0:c r="D211" s="109"/>
      <ns0:c r="E211" s="106"/>
      <ns0:c r="F211" s="106"/>
      <ns0:c r="G211" s="106"/>
      <ns0:c r="H211" s="106"/>
      <ns0:c r="I211" s="106"/>
      <ns0:c r="J211" s="106"/>
      <ns0:c r="K211" s="106"/>
      <ns0:c r="L211" s="106"/>
      <ns0:c r="M211" s="106"/>
      <ns0:c r="N211" s="106"/>
      <ns0:c r="O211" s="106"/>
      <ns0:c r="P211" s="106"/>
      <ns0:c r="Q211" s="106"/>
      <ns0:c r="R211" s="106"/>
      <ns0:c r="S211" s="106"/>
      <ns0:c r="T211" s="106"/>
      <ns0:c r="U211" s="106"/>
      <ns0:c r="V211" s="106"/>
      <ns0:c r="W211" s="106"/>
      <ns0:c r="X211" s="106"/>
      <ns0:c r="Y211" s="106"/>
      <ns0:c r="Z211" s="106"/>
      <ns0:c r="AA211" s="106"/>
      <ns0:c r="AB211" s="106"/>
      <ns0:c r="AC211" s="115"/>
      <ns0:c r="AD211" s="87"/>
      <ns0:c r="AE211" s="87"/>
      <ns0:c r="AF211" s="87"/>
      <ns0:c r="AG211" s="87"/>
      <ns0:c r="AH211" s="87"/>
      <ns0:c r="AI211" s="87"/>
      <ns0:c r="AJ211" s="87"/>
      <ns0:c r="AK211" s="87"/>
      <ns0:c r="AL211" s="87"/>
      <ns0:c r="AM211" s="87"/>
      <ns0:c r="AN211" s="87"/>
      <ns0:c r="AO211" s="87"/>
      <ns0:c r="AP211" s="87"/>
      <ns0:c r="AQ211" s="87"/>
      <ns0:c r="AR211" s="87"/>
      <ns0:c r="AS211" s="87"/>
      <ns0:c r="AT211" s="87"/>
      <ns0:c r="AU211" s="87"/>
      <ns0:c r="AV211" s="87"/>
      <ns0:c r="AW211" s="87"/>
      <ns0:c r="AX211" s="87"/>
      <ns0:c r="AY211" s="87"/>
      <ns0:c r="AZ211" s="87"/>
      <ns0:c r="BA211" s="87"/>
    </ns0:row>
    <ns0:row r="212" spans="1:53">
      <ns0:c r="A212" s="106"/>
      <ns0:c r="B212" s="107"/>
      <ns0:c r="C212" s="108"/>
      <ns0:c r="D212" s="109"/>
      <ns0:c r="E212" s="112"/>
      <ns0:c r="F212" s="112"/>
      <ns0:c r="G212" s="112"/>
      <ns0:c r="H212" s="112"/>
      <ns0:c r="I212" s="112"/>
      <ns0:c r="J212" s="112"/>
      <ns0:c r="K212" s="112"/>
      <ns0:c r="L212" s="112"/>
      <ns0:c r="M212" s="112"/>
      <ns0:c r="N212" s="112"/>
      <ns0:c r="O212" s="112"/>
      <ns0:c r="P212" s="112"/>
      <ns0:c r="Q212" s="112"/>
      <ns0:c r="R212" s="112"/>
      <ns0:c r="S212" s="112"/>
      <ns0:c r="T212" s="112"/>
      <ns0:c r="U212" s="112"/>
      <ns0:c r="V212" s="112"/>
      <ns0:c r="W212" s="112"/>
      <ns0:c r="X212" s="112"/>
      <ns0:c r="Y212" s="112"/>
      <ns0:c r="Z212" s="112"/>
      <ns0:c r="AA212" s="112"/>
      <ns0:c r="AB212" s="112"/>
      <ns0:c r="AC212" s="115"/>
      <ns0:c r="AD212" s="87"/>
      <ns0:c r="AE212" s="87"/>
      <ns0:c r="AF212" s="87"/>
      <ns0:c r="AG212" s="87"/>
      <ns0:c r="AH212" s="87"/>
      <ns0:c r="AI212" s="87"/>
      <ns0:c r="AJ212" s="87"/>
      <ns0:c r="AK212" s="87"/>
      <ns0:c r="AL212" s="87"/>
      <ns0:c r="AM212" s="87"/>
      <ns0:c r="AN212" s="87"/>
      <ns0:c r="AO212" s="87"/>
      <ns0:c r="AP212" s="87"/>
      <ns0:c r="AQ212" s="87"/>
      <ns0:c r="AR212" s="87"/>
      <ns0:c r="AS212" s="87"/>
      <ns0:c r="AT212" s="87"/>
      <ns0:c r="AU212" s="87"/>
      <ns0:c r="AV212" s="87"/>
      <ns0:c r="AW212" s="87"/>
      <ns0:c r="AX212" s="87"/>
      <ns0:c r="AY212" s="87"/>
      <ns0:c r="AZ212" s="87"/>
      <ns0:c r="BA212" s="87"/>
    </ns0:row>
    <ns0:row r="213" spans="1:53">
      <ns0:c r="A213" s="106"/>
      <ns0:c r="B213" s="107"/>
      <ns0:c r="C213" s="108"/>
      <ns0:c r="D213" s="109"/>
      <ns0:c r="E213" s="106"/>
      <ns0:c r="F213" s="106"/>
      <ns0:c r="G213" s="106"/>
      <ns0:c r="H213" s="106"/>
      <ns0:c r="I213" s="106"/>
      <ns0:c r="J213" s="106"/>
      <ns0:c r="K213" s="106"/>
      <ns0:c r="L213" s="106"/>
      <ns0:c r="M213" s="106"/>
      <ns0:c r="N213" s="106"/>
      <ns0:c r="O213" s="106"/>
      <ns0:c r="P213" s="106"/>
      <ns0:c r="Q213" s="106"/>
      <ns0:c r="R213" s="106"/>
      <ns0:c r="S213" s="106"/>
      <ns0:c r="T213" s="106"/>
      <ns0:c r="U213" s="106"/>
      <ns0:c r="V213" s="106"/>
      <ns0:c r="W213" s="106"/>
      <ns0:c r="X213" s="106"/>
      <ns0:c r="Y213" s="106"/>
      <ns0:c r="Z213" s="106"/>
      <ns0:c r="AA213" s="106"/>
      <ns0:c r="AB213" s="106"/>
      <ns0:c r="AC213" s="115"/>
      <ns0:c r="AD213" s="87"/>
      <ns0:c r="AE213" s="87"/>
      <ns0:c r="AF213" s="87"/>
      <ns0:c r="AG213" s="87"/>
      <ns0:c r="AH213" s="87"/>
      <ns0:c r="AI213" s="87"/>
      <ns0:c r="AJ213" s="87"/>
      <ns0:c r="AK213" s="87"/>
      <ns0:c r="AL213" s="87"/>
      <ns0:c r="AM213" s="87"/>
      <ns0:c r="AN213" s="87"/>
      <ns0:c r="AO213" s="87"/>
      <ns0:c r="AP213" s="87"/>
      <ns0:c r="AQ213" s="87"/>
      <ns0:c r="AR213" s="87"/>
      <ns0:c r="AS213" s="87"/>
      <ns0:c r="AT213" s="87"/>
      <ns0:c r="AU213" s="87"/>
      <ns0:c r="AV213" s="87"/>
      <ns0:c r="AW213" s="87"/>
      <ns0:c r="AX213" s="87"/>
      <ns0:c r="AY213" s="87"/>
      <ns0:c r="AZ213" s="87"/>
      <ns0:c r="BA213" s="87"/>
    </ns0:row>
    <ns0:row r="214" spans="1:53">
      <ns0:c r="A214" s="106"/>
      <ns0:c r="B214" s="107"/>
      <ns0:c r="C214" s="108"/>
      <ns0:c r="D214" s="109"/>
      <ns0:c r="E214" s="106"/>
      <ns0:c r="F214" s="106"/>
      <ns0:c r="G214" s="106"/>
      <ns0:c r="H214" s="106"/>
      <ns0:c r="I214" s="106"/>
      <ns0:c r="J214" s="106"/>
      <ns0:c r="K214" s="106"/>
      <ns0:c r="L214" s="106"/>
      <ns0:c r="M214" s="106"/>
      <ns0:c r="N214" s="106"/>
      <ns0:c r="O214" s="106"/>
      <ns0:c r="P214" s="106"/>
      <ns0:c r="Q214" s="106"/>
      <ns0:c r="R214" s="106"/>
      <ns0:c r="S214" s="106"/>
      <ns0:c r="T214" s="106"/>
      <ns0:c r="U214" s="106"/>
      <ns0:c r="V214" s="106"/>
      <ns0:c r="W214" s="106"/>
      <ns0:c r="X214" s="106"/>
      <ns0:c r="Y214" s="106"/>
      <ns0:c r="Z214" s="106"/>
      <ns0:c r="AA214" s="106"/>
      <ns0:c r="AB214" s="106"/>
      <ns0:c r="AC214" s="115"/>
      <ns0:c r="AD214" s="87"/>
      <ns0:c r="AE214" s="87"/>
      <ns0:c r="AF214" s="87"/>
      <ns0:c r="AG214" s="87"/>
      <ns0:c r="AH214" s="87"/>
      <ns0:c r="AI214" s="87"/>
      <ns0:c r="AJ214" s="87"/>
      <ns0:c r="AK214" s="87"/>
      <ns0:c r="AL214" s="87"/>
      <ns0:c r="AM214" s="87"/>
      <ns0:c r="AN214" s="87"/>
      <ns0:c r="AO214" s="87"/>
      <ns0:c r="AP214" s="87"/>
      <ns0:c r="AQ214" s="87"/>
      <ns0:c r="AR214" s="87"/>
      <ns0:c r="AS214" s="87"/>
      <ns0:c r="AT214" s="87"/>
      <ns0:c r="AU214" s="87"/>
      <ns0:c r="AV214" s="87"/>
      <ns0:c r="AW214" s="87"/>
      <ns0:c r="AX214" s="87"/>
      <ns0:c r="AY214" s="87"/>
      <ns0:c r="AZ214" s="87"/>
      <ns0:c r="BA214" s="87"/>
    </ns0:row>
    <ns0:row r="215" spans="1:53">
      <ns0:c r="A215" s="106"/>
      <ns0:c r="B215" s="107"/>
      <ns0:c r="C215" s="108"/>
      <ns0:c r="D215" s="109"/>
      <ns0:c r="E215" s="106"/>
      <ns0:c r="F215" s="106"/>
      <ns0:c r="G215" s="106"/>
      <ns0:c r="H215" s="106"/>
      <ns0:c r="I215" s="106"/>
      <ns0:c r="J215" s="106"/>
      <ns0:c r="K215" s="106"/>
      <ns0:c r="L215" s="106"/>
      <ns0:c r="M215" s="106"/>
      <ns0:c r="N215" s="106"/>
      <ns0:c r="O215" s="106"/>
      <ns0:c r="P215" s="106"/>
      <ns0:c r="Q215" s="106"/>
      <ns0:c r="R215" s="106"/>
      <ns0:c r="S215" s="106"/>
      <ns0:c r="T215" s="106"/>
      <ns0:c r="U215" s="106"/>
      <ns0:c r="V215" s="106"/>
      <ns0:c r="W215" s="106"/>
      <ns0:c r="X215" s="106"/>
      <ns0:c r="Y215" s="106"/>
      <ns0:c r="Z215" s="106"/>
      <ns0:c r="AA215" s="106"/>
      <ns0:c r="AB215" s="106"/>
      <ns0:c r="AC215" s="115"/>
      <ns0:c r="AD215" s="87"/>
      <ns0:c r="AE215" s="87"/>
      <ns0:c r="AF215" s="87"/>
      <ns0:c r="AG215" s="87"/>
      <ns0:c r="AH215" s="87"/>
      <ns0:c r="AI215" s="87"/>
      <ns0:c r="AJ215" s="87"/>
      <ns0:c r="AK215" s="87"/>
      <ns0:c r="AL215" s="87"/>
      <ns0:c r="AM215" s="87"/>
      <ns0:c r="AN215" s="87"/>
      <ns0:c r="AO215" s="87"/>
      <ns0:c r="AP215" s="87"/>
      <ns0:c r="AQ215" s="87"/>
      <ns0:c r="AR215" s="87"/>
      <ns0:c r="AS215" s="87"/>
      <ns0:c r="AT215" s="87"/>
      <ns0:c r="AU215" s="87"/>
      <ns0:c r="AV215" s="87"/>
      <ns0:c r="AW215" s="87"/>
      <ns0:c r="AX215" s="87"/>
      <ns0:c r="AY215" s="87"/>
      <ns0:c r="AZ215" s="87"/>
      <ns0:c r="BA215" s="87"/>
    </ns0:row>
    <ns0:row r="216" spans="1:53">
      <ns0:c r="A216" s="106"/>
      <ns0:c r="B216" s="107"/>
      <ns0:c r="C216" s="108"/>
      <ns0:c r="D216" s="109"/>
      <ns0:c r="E216" s="106"/>
      <ns0:c r="F216" s="106"/>
      <ns0:c r="G216" s="106"/>
      <ns0:c r="H216" s="106"/>
      <ns0:c r="I216" s="106"/>
      <ns0:c r="J216" s="106"/>
      <ns0:c r="K216" s="106"/>
      <ns0:c r="L216" s="106"/>
      <ns0:c r="M216" s="106"/>
      <ns0:c r="N216" s="106"/>
      <ns0:c r="O216" s="106"/>
      <ns0:c r="P216" s="106"/>
      <ns0:c r="Q216" s="106"/>
      <ns0:c r="R216" s="106"/>
      <ns0:c r="S216" s="106"/>
      <ns0:c r="T216" s="106"/>
      <ns0:c r="U216" s="106"/>
      <ns0:c r="V216" s="106"/>
      <ns0:c r="W216" s="106"/>
      <ns0:c r="X216" s="106"/>
      <ns0:c r="Y216" s="106"/>
      <ns0:c r="Z216" s="106"/>
      <ns0:c r="AA216" s="106"/>
      <ns0:c r="AB216" s="106"/>
      <ns0:c r="AC216" s="115"/>
      <ns0:c r="AD216" s="87"/>
      <ns0:c r="AE216" s="87"/>
      <ns0:c r="AF216" s="87"/>
      <ns0:c r="AG216" s="87"/>
      <ns0:c r="AH216" s="87"/>
      <ns0:c r="AI216" s="87"/>
      <ns0:c r="AJ216" s="87"/>
      <ns0:c r="AK216" s="87"/>
      <ns0:c r="AL216" s="87"/>
      <ns0:c r="AM216" s="87"/>
      <ns0:c r="AN216" s="87"/>
      <ns0:c r="AO216" s="87"/>
      <ns0:c r="AP216" s="87"/>
      <ns0:c r="AQ216" s="87"/>
      <ns0:c r="AR216" s="87"/>
      <ns0:c r="AS216" s="87"/>
      <ns0:c r="AT216" s="87"/>
      <ns0:c r="AU216" s="87"/>
      <ns0:c r="AV216" s="87"/>
      <ns0:c r="AW216" s="87"/>
      <ns0:c r="AX216" s="87"/>
      <ns0:c r="AY216" s="87"/>
      <ns0:c r="AZ216" s="87"/>
      <ns0:c r="BA216" s="87"/>
    </ns0:row>
    <ns0:row r="217" spans="1:53">
      <ns0:c r="A217" s="106"/>
      <ns0:c r="B217" s="107"/>
      <ns0:c r="C217" s="108"/>
      <ns0:c r="D217" s="109"/>
      <ns0:c r="E217" s="106"/>
      <ns0:c r="F217" s="106"/>
      <ns0:c r="G217" s="106"/>
      <ns0:c r="H217" s="106"/>
      <ns0:c r="I217" s="106"/>
      <ns0:c r="J217" s="106"/>
      <ns0:c r="K217" s="106"/>
      <ns0:c r="L217" s="106"/>
      <ns0:c r="M217" s="106"/>
      <ns0:c r="N217" s="106"/>
      <ns0:c r="O217" s="106"/>
      <ns0:c r="P217" s="106"/>
      <ns0:c r="Q217" s="106"/>
      <ns0:c r="R217" s="106"/>
      <ns0:c r="S217" s="106"/>
      <ns0:c r="T217" s="106"/>
      <ns0:c r="U217" s="106"/>
      <ns0:c r="V217" s="106"/>
      <ns0:c r="W217" s="106"/>
      <ns0:c r="X217" s="106"/>
      <ns0:c r="Y217" s="106"/>
      <ns0:c r="Z217" s="106"/>
      <ns0:c r="AA217" s="106"/>
      <ns0:c r="AB217" s="106"/>
      <ns0:c r="AC217" s="115"/>
      <ns0:c r="AD217" s="87"/>
      <ns0:c r="AE217" s="87"/>
      <ns0:c r="AF217" s="87"/>
      <ns0:c r="AG217" s="87"/>
      <ns0:c r="AH217" s="87"/>
      <ns0:c r="AI217" s="87"/>
      <ns0:c r="AJ217" s="87"/>
      <ns0:c r="AK217" s="87"/>
      <ns0:c r="AL217" s="87"/>
      <ns0:c r="AM217" s="87"/>
      <ns0:c r="AN217" s="87"/>
      <ns0:c r="AO217" s="87"/>
      <ns0:c r="AP217" s="87"/>
      <ns0:c r="AQ217" s="87"/>
      <ns0:c r="AR217" s="87"/>
      <ns0:c r="AS217" s="87"/>
      <ns0:c r="AT217" s="87"/>
      <ns0:c r="AU217" s="87"/>
      <ns0:c r="AV217" s="87"/>
      <ns0:c r="AW217" s="87"/>
      <ns0:c r="AX217" s="87"/>
      <ns0:c r="AY217" s="87"/>
      <ns0:c r="AZ217" s="87"/>
      <ns0:c r="BA217" s="87"/>
    </ns0:row>
    <ns0:row r="218" spans="1:29">
      <ns0:c r="A218" s="106"/>
      <ns0:c r="B218" s="107"/>
      <ns0:c r="C218" s="108"/>
      <ns0:c r="D218" s="109"/>
      <ns0:c r="E218" s="106"/>
      <ns0:c r="F218" s="106"/>
      <ns0:c r="G218" s="106"/>
      <ns0:c r="H218" s="106"/>
      <ns0:c r="I218" s="106"/>
      <ns0:c r="J218" s="106"/>
      <ns0:c r="K218" s="106"/>
      <ns0:c r="L218" s="106"/>
      <ns0:c r="M218" s="106"/>
      <ns0:c r="N218" s="106"/>
      <ns0:c r="O218" s="106"/>
      <ns0:c r="P218" s="106"/>
      <ns0:c r="Q218" s="106"/>
      <ns0:c r="R218" s="106"/>
      <ns0:c r="S218" s="106"/>
      <ns0:c r="T218" s="106"/>
      <ns0:c r="U218" s="106"/>
      <ns0:c r="V218" s="106"/>
      <ns0:c r="W218" s="106"/>
      <ns0:c r="X218" s="106"/>
      <ns0:c r="Y218" s="106"/>
      <ns0:c r="Z218" s="106"/>
      <ns0:c r="AA218" s="106"/>
      <ns0:c r="AB218" s="106"/>
      <ns0:c r="AC218" s="115"/>
    </ns0:row>
    <ns0:row r="219" spans="1:29">
      <ns0:c r="A219" s="106"/>
      <ns0:c r="B219" s="107"/>
      <ns0:c r="C219" s="108"/>
      <ns0:c r="D219" s="109"/>
      <ns0:c r="E219" s="106"/>
      <ns0:c r="F219" s="106"/>
      <ns0:c r="G219" s="106"/>
      <ns0:c r="H219" s="106"/>
      <ns0:c r="I219" s="106"/>
      <ns0:c r="J219" s="106"/>
      <ns0:c r="K219" s="106"/>
      <ns0:c r="L219" s="106"/>
      <ns0:c r="M219" s="106"/>
      <ns0:c r="N219" s="106"/>
      <ns0:c r="O219" s="106"/>
      <ns0:c r="P219" s="106"/>
      <ns0:c r="Q219" s="106"/>
      <ns0:c r="R219" s="106"/>
      <ns0:c r="S219" s="106"/>
      <ns0:c r="T219" s="106"/>
      <ns0:c r="U219" s="106"/>
      <ns0:c r="V219" s="106"/>
      <ns0:c r="W219" s="106"/>
      <ns0:c r="X219" s="106"/>
      <ns0:c r="Y219" s="106"/>
      <ns0:c r="Z219" s="106"/>
      <ns0:c r="AA219" s="106"/>
      <ns0:c r="AB219" s="106"/>
      <ns0:c r="AC219" s="115"/>
    </ns0:row>
    <ns0:row r="220" spans="1:29">
      <ns0:c r="A220" s="106"/>
      <ns0:c r="B220" s="110"/>
      <ns0:c r="C220" s="110"/>
      <ns0:c r="D220" s="109"/>
      <ns0:c r="E220" s="106"/>
      <ns0:c r="F220" s="106"/>
      <ns0:c r="G220" s="106"/>
      <ns0:c r="H220" s="106"/>
      <ns0:c r="I220" s="106"/>
      <ns0:c r="J220" s="106"/>
      <ns0:c r="K220" s="106"/>
      <ns0:c r="L220" s="106"/>
      <ns0:c r="M220" s="106"/>
      <ns0:c r="N220" s="106"/>
      <ns0:c r="O220" s="106"/>
      <ns0:c r="P220" s="106"/>
      <ns0:c r="Q220" s="106"/>
      <ns0:c r="R220" s="106"/>
      <ns0:c r="S220" s="106"/>
      <ns0:c r="T220" s="106"/>
      <ns0:c r="U220" s="106"/>
      <ns0:c r="V220" s="106"/>
      <ns0:c r="W220" s="106"/>
      <ns0:c r="X220" s="106"/>
      <ns0:c r="Y220" s="106"/>
      <ns0:c r="Z220" s="106"/>
      <ns0:c r="AA220" s="106"/>
      <ns0:c r="AB220" s="106"/>
      <ns0:c r="AC220" s="115"/>
    </ns0:row>
    <ns0:row r="221" spans="1:29">
      <ns0:c r="A221" s="106"/>
      <ns0:c r="B221" s="107"/>
      <ns0:c r="C221" s="108"/>
      <ns0:c r="D221" s="109"/>
      <ns0:c r="E221" s="106"/>
      <ns0:c r="F221" s="106"/>
      <ns0:c r="G221" s="106"/>
      <ns0:c r="H221" s="106"/>
      <ns0:c r="I221" s="106"/>
      <ns0:c r="J221" s="106"/>
      <ns0:c r="K221" s="106"/>
      <ns0:c r="L221" s="106"/>
      <ns0:c r="M221" s="106"/>
      <ns0:c r="N221" s="106"/>
      <ns0:c r="O221" s="106"/>
      <ns0:c r="P221" s="106"/>
      <ns0:c r="Q221" s="106"/>
      <ns0:c r="R221" s="106"/>
      <ns0:c r="S221" s="106"/>
      <ns0:c r="T221" s="106"/>
      <ns0:c r="U221" s="106"/>
      <ns0:c r="V221" s="106"/>
      <ns0:c r="W221" s="106"/>
      <ns0:c r="X221" s="106"/>
      <ns0:c r="Y221" s="106"/>
      <ns0:c r="Z221" s="106"/>
      <ns0:c r="AA221" s="106"/>
      <ns0:c r="AB221" s="106"/>
      <ns0:c r="AC221" s="115"/>
    </ns0:row>
    <ns0:row r="222" spans="1:29">
      <ns0:c r="A222" s="106"/>
      <ns0:c r="B222" s="107"/>
      <ns0:c r="C222" s="108"/>
      <ns0:c r="D222" s="109"/>
      <ns0:c r="E222" s="106"/>
      <ns0:c r="F222" s="106"/>
      <ns0:c r="G222" s="106"/>
      <ns0:c r="H222" s="106"/>
      <ns0:c r="I222" s="106"/>
      <ns0:c r="J222" s="106"/>
      <ns0:c r="K222" s="106"/>
      <ns0:c r="L222" s="106"/>
      <ns0:c r="M222" s="106"/>
      <ns0:c r="N222" s="106"/>
      <ns0:c r="O222" s="106"/>
      <ns0:c r="P222" s="106"/>
      <ns0:c r="Q222" s="106"/>
      <ns0:c r="R222" s="106"/>
      <ns0:c r="S222" s="106"/>
      <ns0:c r="T222" s="106"/>
      <ns0:c r="U222" s="106"/>
      <ns0:c r="V222" s="106"/>
      <ns0:c r="W222" s="106"/>
      <ns0:c r="X222" s="106"/>
      <ns0:c r="Y222" s="106"/>
      <ns0:c r="Z222" s="106"/>
      <ns0:c r="AA222" s="106"/>
      <ns0:c r="AB222" s="106"/>
      <ns0:c r="AC222" s="115"/>
    </ns0:row>
    <ns0:row r="223" s="88" customFormat="1" spans="1:29">
      <ns0:c r="A223" s="106"/>
      <ns0:c r="B223" s="107"/>
      <ns0:c r="C223" s="108"/>
      <ns0:c r="D223" s="109"/>
      <ns0:c r="E223" s="112"/>
      <ns0:c r="F223" s="112"/>
      <ns0:c r="G223" s="112"/>
      <ns0:c r="H223" s="112"/>
      <ns0:c r="I223" s="112"/>
      <ns0:c r="J223" s="112"/>
      <ns0:c r="K223" s="112"/>
      <ns0:c r="L223" s="112"/>
      <ns0:c r="M223" s="112"/>
      <ns0:c r="N223" s="112"/>
      <ns0:c r="O223" s="112"/>
      <ns0:c r="P223" s="112"/>
      <ns0:c r="Q223" s="112"/>
      <ns0:c r="R223" s="112"/>
      <ns0:c r="S223" s="112"/>
      <ns0:c r="T223" s="112"/>
      <ns0:c r="U223" s="112"/>
      <ns0:c r="V223" s="112"/>
      <ns0:c r="W223" s="112"/>
      <ns0:c r="X223" s="112"/>
      <ns0:c r="Y223" s="112"/>
      <ns0:c r="Z223" s="112"/>
      <ns0:c r="AA223" s="112"/>
      <ns0:c r="AB223" s="112"/>
      <ns0:c r="AC223" s="115"/>
    </ns0:row>
    <ns0:row r="224" s="88" customFormat="1" spans="1:29">
      <ns0:c r="A224" s="106"/>
      <ns0:c r="B224" s="106"/>
      <ns0:c r="C224" s="106"/>
      <ns0:c r="D224" s="109"/>
      <ns0:c r="E224" s="112"/>
      <ns0:c r="F224" s="112"/>
      <ns0:c r="G224" s="112"/>
      <ns0:c r="H224" s="112"/>
      <ns0:c r="I224" s="112"/>
      <ns0:c r="J224" s="112"/>
      <ns0:c r="K224" s="112"/>
      <ns0:c r="L224" s="112"/>
      <ns0:c r="M224" s="112"/>
      <ns0:c r="N224" s="112"/>
      <ns0:c r="O224" s="112"/>
      <ns0:c r="P224" s="112"/>
      <ns0:c r="Q224" s="112"/>
      <ns0:c r="R224" s="112"/>
      <ns0:c r="S224" s="112"/>
      <ns0:c r="T224" s="112"/>
      <ns0:c r="U224" s="112"/>
      <ns0:c r="V224" s="112"/>
      <ns0:c r="W224" s="112"/>
      <ns0:c r="X224" s="112"/>
      <ns0:c r="Y224" s="112"/>
      <ns0:c r="Z224" s="112"/>
      <ns0:c r="AA224" s="112"/>
      <ns0:c r="AB224" s="112"/>
      <ns0:c r="AC224" s="115"/>
    </ns0:row>
    <ns0:row r="225" spans="1:29">
      <ns0:c r="A225" s="106"/>
      <ns0:c r="B225" s="107"/>
      <ns0:c r="C225" s="108"/>
      <ns0:c r="D225" s="109"/>
      <ns0:c r="E225" s="112"/>
      <ns0:c r="F225" s="112"/>
      <ns0:c r="G225" s="112"/>
      <ns0:c r="H225" s="112"/>
      <ns0:c r="I225" s="112"/>
      <ns0:c r="J225" s="112"/>
      <ns0:c r="K225" s="112"/>
      <ns0:c r="L225" s="112"/>
      <ns0:c r="M225" s="112"/>
      <ns0:c r="N225" s="112"/>
      <ns0:c r="O225" s="112"/>
      <ns0:c r="P225" s="112"/>
      <ns0:c r="Q225" s="112"/>
      <ns0:c r="R225" s="112"/>
      <ns0:c r="S225" s="112"/>
      <ns0:c r="T225" s="112"/>
      <ns0:c r="U225" s="112"/>
      <ns0:c r="V225" s="112"/>
      <ns0:c r="W225" s="112"/>
      <ns0:c r="X225" s="112"/>
      <ns0:c r="Y225" s="112"/>
      <ns0:c r="Z225" s="112"/>
      <ns0:c r="AA225" s="112"/>
      <ns0:c r="AB225" s="112"/>
      <ns0:c r="AC225" s="115"/>
    </ns0:row>
    <ns0:row r="226" spans="1:29">
      <ns0:c r="A226" s="106"/>
      <ns0:c r="B226" s="107"/>
      <ns0:c r="C226" s="108"/>
      <ns0:c r="D226" s="109"/>
      <ns0:c r="E226" s="106"/>
      <ns0:c r="F226" s="106"/>
      <ns0:c r="G226" s="106"/>
      <ns0:c r="H226" s="106"/>
      <ns0:c r="I226" s="106"/>
      <ns0:c r="J226" s="106"/>
      <ns0:c r="K226" s="106"/>
      <ns0:c r="L226" s="106"/>
      <ns0:c r="M226" s="106"/>
      <ns0:c r="N226" s="106"/>
      <ns0:c r="O226" s="106"/>
      <ns0:c r="P226" s="106"/>
      <ns0:c r="Q226" s="106"/>
      <ns0:c r="R226" s="106"/>
      <ns0:c r="S226" s="106"/>
      <ns0:c r="T226" s="106"/>
      <ns0:c r="U226" s="106"/>
      <ns0:c r="V226" s="106"/>
      <ns0:c r="W226" s="106"/>
      <ns0:c r="X226" s="106"/>
      <ns0:c r="Y226" s="106"/>
      <ns0:c r="Z226" s="106"/>
      <ns0:c r="AA226" s="106"/>
      <ns0:c r="AB226" s="106"/>
      <ns0:c r="AC226" s="115"/>
    </ns0:row>
    <ns0:row r="227" spans="1:29">
      <ns0:c r="A227" s="106"/>
      <ns0:c r="B227" s="107"/>
      <ns0:c r="C227" s="108"/>
      <ns0:c r="D227" s="109"/>
      <ns0:c r="E227" s="106"/>
      <ns0:c r="F227" s="106"/>
      <ns0:c r="G227" s="106"/>
      <ns0:c r="H227" s="106"/>
      <ns0:c r="I227" s="106"/>
      <ns0:c r="J227" s="106"/>
      <ns0:c r="K227" s="106"/>
      <ns0:c r="L227" s="106"/>
      <ns0:c r="M227" s="106"/>
      <ns0:c r="N227" s="106"/>
      <ns0:c r="O227" s="106"/>
      <ns0:c r="P227" s="106"/>
      <ns0:c r="Q227" s="106"/>
      <ns0:c r="R227" s="106"/>
      <ns0:c r="S227" s="106"/>
      <ns0:c r="T227" s="106"/>
      <ns0:c r="U227" s="106"/>
      <ns0:c r="V227" s="106"/>
      <ns0:c r="W227" s="106"/>
      <ns0:c r="X227" s="106"/>
      <ns0:c r="Y227" s="106"/>
      <ns0:c r="Z227" s="106"/>
      <ns0:c r="AA227" s="106"/>
      <ns0:c r="AB227" s="106"/>
      <ns0:c r="AC227" s="115"/>
    </ns0:row>
    <ns0:row r="228" spans="1:29">
      <ns0:c r="A228" s="106"/>
      <ns0:c r="B228" s="107"/>
      <ns0:c r="C228" s="108"/>
      <ns0:c r="D228" s="109"/>
      <ns0:c r="E228" s="106"/>
      <ns0:c r="F228" s="106"/>
      <ns0:c r="G228" s="106"/>
      <ns0:c r="H228" s="106"/>
      <ns0:c r="I228" s="106"/>
      <ns0:c r="J228" s="106"/>
      <ns0:c r="K228" s="106"/>
      <ns0:c r="L228" s="106"/>
      <ns0:c r="M228" s="106"/>
      <ns0:c r="N228" s="106"/>
      <ns0:c r="O228" s="106"/>
      <ns0:c r="P228" s="106"/>
      <ns0:c r="Q228" s="106"/>
      <ns0:c r="R228" s="106"/>
      <ns0:c r="S228" s="106"/>
      <ns0:c r="T228" s="106"/>
      <ns0:c r="U228" s="106"/>
      <ns0:c r="V228" s="106"/>
      <ns0:c r="W228" s="106"/>
      <ns0:c r="X228" s="106"/>
      <ns0:c r="Y228" s="106"/>
      <ns0:c r="Z228" s="106"/>
      <ns0:c r="AA228" s="106"/>
      <ns0:c r="AB228" s="106"/>
      <ns0:c r="AC228" s="115"/>
    </ns0:row>
    <ns0:row r="229" spans="1:29">
      <ns0:c r="A229" s="106"/>
      <ns0:c r="B229" s="107"/>
      <ns0:c r="C229" s="108"/>
      <ns0:c r="D229" s="109"/>
      <ns0:c r="E229" s="106"/>
      <ns0:c r="F229" s="106"/>
      <ns0:c r="G229" s="106"/>
      <ns0:c r="H229" s="106"/>
      <ns0:c r="I229" s="106"/>
      <ns0:c r="J229" s="106"/>
      <ns0:c r="K229" s="106"/>
      <ns0:c r="L229" s="106"/>
      <ns0:c r="M229" s="106"/>
      <ns0:c r="N229" s="106"/>
      <ns0:c r="O229" s="106"/>
      <ns0:c r="P229" s="106"/>
      <ns0:c r="Q229" s="106"/>
      <ns0:c r="R229" s="106"/>
      <ns0:c r="S229" s="106"/>
      <ns0:c r="T229" s="106"/>
      <ns0:c r="U229" s="106"/>
      <ns0:c r="V229" s="106"/>
      <ns0:c r="W229" s="106"/>
      <ns0:c r="X229" s="106"/>
      <ns0:c r="Y229" s="106"/>
      <ns0:c r="Z229" s="106"/>
      <ns0:c r="AA229" s="106"/>
      <ns0:c r="AB229" s="106"/>
      <ns0:c r="AC229" s="115"/>
    </ns0:row>
    <ns0:row r="230" spans="1:29">
      <ns0:c r="A230" s="106"/>
      <ns0:c r="B230" s="107"/>
      <ns0:c r="C230" s="108"/>
      <ns0:c r="D230" s="109"/>
      <ns0:c r="E230" s="106"/>
      <ns0:c r="F230" s="106"/>
      <ns0:c r="G230" s="106"/>
      <ns0:c r="H230" s="106"/>
      <ns0:c r="I230" s="106"/>
      <ns0:c r="J230" s="106"/>
      <ns0:c r="K230" s="106"/>
      <ns0:c r="L230" s="106"/>
      <ns0:c r="M230" s="106"/>
      <ns0:c r="N230" s="106"/>
      <ns0:c r="O230" s="106"/>
      <ns0:c r="P230" s="106"/>
      <ns0:c r="Q230" s="106"/>
      <ns0:c r="R230" s="106"/>
      <ns0:c r="S230" s="106"/>
      <ns0:c r="T230" s="106"/>
      <ns0:c r="U230" s="106"/>
      <ns0:c r="V230" s="106"/>
      <ns0:c r="W230" s="106"/>
      <ns0:c r="X230" s="106"/>
      <ns0:c r="Y230" s="106"/>
      <ns0:c r="Z230" s="106"/>
      <ns0:c r="AA230" s="106"/>
      <ns0:c r="AB230" s="106"/>
      <ns0:c r="AC230" s="115"/>
    </ns0:row>
    <ns0:row r="231" spans="1:29">
      <ns0:c r="A231" s="106"/>
      <ns0:c r="B231" s="107"/>
      <ns0:c r="C231" s="108"/>
      <ns0:c r="D231" s="109"/>
      <ns0:c r="E231" s="106"/>
      <ns0:c r="F231" s="106"/>
      <ns0:c r="G231" s="106"/>
      <ns0:c r="H231" s="106"/>
      <ns0:c r="I231" s="106"/>
      <ns0:c r="J231" s="106"/>
      <ns0:c r="K231" s="106"/>
      <ns0:c r="L231" s="106"/>
      <ns0:c r="M231" s="106"/>
      <ns0:c r="N231" s="106"/>
      <ns0:c r="O231" s="106"/>
      <ns0:c r="P231" s="106"/>
      <ns0:c r="Q231" s="106"/>
      <ns0:c r="R231" s="106"/>
      <ns0:c r="S231" s="106"/>
      <ns0:c r="T231" s="106"/>
      <ns0:c r="U231" s="106"/>
      <ns0:c r="V231" s="106"/>
      <ns0:c r="W231" s="106"/>
      <ns0:c r="X231" s="106"/>
      <ns0:c r="Y231" s="106"/>
      <ns0:c r="Z231" s="106"/>
      <ns0:c r="AA231" s="106"/>
      <ns0:c r="AB231" s="106"/>
      <ns0:c r="AC231" s="115"/>
    </ns0:row>
    <ns0:row r="232" spans="1:29">
      <ns0:c r="A232" s="106"/>
      <ns0:c r="B232" s="107"/>
      <ns0:c r="C232" s="108"/>
      <ns0:c r="D232" s="109"/>
      <ns0:c r="E232" s="106"/>
      <ns0:c r="F232" s="106"/>
      <ns0:c r="G232" s="106"/>
      <ns0:c r="H232" s="106"/>
      <ns0:c r="I232" s="106"/>
      <ns0:c r="J232" s="106"/>
      <ns0:c r="K232" s="106"/>
      <ns0:c r="L232" s="106"/>
      <ns0:c r="M232" s="106"/>
      <ns0:c r="N232" s="106"/>
      <ns0:c r="O232" s="106"/>
      <ns0:c r="P232" s="106"/>
      <ns0:c r="Q232" s="106"/>
      <ns0:c r="R232" s="106"/>
      <ns0:c r="S232" s="106"/>
      <ns0:c r="T232" s="106"/>
      <ns0:c r="U232" s="106"/>
      <ns0:c r="V232" s="106"/>
      <ns0:c r="W232" s="106"/>
      <ns0:c r="X232" s="106"/>
      <ns0:c r="Y232" s="106"/>
      <ns0:c r="Z232" s="106"/>
      <ns0:c r="AA232" s="106"/>
      <ns0:c r="AB232" s="106"/>
      <ns0:c r="AC232" s="115"/>
    </ns0:row>
    <ns0:row r="233" spans="1:29">
      <ns0:c r="A233" s="106"/>
      <ns0:c r="B233" s="110"/>
      <ns0:c r="C233" s="110"/>
      <ns0:c r="D233" s="109"/>
      <ns0:c r="E233" s="106"/>
      <ns0:c r="F233" s="106"/>
      <ns0:c r="G233" s="106"/>
      <ns0:c r="H233" s="106"/>
      <ns0:c r="I233" s="106"/>
      <ns0:c r="J233" s="106"/>
      <ns0:c r="K233" s="106"/>
      <ns0:c r="L233" s="106"/>
      <ns0:c r="M233" s="106"/>
      <ns0:c r="N233" s="106"/>
      <ns0:c r="O233" s="106"/>
      <ns0:c r="P233" s="106"/>
      <ns0:c r="Q233" s="106"/>
      <ns0:c r="R233" s="106"/>
      <ns0:c r="S233" s="106"/>
      <ns0:c r="T233" s="106"/>
      <ns0:c r="U233" s="106"/>
      <ns0:c r="V233" s="106"/>
      <ns0:c r="W233" s="106"/>
      <ns0:c r="X233" s="106"/>
      <ns0:c r="Y233" s="106"/>
      <ns0:c r="Z233" s="106"/>
      <ns0:c r="AA233" s="106"/>
      <ns0:c r="AB233" s="106"/>
      <ns0:c r="AC233" s="115"/>
    </ns0:row>
    <ns0:row r="234" spans="1:29">
      <ns0:c r="A234" s="106"/>
      <ns0:c r="B234" s="107"/>
      <ns0:c r="C234" s="108"/>
      <ns0:c r="D234" s="109"/>
      <ns0:c r="E234" s="106"/>
      <ns0:c r="F234" s="106"/>
      <ns0:c r="G234" s="106"/>
      <ns0:c r="H234" s="106"/>
      <ns0:c r="I234" s="106"/>
      <ns0:c r="J234" s="106"/>
      <ns0:c r="K234" s="106"/>
      <ns0:c r="L234" s="106"/>
      <ns0:c r="M234" s="106"/>
      <ns0:c r="N234" s="106"/>
      <ns0:c r="O234" s="106"/>
      <ns0:c r="P234" s="106"/>
      <ns0:c r="Q234" s="106"/>
      <ns0:c r="R234" s="106"/>
      <ns0:c r="S234" s="106"/>
      <ns0:c r="T234" s="106"/>
      <ns0:c r="U234" s="106"/>
      <ns0:c r="V234" s="106"/>
      <ns0:c r="W234" s="106"/>
      <ns0:c r="X234" s="106"/>
      <ns0:c r="Y234" s="106"/>
      <ns0:c r="Z234" s="106"/>
      <ns0:c r="AA234" s="106"/>
      <ns0:c r="AB234" s="106"/>
      <ns0:c r="AC234" s="115"/>
    </ns0:row>
    <ns0:row r="235" spans="1:29">
      <ns0:c r="A235" s="106"/>
      <ns0:c r="B235" s="107"/>
      <ns0:c r="C235" s="108"/>
      <ns0:c r="D235" s="109"/>
      <ns0:c r="E235" s="106"/>
      <ns0:c r="F235" s="106"/>
      <ns0:c r="G235" s="106"/>
      <ns0:c r="H235" s="106"/>
      <ns0:c r="I235" s="106"/>
      <ns0:c r="J235" s="106"/>
      <ns0:c r="K235" s="106"/>
      <ns0:c r="L235" s="106"/>
      <ns0:c r="M235" s="106"/>
      <ns0:c r="N235" s="106"/>
      <ns0:c r="O235" s="106"/>
      <ns0:c r="P235" s="106"/>
      <ns0:c r="Q235" s="106"/>
      <ns0:c r="R235" s="106"/>
      <ns0:c r="S235" s="106"/>
      <ns0:c r="T235" s="106"/>
      <ns0:c r="U235" s="106"/>
      <ns0:c r="V235" s="106"/>
      <ns0:c r="W235" s="106"/>
      <ns0:c r="X235" s="106"/>
      <ns0:c r="Y235" s="106"/>
      <ns0:c r="Z235" s="106"/>
      <ns0:c r="AA235" s="106"/>
      <ns0:c r="AB235" s="106"/>
      <ns0:c r="AC235" s="115"/>
    </ns0:row>
    <ns0:row r="236" spans="1:29">
      <ns0:c r="A236" s="106"/>
      <ns0:c r="B236" s="107"/>
      <ns0:c r="C236" s="108"/>
      <ns0:c r="D236" s="109"/>
      <ns0:c r="E236" s="112"/>
      <ns0:c r="F236" s="112"/>
      <ns0:c r="G236" s="112"/>
      <ns0:c r="H236" s="112"/>
      <ns0:c r="I236" s="112"/>
      <ns0:c r="J236" s="112"/>
      <ns0:c r="K236" s="112"/>
      <ns0:c r="L236" s="112"/>
      <ns0:c r="M236" s="112"/>
      <ns0:c r="N236" s="112"/>
      <ns0:c r="O236" s="112"/>
      <ns0:c r="P236" s="112"/>
      <ns0:c r="Q236" s="112"/>
      <ns0:c r="R236" s="112"/>
      <ns0:c r="S236" s="112"/>
      <ns0:c r="T236" s="112"/>
      <ns0:c r="U236" s="112"/>
      <ns0:c r="V236" s="112"/>
      <ns0:c r="W236" s="112"/>
      <ns0:c r="X236" s="112"/>
      <ns0:c r="Y236" s="112"/>
      <ns0:c r="Z236" s="112"/>
      <ns0:c r="AA236" s="112"/>
      <ns0:c r="AB236" s="112"/>
      <ns0:c r="AC236" s="115"/>
    </ns0:row>
    <ns0:row r="237" s="88" customFormat="1" spans="1:29">
      <ns0:c r="A237" s="106"/>
      <ns0:c r="B237" s="106"/>
      <ns0:c r="C237" s="106"/>
      <ns0:c r="D237" s="109"/>
      <ns0:c r="E237" s="112"/>
      <ns0:c r="F237" s="112"/>
      <ns0:c r="G237" s="112"/>
      <ns0:c r="H237" s="112"/>
      <ns0:c r="I237" s="112"/>
      <ns0:c r="J237" s="112"/>
      <ns0:c r="K237" s="112"/>
      <ns0:c r="L237" s="112"/>
      <ns0:c r="M237" s="112"/>
      <ns0:c r="N237" s="112"/>
      <ns0:c r="O237" s="112"/>
      <ns0:c r="P237" s="112"/>
      <ns0:c r="Q237" s="112"/>
      <ns0:c r="R237" s="112"/>
      <ns0:c r="S237" s="112"/>
      <ns0:c r="T237" s="112"/>
      <ns0:c r="U237" s="112"/>
      <ns0:c r="V237" s="112"/>
      <ns0:c r="W237" s="112"/>
      <ns0:c r="X237" s="112"/>
      <ns0:c r="Y237" s="112"/>
      <ns0:c r="Z237" s="112"/>
      <ns0:c r="AA237" s="112"/>
      <ns0:c r="AB237" s="112"/>
      <ns0:c r="AC237" s="116"/>
    </ns0:row>
    <ns0:row r="238" spans="1:29">
      <ns0:c r="A238" s="106"/>
      <ns0:c r="B238" s="107"/>
      <ns0:c r="C238" s="108"/>
      <ns0:c r="D238" s="109"/>
      <ns0:c r="E238" s="112"/>
      <ns0:c r="F238" s="112"/>
      <ns0:c r="G238" s="112"/>
      <ns0:c r="H238" s="112"/>
      <ns0:c r="I238" s="112"/>
      <ns0:c r="J238" s="112"/>
      <ns0:c r="K238" s="112"/>
      <ns0:c r="L238" s="112"/>
      <ns0:c r="M238" s="112"/>
      <ns0:c r="N238" s="112"/>
      <ns0:c r="O238" s="112"/>
      <ns0:c r="P238" s="112"/>
      <ns0:c r="Q238" s="112"/>
      <ns0:c r="R238" s="112"/>
      <ns0:c r="S238" s="112"/>
      <ns0:c r="T238" s="112"/>
      <ns0:c r="U238" s="112"/>
      <ns0:c r="V238" s="112"/>
      <ns0:c r="W238" s="112"/>
      <ns0:c r="X238" s="112"/>
      <ns0:c r="Y238" s="112"/>
      <ns0:c r="Z238" s="112"/>
      <ns0:c r="AA238" s="112"/>
      <ns0:c r="AB238" s="112"/>
      <ns0:c r="AC238" s="115"/>
    </ns0:row>
    <ns0:row r="239" spans="1:29">
      <ns0:c r="A239" s="106"/>
      <ns0:c r="B239" s="107"/>
      <ns0:c r="C239" s="108"/>
      <ns0:c r="D239" s="109"/>
      <ns0:c r="E239" s="106"/>
      <ns0:c r="F239" s="106"/>
      <ns0:c r="G239" s="106"/>
      <ns0:c r="H239" s="106"/>
      <ns0:c r="I239" s="106"/>
      <ns0:c r="J239" s="106"/>
      <ns0:c r="K239" s="106"/>
      <ns0:c r="L239" s="106"/>
      <ns0:c r="M239" s="106"/>
      <ns0:c r="N239" s="106"/>
      <ns0:c r="O239" s="106"/>
      <ns0:c r="P239" s="106"/>
      <ns0:c r="Q239" s="106"/>
      <ns0:c r="R239" s="106"/>
      <ns0:c r="S239" s="106"/>
      <ns0:c r="T239" s="106"/>
      <ns0:c r="U239" s="106"/>
      <ns0:c r="V239" s="106"/>
      <ns0:c r="W239" s="106"/>
      <ns0:c r="X239" s="106"/>
      <ns0:c r="Y239" s="106"/>
      <ns0:c r="Z239" s="106"/>
      <ns0:c r="AA239" s="106"/>
      <ns0:c r="AB239" s="106"/>
      <ns0:c r="AC239" s="115"/>
    </ns0:row>
    <ns0:row r="240" spans="1:29">
      <ns0:c r="A240" s="106"/>
      <ns0:c r="B240" s="107"/>
      <ns0:c r="C240" s="108"/>
      <ns0:c r="D240" s="109"/>
      <ns0:c r="E240" s="106"/>
      <ns0:c r="F240" s="106"/>
      <ns0:c r="G240" s="106"/>
      <ns0:c r="H240" s="106"/>
      <ns0:c r="I240" s="106"/>
      <ns0:c r="J240" s="106"/>
      <ns0:c r="K240" s="106"/>
      <ns0:c r="L240" s="106"/>
      <ns0:c r="M240" s="106"/>
      <ns0:c r="N240" s="106"/>
      <ns0:c r="O240" s="106"/>
      <ns0:c r="P240" s="106"/>
      <ns0:c r="Q240" s="106"/>
      <ns0:c r="R240" s="106"/>
      <ns0:c r="S240" s="106"/>
      <ns0:c r="T240" s="106"/>
      <ns0:c r="U240" s="106"/>
      <ns0:c r="V240" s="106"/>
      <ns0:c r="W240" s="106"/>
      <ns0:c r="X240" s="106"/>
      <ns0:c r="Y240" s="106"/>
      <ns0:c r="Z240" s="106"/>
      <ns0:c r="AA240" s="106"/>
      <ns0:c r="AB240" s="106"/>
      <ns0:c r="AC240" s="115"/>
    </ns0:row>
    <ns0:row r="241" spans="1:29">
      <ns0:c r="A241" s="106"/>
      <ns0:c r="B241" s="107"/>
      <ns0:c r="C241" s="108"/>
      <ns0:c r="D241" s="109"/>
      <ns0:c r="E241" s="106"/>
      <ns0:c r="F241" s="106"/>
      <ns0:c r="G241" s="106"/>
      <ns0:c r="H241" s="106"/>
      <ns0:c r="I241" s="106"/>
      <ns0:c r="J241" s="106"/>
      <ns0:c r="K241" s="106"/>
      <ns0:c r="L241" s="106"/>
      <ns0:c r="M241" s="106"/>
      <ns0:c r="N241" s="106"/>
      <ns0:c r="O241" s="106"/>
      <ns0:c r="P241" s="106"/>
      <ns0:c r="Q241" s="106"/>
      <ns0:c r="R241" s="106"/>
      <ns0:c r="S241" s="106"/>
      <ns0:c r="T241" s="106"/>
      <ns0:c r="U241" s="106"/>
      <ns0:c r="V241" s="106"/>
      <ns0:c r="W241" s="106"/>
      <ns0:c r="X241" s="106"/>
      <ns0:c r="Y241" s="106"/>
      <ns0:c r="Z241" s="106"/>
      <ns0:c r="AA241" s="106"/>
      <ns0:c r="AB241" s="106"/>
      <ns0:c r="AC241" s="115"/>
    </ns0:row>
    <ns0:row r="242" spans="1:29">
      <ns0:c r="A242" s="106"/>
      <ns0:c r="B242" s="107"/>
      <ns0:c r="C242" s="108"/>
      <ns0:c r="D242" s="109"/>
      <ns0:c r="E242" s="106"/>
      <ns0:c r="F242" s="106"/>
      <ns0:c r="G242" s="106"/>
      <ns0:c r="H242" s="106"/>
      <ns0:c r="I242" s="106"/>
      <ns0:c r="J242" s="106"/>
      <ns0:c r="K242" s="106"/>
      <ns0:c r="L242" s="106"/>
      <ns0:c r="M242" s="106"/>
      <ns0:c r="N242" s="106"/>
      <ns0:c r="O242" s="106"/>
      <ns0:c r="P242" s="106"/>
      <ns0:c r="Q242" s="106"/>
      <ns0:c r="R242" s="106"/>
      <ns0:c r="S242" s="106"/>
      <ns0:c r="T242" s="106"/>
      <ns0:c r="U242" s="106"/>
      <ns0:c r="V242" s="106"/>
      <ns0:c r="W242" s="106"/>
      <ns0:c r="X242" s="106"/>
      <ns0:c r="Y242" s="106"/>
      <ns0:c r="Z242" s="106"/>
      <ns0:c r="AA242" s="106"/>
      <ns0:c r="AB242" s="106"/>
      <ns0:c r="AC242" s="115"/>
    </ns0:row>
    <ns0:row r="243" spans="1:29">
      <ns0:c r="A243" s="106"/>
      <ns0:c r="B243" s="107"/>
      <ns0:c r="C243" s="108"/>
      <ns0:c r="D243" s="109"/>
      <ns0:c r="E243" s="106"/>
      <ns0:c r="F243" s="106"/>
      <ns0:c r="G243" s="106"/>
      <ns0:c r="H243" s="106"/>
      <ns0:c r="I243" s="106"/>
      <ns0:c r="J243" s="106"/>
      <ns0:c r="K243" s="106"/>
      <ns0:c r="L243" s="106"/>
      <ns0:c r="M243" s="106"/>
      <ns0:c r="N243" s="106"/>
      <ns0:c r="O243" s="106"/>
      <ns0:c r="P243" s="106"/>
      <ns0:c r="Q243" s="106"/>
      <ns0:c r="R243" s="106"/>
      <ns0:c r="S243" s="106"/>
      <ns0:c r="T243" s="106"/>
      <ns0:c r="U243" s="106"/>
      <ns0:c r="V243" s="106"/>
      <ns0:c r="W243" s="106"/>
      <ns0:c r="X243" s="106"/>
      <ns0:c r="Y243" s="106"/>
      <ns0:c r="Z243" s="106"/>
      <ns0:c r="AA243" s="106"/>
      <ns0:c r="AB243" s="106"/>
      <ns0:c r="AC243" s="115"/>
    </ns0:row>
    <ns0:row r="244" spans="1:29">
      <ns0:c r="A244" s="106"/>
      <ns0:c r="B244" s="107"/>
      <ns0:c r="C244" s="108"/>
      <ns0:c r="D244" s="109"/>
      <ns0:c r="E244" s="106"/>
      <ns0:c r="F244" s="106"/>
      <ns0:c r="G244" s="106"/>
      <ns0:c r="H244" s="106"/>
      <ns0:c r="I244" s="106"/>
      <ns0:c r="J244" s="106"/>
      <ns0:c r="K244" s="106"/>
      <ns0:c r="L244" s="106"/>
      <ns0:c r="M244" s="106"/>
      <ns0:c r="N244" s="106"/>
      <ns0:c r="O244" s="106"/>
      <ns0:c r="P244" s="106"/>
      <ns0:c r="Q244" s="106"/>
      <ns0:c r="R244" s="106"/>
      <ns0:c r="S244" s="106"/>
      <ns0:c r="T244" s="106"/>
      <ns0:c r="U244" s="106"/>
      <ns0:c r="V244" s="106"/>
      <ns0:c r="W244" s="106"/>
      <ns0:c r="X244" s="106"/>
      <ns0:c r="Y244" s="106"/>
      <ns0:c r="Z244" s="106"/>
      <ns0:c r="AA244" s="106"/>
      <ns0:c r="AB244" s="106"/>
      <ns0:c r="AC244" s="115"/>
    </ns0:row>
    <ns0:row r="245" spans="1:29">
      <ns0:c r="A245" s="106"/>
      <ns0:c r="B245" s="107"/>
      <ns0:c r="C245" s="108"/>
      <ns0:c r="D245" s="109"/>
      <ns0:c r="E245" s="106"/>
      <ns0:c r="F245" s="106"/>
      <ns0:c r="G245" s="106"/>
      <ns0:c r="H245" s="106"/>
      <ns0:c r="I245" s="106"/>
      <ns0:c r="J245" s="106"/>
      <ns0:c r="K245" s="106"/>
      <ns0:c r="L245" s="106"/>
      <ns0:c r="M245" s="106"/>
      <ns0:c r="N245" s="106"/>
      <ns0:c r="O245" s="106"/>
      <ns0:c r="P245" s="106"/>
      <ns0:c r="Q245" s="106"/>
      <ns0:c r="R245" s="106"/>
      <ns0:c r="S245" s="106"/>
      <ns0:c r="T245" s="106"/>
      <ns0:c r="U245" s="106"/>
      <ns0:c r="V245" s="106"/>
      <ns0:c r="W245" s="106"/>
      <ns0:c r="X245" s="106"/>
      <ns0:c r="Y245" s="106"/>
      <ns0:c r="Z245" s="106"/>
      <ns0:c r="AA245" s="106"/>
      <ns0:c r="AB245" s="106"/>
      <ns0:c r="AC245" s="115"/>
    </ns0:row>
    <ns0:row r="246" spans="1:29">
      <ns0:c r="A246" s="106"/>
      <ns0:c r="B246" s="110"/>
      <ns0:c r="C246" s="110"/>
      <ns0:c r="D246" s="109"/>
      <ns0:c r="E246" s="106"/>
      <ns0:c r="F246" s="106"/>
      <ns0:c r="G246" s="106"/>
      <ns0:c r="H246" s="106"/>
      <ns0:c r="I246" s="106"/>
      <ns0:c r="J246" s="106"/>
      <ns0:c r="K246" s="106"/>
      <ns0:c r="L246" s="106"/>
      <ns0:c r="M246" s="106"/>
      <ns0:c r="N246" s="106"/>
      <ns0:c r="O246" s="106"/>
      <ns0:c r="P246" s="106"/>
      <ns0:c r="Q246" s="106"/>
      <ns0:c r="R246" s="106"/>
      <ns0:c r="S246" s="106"/>
      <ns0:c r="T246" s="106"/>
      <ns0:c r="U246" s="106"/>
      <ns0:c r="V246" s="106"/>
      <ns0:c r="W246" s="106"/>
      <ns0:c r="X246" s="106"/>
      <ns0:c r="Y246" s="106"/>
      <ns0:c r="Z246" s="106"/>
      <ns0:c r="AA246" s="106"/>
      <ns0:c r="AB246" s="106"/>
      <ns0:c r="AC246" s="115"/>
    </ns0:row>
    <ns0:row r="247" spans="1:29">
      <ns0:c r="A247" s="106"/>
      <ns0:c r="B247" s="107"/>
      <ns0:c r="C247" s="108"/>
      <ns0:c r="D247" s="109"/>
      <ns0:c r="E247" s="106"/>
      <ns0:c r="F247" s="106"/>
      <ns0:c r="G247" s="106"/>
      <ns0:c r="H247" s="106"/>
      <ns0:c r="I247" s="106"/>
      <ns0:c r="J247" s="106"/>
      <ns0:c r="K247" s="106"/>
      <ns0:c r="L247" s="106"/>
      <ns0:c r="M247" s="106"/>
      <ns0:c r="N247" s="106"/>
      <ns0:c r="O247" s="106"/>
      <ns0:c r="P247" s="106"/>
      <ns0:c r="Q247" s="106"/>
      <ns0:c r="R247" s="106"/>
      <ns0:c r="S247" s="106"/>
      <ns0:c r="T247" s="106"/>
      <ns0:c r="U247" s="106"/>
      <ns0:c r="V247" s="106"/>
      <ns0:c r="W247" s="106"/>
      <ns0:c r="X247" s="106"/>
      <ns0:c r="Y247" s="106"/>
      <ns0:c r="Z247" s="106"/>
      <ns0:c r="AA247" s="106"/>
      <ns0:c r="AB247" s="106"/>
      <ns0:c r="AC247" s="115"/>
    </ns0:row>
    <ns0:row r="248" spans="1:29">
      <ns0:c r="A248" s="106"/>
      <ns0:c r="B248" s="107"/>
      <ns0:c r="C248" s="108"/>
      <ns0:c r="D248" s="109"/>
      <ns0:c r="E248" s="106"/>
      <ns0:c r="F248" s="106"/>
      <ns0:c r="G248" s="106"/>
      <ns0:c r="H248" s="106"/>
      <ns0:c r="I248" s="106"/>
      <ns0:c r="J248" s="106"/>
      <ns0:c r="K248" s="106"/>
      <ns0:c r="L248" s="106"/>
      <ns0:c r="M248" s="106"/>
      <ns0:c r="N248" s="106"/>
      <ns0:c r="O248" s="106"/>
      <ns0:c r="P248" s="106"/>
      <ns0:c r="Q248" s="106"/>
      <ns0:c r="R248" s="106"/>
      <ns0:c r="S248" s="106"/>
      <ns0:c r="T248" s="106"/>
      <ns0:c r="U248" s="106"/>
      <ns0:c r="V248" s="106"/>
      <ns0:c r="W248" s="106"/>
      <ns0:c r="X248" s="106"/>
      <ns0:c r="Y248" s="106"/>
      <ns0:c r="Z248" s="106"/>
      <ns0:c r="AA248" s="106"/>
      <ns0:c r="AB248" s="106"/>
      <ns0:c r="AC248" s="115"/>
    </ns0:row>
    <ns0:row r="249" spans="1:29">
      <ns0:c r="A249" s="106"/>
      <ns0:c r="B249" s="107"/>
      <ns0:c r="C249" s="108"/>
      <ns0:c r="D249" s="109"/>
      <ns0:c r="E249" s="112"/>
      <ns0:c r="F249" s="112"/>
      <ns0:c r="G249" s="112"/>
      <ns0:c r="H249" s="112"/>
      <ns0:c r="I249" s="112"/>
      <ns0:c r="J249" s="112"/>
      <ns0:c r="K249" s="112"/>
      <ns0:c r="L249" s="112"/>
      <ns0:c r="M249" s="112"/>
      <ns0:c r="N249" s="112"/>
      <ns0:c r="O249" s="112"/>
      <ns0:c r="P249" s="112"/>
      <ns0:c r="Q249" s="112"/>
      <ns0:c r="R249" s="112"/>
      <ns0:c r="S249" s="112"/>
      <ns0:c r="T249" s="112"/>
      <ns0:c r="U249" s="112"/>
      <ns0:c r="V249" s="112"/>
      <ns0:c r="W249" s="112"/>
      <ns0:c r="X249" s="112"/>
      <ns0:c r="Y249" s="112"/>
      <ns0:c r="Z249" s="112"/>
      <ns0:c r="AA249" s="112"/>
      <ns0:c r="AB249" s="112"/>
      <ns0:c r="AC249" s="115"/>
    </ns0:row>
    <ns0:row r="250" spans="1:29">
      <ns0:c r="A250" s="106"/>
      <ns0:c r="B250" s="106"/>
      <ns0:c r="C250" s="106"/>
      <ns0:c r="D250" s="109"/>
      <ns0:c r="E250" s="112"/>
      <ns0:c r="F250" s="112"/>
      <ns0:c r="G250" s="112"/>
      <ns0:c r="H250" s="112"/>
      <ns0:c r="I250" s="112"/>
      <ns0:c r="J250" s="112"/>
      <ns0:c r="K250" s="112"/>
      <ns0:c r="L250" s="112"/>
      <ns0:c r="M250" s="112"/>
      <ns0:c r="N250" s="112"/>
      <ns0:c r="O250" s="112"/>
      <ns0:c r="P250" s="112"/>
      <ns0:c r="Q250" s="112"/>
      <ns0:c r="R250" s="112"/>
      <ns0:c r="S250" s="112"/>
      <ns0:c r="T250" s="112"/>
      <ns0:c r="U250" s="112"/>
      <ns0:c r="V250" s="112"/>
      <ns0:c r="W250" s="112"/>
      <ns0:c r="X250" s="112"/>
      <ns0:c r="Y250" s="112"/>
      <ns0:c r="Z250" s="112"/>
      <ns0:c r="AA250" s="112"/>
      <ns0:c r="AB250" s="112"/>
      <ns0:c r="AC250" s="112"/>
    </ns0:row>
    <ns0:row r="251" spans="1:29">
      <ns0:c r="A251" s="106"/>
      <ns0:c r="B251" s="107"/>
      <ns0:c r="C251" s="108"/>
      <ns0:c r="D251" s="109"/>
      <ns0:c r="E251" s="112"/>
      <ns0:c r="F251" s="112"/>
      <ns0:c r="G251" s="112"/>
      <ns0:c r="H251" s="112"/>
      <ns0:c r="I251" s="112"/>
      <ns0:c r="J251" s="112"/>
      <ns0:c r="K251" s="112"/>
      <ns0:c r="L251" s="112"/>
      <ns0:c r="M251" s="112"/>
      <ns0:c r="N251" s="112"/>
      <ns0:c r="O251" s="112"/>
      <ns0:c r="P251" s="112"/>
      <ns0:c r="Q251" s="112"/>
      <ns0:c r="R251" s="112"/>
      <ns0:c r="S251" s="112"/>
      <ns0:c r="T251" s="112"/>
      <ns0:c r="U251" s="112"/>
      <ns0:c r="V251" s="112"/>
      <ns0:c r="W251" s="112"/>
      <ns0:c r="X251" s="112"/>
      <ns0:c r="Y251" s="112"/>
      <ns0:c r="Z251" s="112"/>
      <ns0:c r="AA251" s="112"/>
      <ns0:c r="AB251" s="112"/>
      <ns0:c r="AC251" s="115"/>
    </ns0:row>
    <ns0:row r="252" spans="1:29">
      <ns0:c r="A252" s="106"/>
      <ns0:c r="B252" s="107"/>
      <ns0:c r="C252" s="108"/>
      <ns0:c r="D252" s="109"/>
      <ns0:c r="E252" s="106"/>
      <ns0:c r="F252" s="106"/>
      <ns0:c r="G252" s="106"/>
      <ns0:c r="H252" s="106"/>
      <ns0:c r="I252" s="106"/>
      <ns0:c r="J252" s="106"/>
      <ns0:c r="K252" s="106"/>
      <ns0:c r="L252" s="106"/>
      <ns0:c r="M252" s="106"/>
      <ns0:c r="N252" s="106"/>
      <ns0:c r="O252" s="106"/>
      <ns0:c r="P252" s="106"/>
      <ns0:c r="Q252" s="106"/>
      <ns0:c r="R252" s="106"/>
      <ns0:c r="S252" s="106"/>
      <ns0:c r="T252" s="106"/>
      <ns0:c r="U252" s="106"/>
      <ns0:c r="V252" s="106"/>
      <ns0:c r="W252" s="106"/>
      <ns0:c r="X252" s="106"/>
      <ns0:c r="Y252" s="106"/>
      <ns0:c r="Z252" s="106"/>
      <ns0:c r="AA252" s="106"/>
      <ns0:c r="AB252" s="106"/>
      <ns0:c r="AC252" s="115"/>
    </ns0:row>
    <ns0:row r="253" spans="1:29">
      <ns0:c r="A253" s="106"/>
      <ns0:c r="B253" s="107"/>
      <ns0:c r="C253" s="108"/>
      <ns0:c r="D253" s="109"/>
      <ns0:c r="E253" s="106"/>
      <ns0:c r="F253" s="106"/>
      <ns0:c r="G253" s="106"/>
      <ns0:c r="H253" s="106"/>
      <ns0:c r="I253" s="106"/>
      <ns0:c r="J253" s="106"/>
      <ns0:c r="K253" s="106"/>
      <ns0:c r="L253" s="106"/>
      <ns0:c r="M253" s="106"/>
      <ns0:c r="N253" s="106"/>
      <ns0:c r="O253" s="106"/>
      <ns0:c r="P253" s="106"/>
      <ns0:c r="Q253" s="106"/>
      <ns0:c r="R253" s="106"/>
      <ns0:c r="S253" s="106"/>
      <ns0:c r="T253" s="106"/>
      <ns0:c r="U253" s="106"/>
      <ns0:c r="V253" s="106"/>
      <ns0:c r="W253" s="106"/>
      <ns0:c r="X253" s="106"/>
      <ns0:c r="Y253" s="106"/>
      <ns0:c r="Z253" s="106"/>
      <ns0:c r="AA253" s="106"/>
      <ns0:c r="AB253" s="106"/>
      <ns0:c r="AC253" s="115"/>
    </ns0:row>
    <ns0:row r="254" spans="1:29">
      <ns0:c r="A254" s="106"/>
      <ns0:c r="B254" s="107"/>
      <ns0:c r="C254" s="108"/>
      <ns0:c r="D254" s="109"/>
      <ns0:c r="E254" s="106"/>
      <ns0:c r="F254" s="106"/>
      <ns0:c r="G254" s="106"/>
      <ns0:c r="H254" s="106"/>
      <ns0:c r="I254" s="106"/>
      <ns0:c r="J254" s="106"/>
      <ns0:c r="K254" s="106"/>
      <ns0:c r="L254" s="106"/>
      <ns0:c r="M254" s="106"/>
      <ns0:c r="N254" s="106"/>
      <ns0:c r="O254" s="106"/>
      <ns0:c r="P254" s="106"/>
      <ns0:c r="Q254" s="106"/>
      <ns0:c r="R254" s="106"/>
      <ns0:c r="S254" s="106"/>
      <ns0:c r="T254" s="106"/>
      <ns0:c r="U254" s="106"/>
      <ns0:c r="V254" s="106"/>
      <ns0:c r="W254" s="106"/>
      <ns0:c r="X254" s="106"/>
      <ns0:c r="Y254" s="106"/>
      <ns0:c r="Z254" s="106"/>
      <ns0:c r="AA254" s="106"/>
      <ns0:c r="AB254" s="106"/>
      <ns0:c r="AC254" s="115"/>
    </ns0:row>
    <ns0:row r="255" spans="1:29">
      <ns0:c r="A255" s="106"/>
      <ns0:c r="B255" s="107"/>
      <ns0:c r="C255" s="108"/>
      <ns0:c r="D255" s="109"/>
      <ns0:c r="E255" s="106"/>
      <ns0:c r="F255" s="106"/>
      <ns0:c r="G255" s="106"/>
      <ns0:c r="H255" s="106"/>
      <ns0:c r="I255" s="106"/>
      <ns0:c r="J255" s="106"/>
      <ns0:c r="K255" s="106"/>
      <ns0:c r="L255" s="106"/>
      <ns0:c r="M255" s="106"/>
      <ns0:c r="N255" s="106"/>
      <ns0:c r="O255" s="106"/>
      <ns0:c r="P255" s="106"/>
      <ns0:c r="Q255" s="106"/>
      <ns0:c r="R255" s="106"/>
      <ns0:c r="S255" s="106"/>
      <ns0:c r="T255" s="106"/>
      <ns0:c r="U255" s="106"/>
      <ns0:c r="V255" s="106"/>
      <ns0:c r="W255" s="106"/>
      <ns0:c r="X255" s="106"/>
      <ns0:c r="Y255" s="106"/>
      <ns0:c r="Z255" s="106"/>
      <ns0:c r="AA255" s="106"/>
      <ns0:c r="AB255" s="106"/>
      <ns0:c r="AC255" s="115"/>
    </ns0:row>
    <ns0:row r="256" spans="1:29">
      <ns0:c r="A256" s="106"/>
      <ns0:c r="B256" s="107"/>
      <ns0:c r="C256" s="108"/>
      <ns0:c r="D256" s="109"/>
      <ns0:c r="E256" s="106"/>
      <ns0:c r="F256" s="106"/>
      <ns0:c r="G256" s="106"/>
      <ns0:c r="H256" s="106"/>
      <ns0:c r="I256" s="106"/>
      <ns0:c r="J256" s="106"/>
      <ns0:c r="K256" s="106"/>
      <ns0:c r="L256" s="106"/>
      <ns0:c r="M256" s="106"/>
      <ns0:c r="N256" s="106"/>
      <ns0:c r="O256" s="106"/>
      <ns0:c r="P256" s="106"/>
      <ns0:c r="Q256" s="106"/>
      <ns0:c r="R256" s="106"/>
      <ns0:c r="S256" s="106"/>
      <ns0:c r="T256" s="106"/>
      <ns0:c r="U256" s="106"/>
      <ns0:c r="V256" s="106"/>
      <ns0:c r="W256" s="106"/>
      <ns0:c r="X256" s="106"/>
      <ns0:c r="Y256" s="106"/>
      <ns0:c r="Z256" s="106"/>
      <ns0:c r="AA256" s="106"/>
      <ns0:c r="AB256" s="106"/>
      <ns0:c r="AC256" s="115"/>
    </ns0:row>
    <ns0:row r="257" spans="1:29">
      <ns0:c r="A257" s="106"/>
      <ns0:c r="B257" s="107"/>
      <ns0:c r="C257" s="108"/>
      <ns0:c r="D257" s="109"/>
      <ns0:c r="E257" s="106"/>
      <ns0:c r="F257" s="106"/>
      <ns0:c r="G257" s="106"/>
      <ns0:c r="H257" s="106"/>
      <ns0:c r="I257" s="106"/>
      <ns0:c r="J257" s="106"/>
      <ns0:c r="K257" s="106"/>
      <ns0:c r="L257" s="106"/>
      <ns0:c r="M257" s="106"/>
      <ns0:c r="N257" s="106"/>
      <ns0:c r="O257" s="106"/>
      <ns0:c r="P257" s="106"/>
      <ns0:c r="Q257" s="106"/>
      <ns0:c r="R257" s="106"/>
      <ns0:c r="S257" s="106"/>
      <ns0:c r="T257" s="106"/>
      <ns0:c r="U257" s="106"/>
      <ns0:c r="V257" s="106"/>
      <ns0:c r="W257" s="106"/>
      <ns0:c r="X257" s="106"/>
      <ns0:c r="Y257" s="106"/>
      <ns0:c r="Z257" s="106"/>
      <ns0:c r="AA257" s="106"/>
      <ns0:c r="AB257" s="106"/>
      <ns0:c r="AC257" s="115"/>
    </ns0:row>
    <ns0:row r="258" spans="1:29">
      <ns0:c r="A258" s="106"/>
      <ns0:c r="B258" s="107"/>
      <ns0:c r="C258" s="108"/>
      <ns0:c r="D258" s="109"/>
      <ns0:c r="E258" s="106"/>
      <ns0:c r="F258" s="106"/>
      <ns0:c r="G258" s="106"/>
      <ns0:c r="H258" s="106"/>
      <ns0:c r="I258" s="106"/>
      <ns0:c r="J258" s="106"/>
      <ns0:c r="K258" s="106"/>
      <ns0:c r="L258" s="106"/>
      <ns0:c r="M258" s="106"/>
      <ns0:c r="N258" s="106"/>
      <ns0:c r="O258" s="106"/>
      <ns0:c r="P258" s="106"/>
      <ns0:c r="Q258" s="106"/>
      <ns0:c r="R258" s="106"/>
      <ns0:c r="S258" s="106"/>
      <ns0:c r="T258" s="106"/>
      <ns0:c r="U258" s="106"/>
      <ns0:c r="V258" s="106"/>
      <ns0:c r="W258" s="106"/>
      <ns0:c r="X258" s="106"/>
      <ns0:c r="Y258" s="106"/>
      <ns0:c r="Z258" s="106"/>
      <ns0:c r="AA258" s="106"/>
      <ns0:c r="AB258" s="106"/>
      <ns0:c r="AC258" s="115"/>
    </ns0:row>
    <ns0:row r="259" spans="1:29">
      <ns0:c r="A259" s="106"/>
      <ns0:c r="B259" s="110"/>
      <ns0:c r="C259" s="110"/>
      <ns0:c r="D259" s="109"/>
      <ns0:c r="E259" s="106"/>
      <ns0:c r="F259" s="106"/>
      <ns0:c r="G259" s="106"/>
      <ns0:c r="H259" s="106"/>
      <ns0:c r="I259" s="106"/>
      <ns0:c r="J259" s="106"/>
      <ns0:c r="K259" s="106"/>
      <ns0:c r="L259" s="106"/>
      <ns0:c r="M259" s="106"/>
      <ns0:c r="N259" s="106"/>
      <ns0:c r="O259" s="106"/>
      <ns0:c r="P259" s="106"/>
      <ns0:c r="Q259" s="106"/>
      <ns0:c r="R259" s="106"/>
      <ns0:c r="S259" s="106"/>
      <ns0:c r="T259" s="106"/>
      <ns0:c r="U259" s="106"/>
      <ns0:c r="V259" s="106"/>
      <ns0:c r="W259" s="106"/>
      <ns0:c r="X259" s="106"/>
      <ns0:c r="Y259" s="106"/>
      <ns0:c r="Z259" s="106"/>
      <ns0:c r="AA259" s="106"/>
      <ns0:c r="AB259" s="106"/>
      <ns0:c r="AC259" s="115"/>
    </ns0:row>
    <ns0:row r="260" spans="1:29">
      <ns0:c r="A260" s="106"/>
      <ns0:c r="B260" s="107"/>
      <ns0:c r="C260" s="108"/>
      <ns0:c r="D260" s="109"/>
      <ns0:c r="E260" s="106"/>
      <ns0:c r="F260" s="106"/>
      <ns0:c r="G260" s="106"/>
      <ns0:c r="H260" s="106"/>
      <ns0:c r="I260" s="106"/>
      <ns0:c r="J260" s="106"/>
      <ns0:c r="K260" s="106"/>
      <ns0:c r="L260" s="106"/>
      <ns0:c r="M260" s="106"/>
      <ns0:c r="N260" s="106"/>
      <ns0:c r="O260" s="106"/>
      <ns0:c r="P260" s="106"/>
      <ns0:c r="Q260" s="106"/>
      <ns0:c r="R260" s="106"/>
      <ns0:c r="S260" s="106"/>
      <ns0:c r="T260" s="106"/>
      <ns0:c r="U260" s="106"/>
      <ns0:c r="V260" s="106"/>
      <ns0:c r="W260" s="106"/>
      <ns0:c r="X260" s="106"/>
      <ns0:c r="Y260" s="106"/>
      <ns0:c r="Z260" s="106"/>
      <ns0:c r="AA260" s="106"/>
      <ns0:c r="AB260" s="106"/>
      <ns0:c r="AC260" s="115"/>
    </ns0:row>
    <ns0:row r="261" spans="1:29">
      <ns0:c r="A261" s="106"/>
      <ns0:c r="B261" s="107"/>
      <ns0:c r="C261" s="108"/>
      <ns0:c r="D261" s="109"/>
      <ns0:c r="E261" s="106"/>
      <ns0:c r="F261" s="106"/>
      <ns0:c r="G261" s="106"/>
      <ns0:c r="H261" s="106"/>
      <ns0:c r="I261" s="106"/>
      <ns0:c r="J261" s="106"/>
      <ns0:c r="K261" s="106"/>
      <ns0:c r="L261" s="106"/>
      <ns0:c r="M261" s="106"/>
      <ns0:c r="N261" s="106"/>
      <ns0:c r="O261" s="106"/>
      <ns0:c r="P261" s="106"/>
      <ns0:c r="Q261" s="106"/>
      <ns0:c r="R261" s="106"/>
      <ns0:c r="S261" s="106"/>
      <ns0:c r="T261" s="106"/>
      <ns0:c r="U261" s="106"/>
      <ns0:c r="V261" s="106"/>
      <ns0:c r="W261" s="106"/>
      <ns0:c r="X261" s="106"/>
      <ns0:c r="Y261" s="106"/>
      <ns0:c r="Z261" s="106"/>
      <ns0:c r="AA261" s="106"/>
      <ns0:c r="AB261" s="106"/>
      <ns0:c r="AC261" s="115"/>
    </ns0:row>
    <ns0:row r="262" spans="1:29">
      <ns0:c r="A262" s="106"/>
      <ns0:c r="B262" s="107"/>
      <ns0:c r="C262" s="108"/>
      <ns0:c r="D262" s="109"/>
      <ns0:c r="E262" s="112"/>
      <ns0:c r="F262" s="112"/>
      <ns0:c r="G262" s="112"/>
      <ns0:c r="H262" s="112"/>
      <ns0:c r="I262" s="112"/>
      <ns0:c r="J262" s="112"/>
      <ns0:c r="K262" s="112"/>
      <ns0:c r="L262" s="112"/>
      <ns0:c r="M262" s="112"/>
      <ns0:c r="N262" s="112"/>
      <ns0:c r="O262" s="112"/>
      <ns0:c r="P262" s="112"/>
      <ns0:c r="Q262" s="112"/>
      <ns0:c r="R262" s="112"/>
      <ns0:c r="S262" s="112"/>
      <ns0:c r="T262" s="112"/>
      <ns0:c r="U262" s="112"/>
      <ns0:c r="V262" s="112"/>
      <ns0:c r="W262" s="112"/>
      <ns0:c r="X262" s="112"/>
      <ns0:c r="Y262" s="112"/>
      <ns0:c r="Z262" s="112"/>
      <ns0:c r="AA262" s="112"/>
      <ns0:c r="AB262" s="112"/>
      <ns0:c r="AC262" s="115"/>
    </ns0:row>
    <ns0:row r="263" spans="1:29">
      <ns0:c r="A263" s="106"/>
      <ns0:c r="B263" s="106"/>
      <ns0:c r="C263" s="106"/>
      <ns0:c r="D263" s="109"/>
      <ns0:c r="E263" s="112"/>
      <ns0:c r="F263" s="112"/>
      <ns0:c r="G263" s="112"/>
      <ns0:c r="H263" s="112"/>
      <ns0:c r="I263" s="112"/>
      <ns0:c r="J263" s="112"/>
      <ns0:c r="K263" s="112"/>
      <ns0:c r="L263" s="112"/>
      <ns0:c r="M263" s="112"/>
      <ns0:c r="N263" s="112"/>
      <ns0:c r="O263" s="112"/>
      <ns0:c r="P263" s="112"/>
      <ns0:c r="Q263" s="112"/>
      <ns0:c r="R263" s="112"/>
      <ns0:c r="S263" s="112"/>
      <ns0:c r="T263" s="112"/>
      <ns0:c r="U263" s="112"/>
      <ns0:c r="V263" s="112"/>
      <ns0:c r="W263" s="112"/>
      <ns0:c r="X263" s="112"/>
      <ns0:c r="Y263" s="112"/>
      <ns0:c r="Z263" s="112"/>
      <ns0:c r="AA263" s="112"/>
      <ns0:c r="AB263" s="112"/>
      <ns0:c r="AC263" s="112"/>
    </ns0:row>
    <ns0:row r="264" spans="1:29">
      <ns0:c r="A264" s="106"/>
      <ns0:c r="B264" s="107"/>
      <ns0:c r="C264" s="108"/>
      <ns0:c r="D264" s="109"/>
      <ns0:c r="E264" s="106"/>
      <ns0:c r="F264" s="106"/>
      <ns0:c r="G264" s="106"/>
      <ns0:c r="H264" s="106"/>
      <ns0:c r="I264" s="106"/>
      <ns0:c r="J264" s="106"/>
      <ns0:c r="K264" s="106"/>
      <ns0:c r="L264" s="106"/>
      <ns0:c r="M264" s="106"/>
      <ns0:c r="N264" s="106"/>
      <ns0:c r="O264" s="106"/>
      <ns0:c r="P264" s="106"/>
      <ns0:c r="Q264" s="106"/>
      <ns0:c r="R264" s="106"/>
      <ns0:c r="S264" s="106"/>
      <ns0:c r="T264" s="106"/>
      <ns0:c r="U264" s="106"/>
      <ns0:c r="V264" s="106"/>
      <ns0:c r="W264" s="106"/>
      <ns0:c r="X264" s="106"/>
      <ns0:c r="Y264" s="106"/>
      <ns0:c r="Z264" s="106"/>
      <ns0:c r="AA264" s="106"/>
      <ns0:c r="AB264" s="106"/>
      <ns0:c r="AC264" s="115"/>
    </ns0:row>
    <ns0:row r="265" spans="1:29">
      <ns0:c r="A265" s="106"/>
      <ns0:c r="B265" s="107"/>
      <ns0:c r="C265" s="108"/>
      <ns0:c r="D265" s="109"/>
      <ns0:c r="E265" s="106"/>
      <ns0:c r="F265" s="106"/>
      <ns0:c r="G265" s="106"/>
      <ns0:c r="H265" s="106"/>
      <ns0:c r="I265" s="106"/>
      <ns0:c r="J265" s="106"/>
      <ns0:c r="K265" s="106"/>
      <ns0:c r="L265" s="106"/>
      <ns0:c r="M265" s="106"/>
      <ns0:c r="N265" s="106"/>
      <ns0:c r="O265" s="106"/>
      <ns0:c r="P265" s="106"/>
      <ns0:c r="Q265" s="106"/>
      <ns0:c r="R265" s="106"/>
      <ns0:c r="S265" s="106"/>
      <ns0:c r="T265" s="106"/>
      <ns0:c r="U265" s="106"/>
      <ns0:c r="V265" s="106"/>
      <ns0:c r="W265" s="106"/>
      <ns0:c r="X265" s="106"/>
      <ns0:c r="Y265" s="106"/>
      <ns0:c r="Z265" s="106"/>
      <ns0:c r="AA265" s="106"/>
      <ns0:c r="AB265" s="106"/>
      <ns0:c r="AC265" s="115"/>
    </ns0:row>
    <ns0:row r="266" spans="1:29">
      <ns0:c r="A266" s="106"/>
      <ns0:c r="B266" s="107"/>
      <ns0:c r="C266" s="108"/>
      <ns0:c r="D266" s="109"/>
      <ns0:c r="E266" s="106"/>
      <ns0:c r="F266" s="106"/>
      <ns0:c r="G266" s="106"/>
      <ns0:c r="H266" s="106"/>
      <ns0:c r="I266" s="106"/>
      <ns0:c r="J266" s="106"/>
      <ns0:c r="K266" s="106"/>
      <ns0:c r="L266" s="106"/>
      <ns0:c r="M266" s="106"/>
      <ns0:c r="N266" s="106"/>
      <ns0:c r="O266" s="106"/>
      <ns0:c r="P266" s="106"/>
      <ns0:c r="Q266" s="106"/>
      <ns0:c r="R266" s="106"/>
      <ns0:c r="S266" s="106"/>
      <ns0:c r="T266" s="106"/>
      <ns0:c r="U266" s="106"/>
      <ns0:c r="V266" s="106"/>
      <ns0:c r="W266" s="106"/>
      <ns0:c r="X266" s="106"/>
      <ns0:c r="Y266" s="106"/>
      <ns0:c r="Z266" s="106"/>
      <ns0:c r="AA266" s="106"/>
      <ns0:c r="AB266" s="106"/>
      <ns0:c r="AC266" s="115"/>
    </ns0:row>
    <ns0:row r="267" spans="1:29">
      <ns0:c r="A267" s="106"/>
      <ns0:c r="B267" s="107"/>
      <ns0:c r="C267" s="108"/>
      <ns0:c r="D267" s="109"/>
      <ns0:c r="E267" s="106"/>
      <ns0:c r="F267" s="106"/>
      <ns0:c r="G267" s="106"/>
      <ns0:c r="H267" s="106"/>
      <ns0:c r="I267" s="106"/>
      <ns0:c r="J267" s="106"/>
      <ns0:c r="K267" s="106"/>
      <ns0:c r="L267" s="106"/>
      <ns0:c r="M267" s="106"/>
      <ns0:c r="N267" s="106"/>
      <ns0:c r="O267" s="106"/>
      <ns0:c r="P267" s="106"/>
      <ns0:c r="Q267" s="106"/>
      <ns0:c r="R267" s="106"/>
      <ns0:c r="S267" s="106"/>
      <ns0:c r="T267" s="106"/>
      <ns0:c r="U267" s="106"/>
      <ns0:c r="V267" s="106"/>
      <ns0:c r="W267" s="106"/>
      <ns0:c r="X267" s="106"/>
      <ns0:c r="Y267" s="106"/>
      <ns0:c r="Z267" s="106"/>
      <ns0:c r="AA267" s="106"/>
      <ns0:c r="AB267" s="106"/>
      <ns0:c r="AC267" s="115"/>
    </ns0:row>
    <ns0:row r="268" spans="1:29">
      <ns0:c r="A268" s="106"/>
      <ns0:c r="B268" s="107"/>
      <ns0:c r="C268" s="108"/>
      <ns0:c r="D268" s="109"/>
      <ns0:c r="E268" s="106"/>
      <ns0:c r="F268" s="106"/>
      <ns0:c r="G268" s="106"/>
      <ns0:c r="H268" s="106"/>
      <ns0:c r="I268" s="106"/>
      <ns0:c r="J268" s="106"/>
      <ns0:c r="K268" s="106"/>
      <ns0:c r="L268" s="106"/>
      <ns0:c r="M268" s="106"/>
      <ns0:c r="N268" s="106"/>
      <ns0:c r="O268" s="106"/>
      <ns0:c r="P268" s="106"/>
      <ns0:c r="Q268" s="106"/>
      <ns0:c r="R268" s="106"/>
      <ns0:c r="S268" s="106"/>
      <ns0:c r="T268" s="106"/>
      <ns0:c r="U268" s="106"/>
      <ns0:c r="V268" s="106"/>
      <ns0:c r="W268" s="106"/>
      <ns0:c r="X268" s="106"/>
      <ns0:c r="Y268" s="106"/>
      <ns0:c r="Z268" s="106"/>
      <ns0:c r="AA268" s="106"/>
      <ns0:c r="AB268" s="106"/>
      <ns0:c r="AC268" s="115"/>
    </ns0:row>
    <ns0:row r="269" spans="1:29">
      <ns0:c r="A269" s="106"/>
      <ns0:c r="B269" s="107"/>
      <ns0:c r="C269" s="108"/>
      <ns0:c r="D269" s="109"/>
      <ns0:c r="E269" s="106"/>
      <ns0:c r="F269" s="106"/>
      <ns0:c r="G269" s="106"/>
      <ns0:c r="H269" s="106"/>
      <ns0:c r="I269" s="106"/>
      <ns0:c r="J269" s="106"/>
      <ns0:c r="K269" s="106"/>
      <ns0:c r="L269" s="106"/>
      <ns0:c r="M269" s="106"/>
      <ns0:c r="N269" s="106"/>
      <ns0:c r="O269" s="106"/>
      <ns0:c r="P269" s="106"/>
      <ns0:c r="Q269" s="106"/>
      <ns0:c r="R269" s="106"/>
      <ns0:c r="S269" s="106"/>
      <ns0:c r="T269" s="106"/>
      <ns0:c r="U269" s="106"/>
      <ns0:c r="V269" s="106"/>
      <ns0:c r="W269" s="106"/>
      <ns0:c r="X269" s="106"/>
      <ns0:c r="Y269" s="106"/>
      <ns0:c r="Z269" s="106"/>
      <ns0:c r="AA269" s="106"/>
      <ns0:c r="AB269" s="106"/>
      <ns0:c r="AC269" s="115"/>
    </ns0:row>
    <ns0:row r="270" spans="1:29">
      <ns0:c r="A270" s="106"/>
      <ns0:c r="B270" s="107"/>
      <ns0:c r="C270" s="108"/>
      <ns0:c r="D270" s="109"/>
      <ns0:c r="E270" s="106"/>
      <ns0:c r="F270" s="106"/>
      <ns0:c r="G270" s="106"/>
      <ns0:c r="H270" s="106"/>
      <ns0:c r="I270" s="106"/>
      <ns0:c r="J270" s="106"/>
      <ns0:c r="K270" s="106"/>
      <ns0:c r="L270" s="106"/>
      <ns0:c r="M270" s="106"/>
      <ns0:c r="N270" s="106"/>
      <ns0:c r="O270" s="106"/>
      <ns0:c r="P270" s="106"/>
      <ns0:c r="Q270" s="106"/>
      <ns0:c r="R270" s="106"/>
      <ns0:c r="S270" s="106"/>
      <ns0:c r="T270" s="106"/>
      <ns0:c r="U270" s="106"/>
      <ns0:c r="V270" s="106"/>
      <ns0:c r="W270" s="106"/>
      <ns0:c r="X270" s="106"/>
      <ns0:c r="Y270" s="106"/>
      <ns0:c r="Z270" s="106"/>
      <ns0:c r="AA270" s="106"/>
      <ns0:c r="AB270" s="106"/>
      <ns0:c r="AC270" s="115"/>
    </ns0:row>
    <ns0:row r="271" spans="1:29">
      <ns0:c r="A271" s="106"/>
      <ns0:c r="B271" s="107"/>
      <ns0:c r="C271" s="108"/>
      <ns0:c r="D271" s="109"/>
      <ns0:c r="E271" s="106"/>
      <ns0:c r="F271" s="106"/>
      <ns0:c r="G271" s="106"/>
      <ns0:c r="H271" s="106"/>
      <ns0:c r="I271" s="106"/>
      <ns0:c r="J271" s="106"/>
      <ns0:c r="K271" s="106"/>
      <ns0:c r="L271" s="106"/>
      <ns0:c r="M271" s="106"/>
      <ns0:c r="N271" s="106"/>
      <ns0:c r="O271" s="106"/>
      <ns0:c r="P271" s="106"/>
      <ns0:c r="Q271" s="106"/>
      <ns0:c r="R271" s="106"/>
      <ns0:c r="S271" s="106"/>
      <ns0:c r="T271" s="106"/>
      <ns0:c r="U271" s="106"/>
      <ns0:c r="V271" s="106"/>
      <ns0:c r="W271" s="106"/>
      <ns0:c r="X271" s="106"/>
      <ns0:c r="Y271" s="106"/>
      <ns0:c r="Z271" s="106"/>
      <ns0:c r="AA271" s="106"/>
      <ns0:c r="AB271" s="106"/>
      <ns0:c r="AC271" s="115"/>
    </ns0:row>
    <ns0:row r="272" spans="1:29">
      <ns0:c r="A272" s="106"/>
      <ns0:c r="B272" s="110"/>
      <ns0:c r="C272" s="110"/>
      <ns0:c r="D272" s="109"/>
      <ns0:c r="E272" s="106"/>
      <ns0:c r="F272" s="106"/>
      <ns0:c r="G272" s="106"/>
      <ns0:c r="H272" s="106"/>
      <ns0:c r="I272" s="106"/>
      <ns0:c r="J272" s="106"/>
      <ns0:c r="K272" s="106"/>
      <ns0:c r="L272" s="106"/>
      <ns0:c r="M272" s="106"/>
      <ns0:c r="N272" s="106"/>
      <ns0:c r="O272" s="106"/>
      <ns0:c r="P272" s="106"/>
      <ns0:c r="Q272" s="106"/>
      <ns0:c r="R272" s="106"/>
      <ns0:c r="S272" s="106"/>
      <ns0:c r="T272" s="106"/>
      <ns0:c r="U272" s="106"/>
      <ns0:c r="V272" s="106"/>
      <ns0:c r="W272" s="106"/>
      <ns0:c r="X272" s="106"/>
      <ns0:c r="Y272" s="106"/>
      <ns0:c r="Z272" s="106"/>
      <ns0:c r="AA272" s="106"/>
      <ns0:c r="AB272" s="106"/>
      <ns0:c r="AC272" s="115"/>
    </ns0:row>
    <ns0:row r="273" spans="1:29">
      <ns0:c r="A273" s="106"/>
      <ns0:c r="B273" s="107"/>
      <ns0:c r="C273" s="108"/>
      <ns0:c r="D273" s="109"/>
      <ns0:c r="E273" s="106"/>
      <ns0:c r="F273" s="106"/>
      <ns0:c r="G273" s="106"/>
      <ns0:c r="H273" s="106"/>
      <ns0:c r="I273" s="106"/>
      <ns0:c r="J273" s="106"/>
      <ns0:c r="K273" s="106"/>
      <ns0:c r="L273" s="106"/>
      <ns0:c r="M273" s="106"/>
      <ns0:c r="N273" s="106"/>
      <ns0:c r="O273" s="106"/>
      <ns0:c r="P273" s="106"/>
      <ns0:c r="Q273" s="106"/>
      <ns0:c r="R273" s="106"/>
      <ns0:c r="S273" s="106"/>
      <ns0:c r="T273" s="106"/>
      <ns0:c r="U273" s="106"/>
      <ns0:c r="V273" s="106"/>
      <ns0:c r="W273" s="106"/>
      <ns0:c r="X273" s="106"/>
      <ns0:c r="Y273" s="106"/>
      <ns0:c r="Z273" s="106"/>
      <ns0:c r="AA273" s="106"/>
      <ns0:c r="AB273" s="106"/>
      <ns0:c r="AC273" s="115"/>
    </ns0:row>
    <ns0:row r="274" spans="1:29">
      <ns0:c r="A274" s="106"/>
      <ns0:c r="B274" s="107"/>
      <ns0:c r="C274" s="108"/>
      <ns0:c r="D274" s="109"/>
      <ns0:c r="E274" s="106"/>
      <ns0:c r="F274" s="106"/>
      <ns0:c r="G274" s="106"/>
      <ns0:c r="H274" s="106"/>
      <ns0:c r="I274" s="106"/>
      <ns0:c r="J274" s="106"/>
      <ns0:c r="K274" s="106"/>
      <ns0:c r="L274" s="106"/>
      <ns0:c r="M274" s="106"/>
      <ns0:c r="N274" s="106"/>
      <ns0:c r="O274" s="106"/>
      <ns0:c r="P274" s="106"/>
      <ns0:c r="Q274" s="106"/>
      <ns0:c r="R274" s="106"/>
      <ns0:c r="S274" s="106"/>
      <ns0:c r="T274" s="106"/>
      <ns0:c r="U274" s="106"/>
      <ns0:c r="V274" s="106"/>
      <ns0:c r="W274" s="106"/>
      <ns0:c r="X274" s="106"/>
      <ns0:c r="Y274" s="106"/>
      <ns0:c r="Z274" s="106"/>
      <ns0:c r="AA274" s="106"/>
      <ns0:c r="AB274" s="106"/>
      <ns0:c r="AC274" s="115"/>
    </ns0:row>
    <ns0:row r="275" spans="1:29">
      <ns0:c r="A275" s="106"/>
      <ns0:c r="B275" s="107"/>
      <ns0:c r="C275" s="108"/>
      <ns0:c r="D275" s="109"/>
      <ns0:c r="E275" s="112"/>
      <ns0:c r="F275" s="112"/>
      <ns0:c r="G275" s="112"/>
      <ns0:c r="H275" s="112"/>
      <ns0:c r="I275" s="112"/>
      <ns0:c r="J275" s="112"/>
      <ns0:c r="K275" s="112"/>
      <ns0:c r="L275" s="112"/>
      <ns0:c r="M275" s="112"/>
      <ns0:c r="N275" s="112"/>
      <ns0:c r="O275" s="112"/>
      <ns0:c r="P275" s="112"/>
      <ns0:c r="Q275" s="112"/>
      <ns0:c r="R275" s="112"/>
      <ns0:c r="S275" s="112"/>
      <ns0:c r="T275" s="112"/>
      <ns0:c r="U275" s="112"/>
      <ns0:c r="V275" s="112"/>
      <ns0:c r="W275" s="112"/>
      <ns0:c r="X275" s="112"/>
      <ns0:c r="Y275" s="112"/>
      <ns0:c r="Z275" s="112"/>
      <ns0:c r="AA275" s="112"/>
      <ns0:c r="AB275" s="112"/>
      <ns0:c r="AC275" s="115"/>
    </ns0:row>
    <ns0:row r="276" spans="1:29">
      <ns0:c r="A276" s="106"/>
      <ns0:c r="B276" s="106"/>
      <ns0:c r="C276" s="106"/>
      <ns0:c r="D276" s="109"/>
      <ns0:c r="E276" s="112"/>
      <ns0:c r="F276" s="112"/>
      <ns0:c r="G276" s="112"/>
      <ns0:c r="H276" s="112"/>
      <ns0:c r="I276" s="112"/>
      <ns0:c r="J276" s="112"/>
      <ns0:c r="K276" s="112"/>
      <ns0:c r="L276" s="112"/>
      <ns0:c r="M276" s="112"/>
      <ns0:c r="N276" s="112"/>
      <ns0:c r="O276" s="112"/>
      <ns0:c r="P276" s="112"/>
      <ns0:c r="Q276" s="112"/>
      <ns0:c r="R276" s="112"/>
      <ns0:c r="S276" s="112"/>
      <ns0:c r="T276" s="112"/>
      <ns0:c r="U276" s="112"/>
      <ns0:c r="V276" s="112"/>
      <ns0:c r="W276" s="112"/>
      <ns0:c r="X276" s="112"/>
      <ns0:c r="Y276" s="112"/>
      <ns0:c r="Z276" s="112"/>
      <ns0:c r="AA276" s="112"/>
      <ns0:c r="AB276" s="112"/>
      <ns0:c r="AC276" s="112"/>
    </ns0:row>
    <ns0:row r="277" spans="1:29">
      <ns0:c r="A277" s="106"/>
      <ns0:c r="B277" s="107"/>
      <ns0:c r="C277" s="108"/>
      <ns0:c r="D277" s="109"/>
      <ns0:c r="E277" s="112"/>
      <ns0:c r="F277" s="112"/>
      <ns0:c r="G277" s="112"/>
      <ns0:c r="H277" s="112"/>
      <ns0:c r="I277" s="112"/>
      <ns0:c r="J277" s="112"/>
      <ns0:c r="K277" s="112"/>
      <ns0:c r="L277" s="112"/>
      <ns0:c r="M277" s="112"/>
      <ns0:c r="N277" s="112"/>
      <ns0:c r="O277" s="112"/>
      <ns0:c r="P277" s="112"/>
      <ns0:c r="Q277" s="112"/>
      <ns0:c r="R277" s="112"/>
      <ns0:c r="S277" s="112"/>
      <ns0:c r="T277" s="112"/>
      <ns0:c r="U277" s="112"/>
      <ns0:c r="V277" s="112"/>
      <ns0:c r="W277" s="112"/>
      <ns0:c r="X277" s="112"/>
      <ns0:c r="Y277" s="112"/>
      <ns0:c r="Z277" s="112"/>
      <ns0:c r="AA277" s="112"/>
      <ns0:c r="AB277" s="112"/>
      <ns0:c r="AC277" s="115"/>
    </ns0:row>
    <ns0:row r="278" spans="1:29">
      <ns0:c r="A278" s="106"/>
      <ns0:c r="B278" s="107"/>
      <ns0:c r="C278" s="108"/>
      <ns0:c r="D278" s="109"/>
      <ns0:c r="E278" s="106"/>
      <ns0:c r="F278" s="106"/>
      <ns0:c r="G278" s="106"/>
      <ns0:c r="H278" s="106"/>
      <ns0:c r="I278" s="106"/>
      <ns0:c r="J278" s="106"/>
      <ns0:c r="K278" s="106"/>
      <ns0:c r="L278" s="106"/>
      <ns0:c r="M278" s="106"/>
      <ns0:c r="N278" s="106"/>
      <ns0:c r="O278" s="106"/>
      <ns0:c r="P278" s="106"/>
      <ns0:c r="Q278" s="106"/>
      <ns0:c r="R278" s="106"/>
      <ns0:c r="S278" s="106"/>
      <ns0:c r="T278" s="106"/>
      <ns0:c r="U278" s="106"/>
      <ns0:c r="V278" s="106"/>
      <ns0:c r="W278" s="106"/>
      <ns0:c r="X278" s="106"/>
      <ns0:c r="Y278" s="106"/>
      <ns0:c r="Z278" s="106"/>
      <ns0:c r="AA278" s="106"/>
      <ns0:c r="AB278" s="106"/>
      <ns0:c r="AC278" s="115"/>
    </ns0:row>
    <ns0:row r="279" spans="1:29">
      <ns0:c r="A279" s="106"/>
      <ns0:c r="B279" s="107"/>
      <ns0:c r="C279" s="108"/>
      <ns0:c r="D279" s="109"/>
      <ns0:c r="E279" s="106"/>
      <ns0:c r="F279" s="106"/>
      <ns0:c r="G279" s="106"/>
      <ns0:c r="H279" s="106"/>
      <ns0:c r="I279" s="106"/>
      <ns0:c r="J279" s="106"/>
      <ns0:c r="K279" s="106"/>
      <ns0:c r="L279" s="106"/>
      <ns0:c r="M279" s="106"/>
      <ns0:c r="N279" s="106"/>
      <ns0:c r="O279" s="106"/>
      <ns0:c r="P279" s="106"/>
      <ns0:c r="Q279" s="106"/>
      <ns0:c r="R279" s="106"/>
      <ns0:c r="S279" s="106"/>
      <ns0:c r="T279" s="106"/>
      <ns0:c r="U279" s="106"/>
      <ns0:c r="V279" s="106"/>
      <ns0:c r="W279" s="106"/>
      <ns0:c r="X279" s="106"/>
      <ns0:c r="Y279" s="106"/>
      <ns0:c r="Z279" s="106"/>
      <ns0:c r="AA279" s="106"/>
      <ns0:c r="AB279" s="106"/>
      <ns0:c r="AC279" s="115"/>
    </ns0:row>
    <ns0:row r="280" spans="1:29">
      <ns0:c r="A280" s="106"/>
      <ns0:c r="B280" s="107"/>
      <ns0:c r="C280" s="108"/>
      <ns0:c r="D280" s="109"/>
      <ns0:c r="E280" s="106"/>
      <ns0:c r="F280" s="106"/>
      <ns0:c r="G280" s="106"/>
      <ns0:c r="H280" s="106"/>
      <ns0:c r="I280" s="106"/>
      <ns0:c r="J280" s="106"/>
      <ns0:c r="K280" s="106"/>
      <ns0:c r="L280" s="106"/>
      <ns0:c r="M280" s="106"/>
      <ns0:c r="N280" s="106"/>
      <ns0:c r="O280" s="106"/>
      <ns0:c r="P280" s="106"/>
      <ns0:c r="Q280" s="106"/>
      <ns0:c r="R280" s="106"/>
      <ns0:c r="S280" s="106"/>
      <ns0:c r="T280" s="106"/>
      <ns0:c r="U280" s="106"/>
      <ns0:c r="V280" s="106"/>
      <ns0:c r="W280" s="106"/>
      <ns0:c r="X280" s="106"/>
      <ns0:c r="Y280" s="106"/>
      <ns0:c r="Z280" s="106"/>
      <ns0:c r="AA280" s="106"/>
      <ns0:c r="AB280" s="106"/>
      <ns0:c r="AC280" s="115"/>
    </ns0:row>
    <ns0:row r="281" spans="1:29">
      <ns0:c r="A281" s="106"/>
      <ns0:c r="B281" s="107"/>
      <ns0:c r="C281" s="108"/>
      <ns0:c r="D281" s="109"/>
      <ns0:c r="E281" s="106"/>
      <ns0:c r="F281" s="106"/>
      <ns0:c r="G281" s="106"/>
      <ns0:c r="H281" s="106"/>
      <ns0:c r="I281" s="106"/>
      <ns0:c r="J281" s="106"/>
      <ns0:c r="K281" s="106"/>
      <ns0:c r="L281" s="106"/>
      <ns0:c r="M281" s="106"/>
      <ns0:c r="N281" s="106"/>
      <ns0:c r="O281" s="106"/>
      <ns0:c r="P281" s="106"/>
      <ns0:c r="Q281" s="106"/>
      <ns0:c r="R281" s="106"/>
      <ns0:c r="S281" s="106"/>
      <ns0:c r="T281" s="106"/>
      <ns0:c r="U281" s="106"/>
      <ns0:c r="V281" s="106"/>
      <ns0:c r="W281" s="106"/>
      <ns0:c r="X281" s="106"/>
      <ns0:c r="Y281" s="106"/>
      <ns0:c r="Z281" s="106"/>
      <ns0:c r="AA281" s="106"/>
      <ns0:c r="AB281" s="106"/>
      <ns0:c r="AC281" s="115"/>
    </ns0:row>
    <ns0:row r="282" spans="1:29">
      <ns0:c r="A282" s="106"/>
      <ns0:c r="B282" s="107"/>
      <ns0:c r="C282" s="108"/>
      <ns0:c r="D282" s="109"/>
      <ns0:c r="E282" s="106"/>
      <ns0:c r="F282" s="106"/>
      <ns0:c r="G282" s="106"/>
      <ns0:c r="H282" s="106"/>
      <ns0:c r="I282" s="106"/>
      <ns0:c r="J282" s="106"/>
      <ns0:c r="K282" s="106"/>
      <ns0:c r="L282" s="106"/>
      <ns0:c r="M282" s="106"/>
      <ns0:c r="N282" s="106"/>
      <ns0:c r="O282" s="106"/>
      <ns0:c r="P282" s="106"/>
      <ns0:c r="Q282" s="106"/>
      <ns0:c r="R282" s="106"/>
      <ns0:c r="S282" s="106"/>
      <ns0:c r="T282" s="106"/>
      <ns0:c r="U282" s="106"/>
      <ns0:c r="V282" s="106"/>
      <ns0:c r="W282" s="106"/>
      <ns0:c r="X282" s="106"/>
      <ns0:c r="Y282" s="106"/>
      <ns0:c r="Z282" s="106"/>
      <ns0:c r="AA282" s="106"/>
      <ns0:c r="AB282" s="106"/>
      <ns0:c r="AC282" s="115"/>
    </ns0:row>
    <ns0:row r="283" spans="1:29">
      <ns0:c r="A283" s="106"/>
      <ns0:c r="B283" s="107"/>
      <ns0:c r="C283" s="108"/>
      <ns0:c r="D283" s="109"/>
      <ns0:c r="E283" s="106"/>
      <ns0:c r="F283" s="106"/>
      <ns0:c r="G283" s="106"/>
      <ns0:c r="H283" s="106"/>
      <ns0:c r="I283" s="106"/>
      <ns0:c r="J283" s="106"/>
      <ns0:c r="K283" s="106"/>
      <ns0:c r="L283" s="106"/>
      <ns0:c r="M283" s="106"/>
      <ns0:c r="N283" s="106"/>
      <ns0:c r="O283" s="106"/>
      <ns0:c r="P283" s="106"/>
      <ns0:c r="Q283" s="106"/>
      <ns0:c r="R283" s="106"/>
      <ns0:c r="S283" s="106"/>
      <ns0:c r="T283" s="106"/>
      <ns0:c r="U283" s="106"/>
      <ns0:c r="V283" s="106"/>
      <ns0:c r="W283" s="106"/>
      <ns0:c r="X283" s="106"/>
      <ns0:c r="Y283" s="106"/>
      <ns0:c r="Z283" s="106"/>
      <ns0:c r="AA283" s="106"/>
      <ns0:c r="AB283" s="106"/>
      <ns0:c r="AC283" s="115"/>
    </ns0:row>
    <ns0:row r="284" spans="1:29">
      <ns0:c r="A284" s="106"/>
      <ns0:c r="B284" s="107"/>
      <ns0:c r="C284" s="108"/>
      <ns0:c r="D284" s="109"/>
      <ns0:c r="E284" s="106"/>
      <ns0:c r="F284" s="106"/>
      <ns0:c r="G284" s="106"/>
      <ns0:c r="H284" s="106"/>
      <ns0:c r="I284" s="106"/>
      <ns0:c r="J284" s="106"/>
      <ns0:c r="K284" s="106"/>
      <ns0:c r="L284" s="106"/>
      <ns0:c r="M284" s="106"/>
      <ns0:c r="N284" s="106"/>
      <ns0:c r="O284" s="106"/>
      <ns0:c r="P284" s="106"/>
      <ns0:c r="Q284" s="106"/>
      <ns0:c r="R284" s="106"/>
      <ns0:c r="S284" s="106"/>
      <ns0:c r="T284" s="106"/>
      <ns0:c r="U284" s="106"/>
      <ns0:c r="V284" s="106"/>
      <ns0:c r="W284" s="106"/>
      <ns0:c r="X284" s="106"/>
      <ns0:c r="Y284" s="106"/>
      <ns0:c r="Z284" s="106"/>
      <ns0:c r="AA284" s="106"/>
      <ns0:c r="AB284" s="106"/>
      <ns0:c r="AC284" s="115"/>
    </ns0:row>
    <ns0:row r="285" spans="1:29">
      <ns0:c r="A285" s="106"/>
      <ns0:c r="B285" s="110"/>
      <ns0:c r="C285" s="110"/>
      <ns0:c r="D285" s="109"/>
      <ns0:c r="E285" s="106"/>
      <ns0:c r="F285" s="106"/>
      <ns0:c r="G285" s="106"/>
      <ns0:c r="H285" s="106"/>
      <ns0:c r="I285" s="106"/>
      <ns0:c r="J285" s="106"/>
      <ns0:c r="K285" s="106"/>
      <ns0:c r="L285" s="106"/>
      <ns0:c r="M285" s="106"/>
      <ns0:c r="N285" s="106"/>
      <ns0:c r="O285" s="106"/>
      <ns0:c r="P285" s="106"/>
      <ns0:c r="Q285" s="106"/>
      <ns0:c r="R285" s="106"/>
      <ns0:c r="S285" s="106"/>
      <ns0:c r="T285" s="106"/>
      <ns0:c r="U285" s="106"/>
      <ns0:c r="V285" s="106"/>
      <ns0:c r="W285" s="106"/>
      <ns0:c r="X285" s="106"/>
      <ns0:c r="Y285" s="106"/>
      <ns0:c r="Z285" s="106"/>
      <ns0:c r="AA285" s="106"/>
      <ns0:c r="AB285" s="106"/>
      <ns0:c r="AC285" s="115"/>
    </ns0:row>
    <ns0:row r="286" spans="1:29">
      <ns0:c r="A286" s="106"/>
      <ns0:c r="B286" s="107"/>
      <ns0:c r="C286" s="108"/>
      <ns0:c r="D286" s="109"/>
      <ns0:c r="E286" s="106"/>
      <ns0:c r="F286" s="106"/>
      <ns0:c r="G286" s="106"/>
      <ns0:c r="H286" s="106"/>
      <ns0:c r="I286" s="106"/>
      <ns0:c r="J286" s="106"/>
      <ns0:c r="K286" s="106"/>
      <ns0:c r="L286" s="106"/>
      <ns0:c r="M286" s="106"/>
      <ns0:c r="N286" s="106"/>
      <ns0:c r="O286" s="106"/>
      <ns0:c r="P286" s="106"/>
      <ns0:c r="Q286" s="106"/>
      <ns0:c r="R286" s="106"/>
      <ns0:c r="S286" s="106"/>
      <ns0:c r="T286" s="106"/>
      <ns0:c r="U286" s="106"/>
      <ns0:c r="V286" s="106"/>
      <ns0:c r="W286" s="106"/>
      <ns0:c r="X286" s="106"/>
      <ns0:c r="Y286" s="106"/>
      <ns0:c r="Z286" s="106"/>
      <ns0:c r="AA286" s="106"/>
      <ns0:c r="AB286" s="106"/>
      <ns0:c r="AC286" s="115"/>
    </ns0:row>
    <ns0:row r="287" spans="1:29">
      <ns0:c r="A287" s="106"/>
      <ns0:c r="B287" s="107"/>
      <ns0:c r="C287" s="108"/>
      <ns0:c r="D287" s="109"/>
      <ns0:c r="E287" s="106"/>
      <ns0:c r="F287" s="106"/>
      <ns0:c r="G287" s="106"/>
      <ns0:c r="H287" s="106"/>
      <ns0:c r="I287" s="106"/>
      <ns0:c r="J287" s="106"/>
      <ns0:c r="K287" s="106"/>
      <ns0:c r="L287" s="106"/>
      <ns0:c r="M287" s="106"/>
      <ns0:c r="N287" s="106"/>
      <ns0:c r="O287" s="106"/>
      <ns0:c r="P287" s="106"/>
      <ns0:c r="Q287" s="106"/>
      <ns0:c r="R287" s="106"/>
      <ns0:c r="S287" s="106"/>
      <ns0:c r="T287" s="106"/>
      <ns0:c r="U287" s="106"/>
      <ns0:c r="V287" s="106"/>
      <ns0:c r="W287" s="106"/>
      <ns0:c r="X287" s="106"/>
      <ns0:c r="Y287" s="106"/>
      <ns0:c r="Z287" s="106"/>
      <ns0:c r="AA287" s="106"/>
      <ns0:c r="AB287" s="106"/>
      <ns0:c r="AC287" s="115"/>
    </ns0:row>
    <ns0:row r="288" spans="1:29">
      <ns0:c r="A288" s="106"/>
      <ns0:c r="B288" s="107"/>
      <ns0:c r="C288" s="108"/>
      <ns0:c r="D288" s="109"/>
      <ns0:c r="E288" s="112"/>
      <ns0:c r="F288" s="112"/>
      <ns0:c r="G288" s="112"/>
      <ns0:c r="H288" s="112"/>
      <ns0:c r="I288" s="112"/>
      <ns0:c r="J288" s="112"/>
      <ns0:c r="K288" s="112"/>
      <ns0:c r="L288" s="112"/>
      <ns0:c r="M288" s="112"/>
      <ns0:c r="N288" s="112"/>
      <ns0:c r="O288" s="112"/>
      <ns0:c r="P288" s="112"/>
      <ns0:c r="Q288" s="112"/>
      <ns0:c r="R288" s="112"/>
      <ns0:c r="S288" s="112"/>
      <ns0:c r="T288" s="112"/>
      <ns0:c r="U288" s="112"/>
      <ns0:c r="V288" s="112"/>
      <ns0:c r="W288" s="112"/>
      <ns0:c r="X288" s="112"/>
      <ns0:c r="Y288" s="112"/>
      <ns0:c r="Z288" s="112"/>
      <ns0:c r="AA288" s="112"/>
      <ns0:c r="AB288" s="112"/>
      <ns0:c r="AC288" s="115"/>
    </ns0:row>
    <ns0:row r="289" spans="1:29">
      <ns0:c r="A289" s="106"/>
      <ns0:c r="B289" s="106"/>
      <ns0:c r="C289" s="106"/>
      <ns0:c r="D289" s="109"/>
      <ns0:c r="E289" s="112"/>
      <ns0:c r="F289" s="112"/>
      <ns0:c r="G289" s="112"/>
      <ns0:c r="H289" s="112"/>
      <ns0:c r="I289" s="112"/>
      <ns0:c r="J289" s="112"/>
      <ns0:c r="K289" s="112"/>
      <ns0:c r="L289" s="112"/>
      <ns0:c r="M289" s="112"/>
      <ns0:c r="N289" s="112"/>
      <ns0:c r="O289" s="112"/>
      <ns0:c r="P289" s="112"/>
      <ns0:c r="Q289" s="112"/>
      <ns0:c r="R289" s="112"/>
      <ns0:c r="S289" s="112"/>
      <ns0:c r="T289" s="112"/>
      <ns0:c r="U289" s="112"/>
      <ns0:c r="V289" s="112"/>
      <ns0:c r="W289" s="112"/>
      <ns0:c r="X289" s="112"/>
      <ns0:c r="Y289" s="112"/>
      <ns0:c r="Z289" s="112"/>
      <ns0:c r="AA289" s="112"/>
      <ns0:c r="AB289" s="112"/>
      <ns0:c r="AC289" s="112"/>
    </ns0:row>
    <ns0:row r="290" spans="1:29">
      <ns0:c r="A290" s="106"/>
      <ns0:c r="B290" s="107"/>
      <ns0:c r="C290" s="108"/>
      <ns0:c r="D290" s="109"/>
      <ns0:c r="E290" s="112"/>
      <ns0:c r="F290" s="112"/>
      <ns0:c r="G290" s="112"/>
      <ns0:c r="H290" s="112"/>
      <ns0:c r="I290" s="112"/>
      <ns0:c r="J290" s="112"/>
      <ns0:c r="K290" s="112"/>
      <ns0:c r="L290" s="112"/>
      <ns0:c r="M290" s="112"/>
      <ns0:c r="N290" s="112"/>
      <ns0:c r="O290" s="112"/>
      <ns0:c r="P290" s="112"/>
      <ns0:c r="Q290" s="112"/>
      <ns0:c r="R290" s="112"/>
      <ns0:c r="S290" s="112"/>
      <ns0:c r="T290" s="112"/>
      <ns0:c r="U290" s="112"/>
      <ns0:c r="V290" s="112"/>
      <ns0:c r="W290" s="112"/>
      <ns0:c r="X290" s="112"/>
      <ns0:c r="Y290" s="112"/>
      <ns0:c r="Z290" s="112"/>
      <ns0:c r="AA290" s="112"/>
      <ns0:c r="AB290" s="112"/>
      <ns0:c r="AC290" s="115"/>
    </ns0:row>
    <ns0:row r="291" spans="1:29">
      <ns0:c r="A291" s="106"/>
      <ns0:c r="B291" s="107"/>
      <ns0:c r="C291" s="108"/>
      <ns0:c r="D291" s="109"/>
      <ns0:c r="E291" s="106"/>
      <ns0:c r="F291" s="106"/>
      <ns0:c r="G291" s="106"/>
      <ns0:c r="H291" s="106"/>
      <ns0:c r="I291" s="106"/>
      <ns0:c r="J291" s="106"/>
      <ns0:c r="K291" s="106"/>
      <ns0:c r="L291" s="106"/>
      <ns0:c r="M291" s="106"/>
      <ns0:c r="N291" s="106"/>
      <ns0:c r="O291" s="106"/>
      <ns0:c r="P291" s="106"/>
      <ns0:c r="Q291" s="106"/>
      <ns0:c r="R291" s="106"/>
      <ns0:c r="S291" s="106"/>
      <ns0:c r="T291" s="106"/>
      <ns0:c r="U291" s="106"/>
      <ns0:c r="V291" s="106"/>
      <ns0:c r="W291" s="106"/>
      <ns0:c r="X291" s="106"/>
      <ns0:c r="Y291" s="106"/>
      <ns0:c r="Z291" s="106"/>
      <ns0:c r="AA291" s="106"/>
      <ns0:c r="AB291" s="106"/>
      <ns0:c r="AC291" s="115"/>
    </ns0:row>
    <ns0:row r="292" spans="1:29">
      <ns0:c r="A292" s="106"/>
      <ns0:c r="B292" s="107"/>
      <ns0:c r="C292" s="108"/>
      <ns0:c r="D292" s="109"/>
      <ns0:c r="E292" s="106"/>
      <ns0:c r="F292" s="106"/>
      <ns0:c r="G292" s="106"/>
      <ns0:c r="H292" s="106"/>
      <ns0:c r="I292" s="106"/>
      <ns0:c r="J292" s="106"/>
      <ns0:c r="K292" s="106"/>
      <ns0:c r="L292" s="106"/>
      <ns0:c r="M292" s="106"/>
      <ns0:c r="N292" s="106"/>
      <ns0:c r="O292" s="106"/>
      <ns0:c r="P292" s="106"/>
      <ns0:c r="Q292" s="106"/>
      <ns0:c r="R292" s="106"/>
      <ns0:c r="S292" s="106"/>
      <ns0:c r="T292" s="106"/>
      <ns0:c r="U292" s="106"/>
      <ns0:c r="V292" s="106"/>
      <ns0:c r="W292" s="106"/>
      <ns0:c r="X292" s="106"/>
      <ns0:c r="Y292" s="106"/>
      <ns0:c r="Z292" s="106"/>
      <ns0:c r="AA292" s="106"/>
      <ns0:c r="AB292" s="106"/>
      <ns0:c r="AC292" s="115"/>
    </ns0:row>
    <ns0:row r="293" spans="1:29">
      <ns0:c r="A293" s="106"/>
      <ns0:c r="B293" s="107"/>
      <ns0:c r="C293" s="108"/>
      <ns0:c r="D293" s="109"/>
      <ns0:c r="E293" s="106"/>
      <ns0:c r="F293" s="106"/>
      <ns0:c r="G293" s="106"/>
      <ns0:c r="H293" s="106"/>
      <ns0:c r="I293" s="106"/>
      <ns0:c r="J293" s="106"/>
      <ns0:c r="K293" s="106"/>
      <ns0:c r="L293" s="106"/>
      <ns0:c r="M293" s="106"/>
      <ns0:c r="N293" s="106"/>
      <ns0:c r="O293" s="106"/>
      <ns0:c r="P293" s="106"/>
      <ns0:c r="Q293" s="106"/>
      <ns0:c r="R293" s="106"/>
      <ns0:c r="S293" s="106"/>
      <ns0:c r="T293" s="106"/>
      <ns0:c r="U293" s="106"/>
      <ns0:c r="V293" s="106"/>
      <ns0:c r="W293" s="106"/>
      <ns0:c r="X293" s="106"/>
      <ns0:c r="Y293" s="106"/>
      <ns0:c r="Z293" s="106"/>
      <ns0:c r="AA293" s="106"/>
      <ns0:c r="AB293" s="106"/>
      <ns0:c r="AC293" s="115"/>
    </ns0:row>
    <ns0:row r="294" spans="1:29">
      <ns0:c r="A294" s="106"/>
      <ns0:c r="B294" s="107"/>
      <ns0:c r="C294" s="108"/>
      <ns0:c r="D294" s="109"/>
      <ns0:c r="E294" s="106"/>
      <ns0:c r="F294" s="106"/>
      <ns0:c r="G294" s="106"/>
      <ns0:c r="H294" s="106"/>
      <ns0:c r="I294" s="106"/>
      <ns0:c r="J294" s="106"/>
      <ns0:c r="K294" s="106"/>
      <ns0:c r="L294" s="106"/>
      <ns0:c r="M294" s="106"/>
      <ns0:c r="N294" s="106"/>
      <ns0:c r="O294" s="106"/>
      <ns0:c r="P294" s="106"/>
      <ns0:c r="Q294" s="106"/>
      <ns0:c r="R294" s="106"/>
      <ns0:c r="S294" s="106"/>
      <ns0:c r="T294" s="106"/>
      <ns0:c r="U294" s="106"/>
      <ns0:c r="V294" s="106"/>
      <ns0:c r="W294" s="106"/>
      <ns0:c r="X294" s="106"/>
      <ns0:c r="Y294" s="106"/>
      <ns0:c r="Z294" s="106"/>
      <ns0:c r="AA294" s="106"/>
      <ns0:c r="AB294" s="106"/>
      <ns0:c r="AC294" s="115"/>
    </ns0:row>
    <ns0:row r="295" spans="1:29">
      <ns0:c r="A295" s="106"/>
      <ns0:c r="B295" s="107"/>
      <ns0:c r="C295" s="108"/>
      <ns0:c r="D295" s="109"/>
      <ns0:c r="E295" s="106"/>
      <ns0:c r="F295" s="106"/>
      <ns0:c r="G295" s="106"/>
      <ns0:c r="H295" s="106"/>
      <ns0:c r="I295" s="106"/>
      <ns0:c r="J295" s="106"/>
      <ns0:c r="K295" s="106"/>
      <ns0:c r="L295" s="106"/>
      <ns0:c r="M295" s="106"/>
      <ns0:c r="N295" s="106"/>
      <ns0:c r="O295" s="106"/>
      <ns0:c r="P295" s="106"/>
      <ns0:c r="Q295" s="106"/>
      <ns0:c r="R295" s="106"/>
      <ns0:c r="S295" s="106"/>
      <ns0:c r="T295" s="106"/>
      <ns0:c r="U295" s="106"/>
      <ns0:c r="V295" s="106"/>
      <ns0:c r="W295" s="106"/>
      <ns0:c r="X295" s="106"/>
      <ns0:c r="Y295" s="106"/>
      <ns0:c r="Z295" s="106"/>
      <ns0:c r="AA295" s="106"/>
      <ns0:c r="AB295" s="106"/>
      <ns0:c r="AC295" s="115"/>
    </ns0:row>
    <ns0:row r="296" spans="1:29">
      <ns0:c r="A296" s="106"/>
      <ns0:c r="B296" s="107"/>
      <ns0:c r="C296" s="108"/>
      <ns0:c r="D296" s="109"/>
      <ns0:c r="E296" s="106"/>
      <ns0:c r="F296" s="106"/>
      <ns0:c r="G296" s="106"/>
      <ns0:c r="H296" s="106"/>
      <ns0:c r="I296" s="106"/>
      <ns0:c r="J296" s="106"/>
      <ns0:c r="K296" s="106"/>
      <ns0:c r="L296" s="106"/>
      <ns0:c r="M296" s="106"/>
      <ns0:c r="N296" s="106"/>
      <ns0:c r="O296" s="106"/>
      <ns0:c r="P296" s="106"/>
      <ns0:c r="Q296" s="106"/>
      <ns0:c r="R296" s="106"/>
      <ns0:c r="S296" s="106"/>
      <ns0:c r="T296" s="106"/>
      <ns0:c r="U296" s="106"/>
      <ns0:c r="V296" s="106"/>
      <ns0:c r="W296" s="106"/>
      <ns0:c r="X296" s="106"/>
      <ns0:c r="Y296" s="106"/>
      <ns0:c r="Z296" s="106"/>
      <ns0:c r="AA296" s="106"/>
      <ns0:c r="AB296" s="106"/>
      <ns0:c r="AC296" s="115"/>
    </ns0:row>
    <ns0:row r="297" spans="1:29">
      <ns0:c r="A297" s="106"/>
      <ns0:c r="B297" s="107"/>
      <ns0:c r="C297" s="108"/>
      <ns0:c r="D297" s="109"/>
      <ns0:c r="E297" s="106"/>
      <ns0:c r="F297" s="106"/>
      <ns0:c r="G297" s="106"/>
      <ns0:c r="H297" s="106"/>
      <ns0:c r="I297" s="106"/>
      <ns0:c r="J297" s="106"/>
      <ns0:c r="K297" s="106"/>
      <ns0:c r="L297" s="106"/>
      <ns0:c r="M297" s="106"/>
      <ns0:c r="N297" s="106"/>
      <ns0:c r="O297" s="106"/>
      <ns0:c r="P297" s="106"/>
      <ns0:c r="Q297" s="106"/>
      <ns0:c r="R297" s="106"/>
      <ns0:c r="S297" s="106"/>
      <ns0:c r="T297" s="106"/>
      <ns0:c r="U297" s="106"/>
      <ns0:c r="V297" s="106"/>
      <ns0:c r="W297" s="106"/>
      <ns0:c r="X297" s="106"/>
      <ns0:c r="Y297" s="106"/>
      <ns0:c r="Z297" s="106"/>
      <ns0:c r="AA297" s="106"/>
      <ns0:c r="AB297" s="106"/>
      <ns0:c r="AC297" s="115"/>
    </ns0:row>
    <ns0:row r="298" spans="1:29">
      <ns0:c r="A298" s="106"/>
      <ns0:c r="B298" s="110"/>
      <ns0:c r="C298" s="110"/>
      <ns0:c r="D298" s="109"/>
      <ns0:c r="E298" s="106"/>
      <ns0:c r="F298" s="106"/>
      <ns0:c r="G298" s="106"/>
      <ns0:c r="H298" s="106"/>
      <ns0:c r="I298" s="106"/>
      <ns0:c r="J298" s="106"/>
      <ns0:c r="K298" s="106"/>
      <ns0:c r="L298" s="106"/>
      <ns0:c r="M298" s="106"/>
      <ns0:c r="N298" s="106"/>
      <ns0:c r="O298" s="106"/>
      <ns0:c r="P298" s="106"/>
      <ns0:c r="Q298" s="106"/>
      <ns0:c r="R298" s="106"/>
      <ns0:c r="S298" s="106"/>
      <ns0:c r="T298" s="106"/>
      <ns0:c r="U298" s="106"/>
      <ns0:c r="V298" s="106"/>
      <ns0:c r="W298" s="106"/>
      <ns0:c r="X298" s="106"/>
      <ns0:c r="Y298" s="106"/>
      <ns0:c r="Z298" s="106"/>
      <ns0:c r="AA298" s="106"/>
      <ns0:c r="AB298" s="106"/>
      <ns0:c r="AC298" s="115"/>
    </ns0:row>
    <ns0:row r="299" spans="1:29">
      <ns0:c r="A299" s="106"/>
      <ns0:c r="B299" s="107"/>
      <ns0:c r="C299" s="108"/>
      <ns0:c r="D299" s="109"/>
      <ns0:c r="E299" s="106"/>
      <ns0:c r="F299" s="106"/>
      <ns0:c r="G299" s="106"/>
      <ns0:c r="H299" s="106"/>
      <ns0:c r="I299" s="106"/>
      <ns0:c r="J299" s="106"/>
      <ns0:c r="K299" s="106"/>
      <ns0:c r="L299" s="106"/>
      <ns0:c r="M299" s="106"/>
      <ns0:c r="N299" s="106"/>
      <ns0:c r="O299" s="106"/>
      <ns0:c r="P299" s="106"/>
      <ns0:c r="Q299" s="106"/>
      <ns0:c r="R299" s="106"/>
      <ns0:c r="S299" s="106"/>
      <ns0:c r="T299" s="106"/>
      <ns0:c r="U299" s="106"/>
      <ns0:c r="V299" s="106"/>
      <ns0:c r="W299" s="106"/>
      <ns0:c r="X299" s="106"/>
      <ns0:c r="Y299" s="106"/>
      <ns0:c r="Z299" s="106"/>
      <ns0:c r="AA299" s="106"/>
      <ns0:c r="AB299" s="106"/>
      <ns0:c r="AC299" s="115"/>
    </ns0:row>
    <ns0:row r="300" spans="1:29">
      <ns0:c r="A300" s="106"/>
      <ns0:c r="B300" s="107"/>
      <ns0:c r="C300" s="108"/>
      <ns0:c r="D300" s="109"/>
      <ns0:c r="E300" s="106"/>
      <ns0:c r="F300" s="106"/>
      <ns0:c r="G300" s="106"/>
      <ns0:c r="H300" s="106"/>
      <ns0:c r="I300" s="106"/>
      <ns0:c r="J300" s="106"/>
      <ns0:c r="K300" s="106"/>
      <ns0:c r="L300" s="106"/>
      <ns0:c r="M300" s="106"/>
      <ns0:c r="N300" s="106"/>
      <ns0:c r="O300" s="106"/>
      <ns0:c r="P300" s="106"/>
      <ns0:c r="Q300" s="106"/>
      <ns0:c r="R300" s="106"/>
      <ns0:c r="S300" s="106"/>
      <ns0:c r="T300" s="106"/>
      <ns0:c r="U300" s="106"/>
      <ns0:c r="V300" s="106"/>
      <ns0:c r="W300" s="106"/>
      <ns0:c r="X300" s="106"/>
      <ns0:c r="Y300" s="106"/>
      <ns0:c r="Z300" s="106"/>
      <ns0:c r="AA300" s="106"/>
      <ns0:c r="AB300" s="106"/>
      <ns0:c r="AC300" s="115"/>
    </ns0:row>
    <ns0:row r="301" spans="1:29">
      <ns0:c r="A301" s="106"/>
      <ns0:c r="B301" s="107"/>
      <ns0:c r="C301" s="108"/>
      <ns0:c r="D301" s="109"/>
      <ns0:c r="E301" s="112"/>
      <ns0:c r="F301" s="112"/>
      <ns0:c r="G301" s="112"/>
      <ns0:c r="H301" s="112"/>
      <ns0:c r="I301" s="112"/>
      <ns0:c r="J301" s="112"/>
      <ns0:c r="K301" s="112"/>
      <ns0:c r="L301" s="112"/>
      <ns0:c r="M301" s="112"/>
      <ns0:c r="N301" s="112"/>
      <ns0:c r="O301" s="112"/>
      <ns0:c r="P301" s="112"/>
      <ns0:c r="Q301" s="112"/>
      <ns0:c r="R301" s="112"/>
      <ns0:c r="S301" s="112"/>
      <ns0:c r="T301" s="112"/>
      <ns0:c r="U301" s="112"/>
      <ns0:c r="V301" s="112"/>
      <ns0:c r="W301" s="112"/>
      <ns0:c r="X301" s="112"/>
      <ns0:c r="Y301" s="112"/>
      <ns0:c r="Z301" s="112"/>
      <ns0:c r="AA301" s="112"/>
      <ns0:c r="AB301" s="112"/>
      <ns0:c r="AC301" s="115"/>
    </ns0:row>
    <ns0:row r="302" spans="1:29">
      <ns0:c r="A302" s="106"/>
      <ns0:c r="B302" s="106"/>
      <ns0:c r="C302" s="106"/>
      <ns0:c r="D302" s="109"/>
      <ns0:c r="E302" s="112"/>
      <ns0:c r="F302" s="112"/>
      <ns0:c r="G302" s="112"/>
      <ns0:c r="H302" s="112"/>
      <ns0:c r="I302" s="112"/>
      <ns0:c r="J302" s="112"/>
      <ns0:c r="K302" s="112"/>
      <ns0:c r="L302" s="112"/>
      <ns0:c r="M302" s="112"/>
      <ns0:c r="N302" s="112"/>
      <ns0:c r="O302" s="112"/>
      <ns0:c r="P302" s="112"/>
      <ns0:c r="Q302" s="112"/>
      <ns0:c r="R302" s="112"/>
      <ns0:c r="S302" s="112"/>
      <ns0:c r="T302" s="112"/>
      <ns0:c r="U302" s="112"/>
      <ns0:c r="V302" s="112"/>
      <ns0:c r="W302" s="112"/>
      <ns0:c r="X302" s="112"/>
      <ns0:c r="Y302" s="112"/>
      <ns0:c r="Z302" s="112"/>
      <ns0:c r="AA302" s="112"/>
      <ns0:c r="AB302" s="112"/>
      <ns0:c r="AC302" s="112"/>
    </ns0:row>
    <ns0:row r="303" spans="1:29">
      <ns0:c r="A303" s="106"/>
      <ns0:c r="B303" s="107"/>
      <ns0:c r="C303" s="108"/>
      <ns0:c r="D303" s="109"/>
      <ns0:c r="E303" s="112"/>
      <ns0:c r="F303" s="112"/>
      <ns0:c r="G303" s="112"/>
      <ns0:c r="H303" s="112"/>
      <ns0:c r="I303" s="112"/>
      <ns0:c r="J303" s="112"/>
      <ns0:c r="K303" s="112"/>
      <ns0:c r="L303" s="112"/>
      <ns0:c r="M303" s="112"/>
      <ns0:c r="N303" s="112"/>
      <ns0:c r="O303" s="112"/>
      <ns0:c r="P303" s="112"/>
      <ns0:c r="Q303" s="112"/>
      <ns0:c r="R303" s="112"/>
      <ns0:c r="S303" s="112"/>
      <ns0:c r="T303" s="112"/>
      <ns0:c r="U303" s="112"/>
      <ns0:c r="V303" s="112"/>
      <ns0:c r="W303" s="112"/>
      <ns0:c r="X303" s="112"/>
      <ns0:c r="Y303" s="112"/>
      <ns0:c r="Z303" s="112"/>
      <ns0:c r="AA303" s="112"/>
      <ns0:c r="AB303" s="112"/>
      <ns0:c r="AC303" s="115"/>
    </ns0:row>
    <ns0:row r="304" spans="1:29">
      <ns0:c r="A304" s="106"/>
      <ns0:c r="B304" s="107"/>
      <ns0:c r="C304" s="108"/>
      <ns0:c r="D304" s="109"/>
      <ns0:c r="E304" s="106"/>
      <ns0:c r="F304" s="106"/>
      <ns0:c r="G304" s="106"/>
      <ns0:c r="H304" s="106"/>
      <ns0:c r="I304" s="106"/>
      <ns0:c r="J304" s="106"/>
      <ns0:c r="K304" s="106"/>
      <ns0:c r="L304" s="106"/>
      <ns0:c r="M304" s="106"/>
      <ns0:c r="N304" s="106"/>
      <ns0:c r="O304" s="106"/>
      <ns0:c r="P304" s="106"/>
      <ns0:c r="Q304" s="106"/>
      <ns0:c r="R304" s="106"/>
      <ns0:c r="S304" s="106"/>
      <ns0:c r="T304" s="106"/>
      <ns0:c r="U304" s="106"/>
      <ns0:c r="V304" s="106"/>
      <ns0:c r="W304" s="106"/>
      <ns0:c r="X304" s="106"/>
      <ns0:c r="Y304" s="106"/>
      <ns0:c r="Z304" s="106"/>
      <ns0:c r="AA304" s="106"/>
      <ns0:c r="AB304" s="106"/>
      <ns0:c r="AC304" s="115"/>
    </ns0:row>
    <ns0:row r="305" spans="1:29">
      <ns0:c r="A305" s="106"/>
      <ns0:c r="B305" s="107"/>
      <ns0:c r="C305" s="108"/>
      <ns0:c r="D305" s="109"/>
      <ns0:c r="E305" s="106"/>
      <ns0:c r="F305" s="106"/>
      <ns0:c r="G305" s="106"/>
      <ns0:c r="H305" s="106"/>
      <ns0:c r="I305" s="106"/>
      <ns0:c r="J305" s="106"/>
      <ns0:c r="K305" s="106"/>
      <ns0:c r="L305" s="106"/>
      <ns0:c r="M305" s="106"/>
      <ns0:c r="N305" s="106"/>
      <ns0:c r="O305" s="106"/>
      <ns0:c r="P305" s="106"/>
      <ns0:c r="Q305" s="106"/>
      <ns0:c r="R305" s="106"/>
      <ns0:c r="S305" s="106"/>
      <ns0:c r="T305" s="106"/>
      <ns0:c r="U305" s="106"/>
      <ns0:c r="V305" s="106"/>
      <ns0:c r="W305" s="106"/>
      <ns0:c r="X305" s="106"/>
      <ns0:c r="Y305" s="106"/>
      <ns0:c r="Z305" s="106"/>
      <ns0:c r="AA305" s="106"/>
      <ns0:c r="AB305" s="106"/>
      <ns0:c r="AC305" s="115"/>
    </ns0:row>
    <ns0:row r="306" spans="1:29">
      <ns0:c r="A306" s="106"/>
      <ns0:c r="B306" s="107"/>
      <ns0:c r="C306" s="108"/>
      <ns0:c r="D306" s="109"/>
      <ns0:c r="E306" s="106"/>
      <ns0:c r="F306" s="106"/>
      <ns0:c r="G306" s="106"/>
      <ns0:c r="H306" s="106"/>
      <ns0:c r="I306" s="106"/>
      <ns0:c r="J306" s="106"/>
      <ns0:c r="K306" s="106"/>
      <ns0:c r="L306" s="106"/>
      <ns0:c r="M306" s="106"/>
      <ns0:c r="N306" s="106"/>
      <ns0:c r="O306" s="106"/>
      <ns0:c r="P306" s="106"/>
      <ns0:c r="Q306" s="106"/>
      <ns0:c r="R306" s="106"/>
      <ns0:c r="S306" s="106"/>
      <ns0:c r="T306" s="106"/>
      <ns0:c r="U306" s="106"/>
      <ns0:c r="V306" s="106"/>
      <ns0:c r="W306" s="106"/>
      <ns0:c r="X306" s="106"/>
      <ns0:c r="Y306" s="106"/>
      <ns0:c r="Z306" s="106"/>
      <ns0:c r="AA306" s="106"/>
      <ns0:c r="AB306" s="106"/>
      <ns0:c r="AC306" s="115"/>
    </ns0:row>
    <ns0:row r="307" spans="1:29">
      <ns0:c r="A307" s="106"/>
      <ns0:c r="B307" s="107"/>
      <ns0:c r="C307" s="108"/>
      <ns0:c r="D307" s="109"/>
      <ns0:c r="E307" s="106"/>
      <ns0:c r="F307" s="106"/>
      <ns0:c r="G307" s="106"/>
      <ns0:c r="H307" s="106"/>
      <ns0:c r="I307" s="106"/>
      <ns0:c r="J307" s="106"/>
      <ns0:c r="K307" s="106"/>
      <ns0:c r="L307" s="106"/>
      <ns0:c r="M307" s="106"/>
      <ns0:c r="N307" s="106"/>
      <ns0:c r="O307" s="106"/>
      <ns0:c r="P307" s="106"/>
      <ns0:c r="Q307" s="106"/>
      <ns0:c r="R307" s="106"/>
      <ns0:c r="S307" s="106"/>
      <ns0:c r="T307" s="106"/>
      <ns0:c r="U307" s="106"/>
      <ns0:c r="V307" s="106"/>
      <ns0:c r="W307" s="106"/>
      <ns0:c r="X307" s="106"/>
      <ns0:c r="Y307" s="106"/>
      <ns0:c r="Z307" s="106"/>
      <ns0:c r="AA307" s="106"/>
      <ns0:c r="AB307" s="106"/>
      <ns0:c r="AC307" s="115"/>
    </ns0:row>
    <ns0:row r="308" spans="1:29">
      <ns0:c r="A308" s="106"/>
      <ns0:c r="B308" s="107"/>
      <ns0:c r="C308" s="108"/>
      <ns0:c r="D308" s="109"/>
      <ns0:c r="E308" s="106"/>
      <ns0:c r="F308" s="106"/>
      <ns0:c r="G308" s="106"/>
      <ns0:c r="H308" s="106"/>
      <ns0:c r="I308" s="106"/>
      <ns0:c r="J308" s="106"/>
      <ns0:c r="K308" s="106"/>
      <ns0:c r="L308" s="106"/>
      <ns0:c r="M308" s="106"/>
      <ns0:c r="N308" s="106"/>
      <ns0:c r="O308" s="106"/>
      <ns0:c r="P308" s="106"/>
      <ns0:c r="Q308" s="106"/>
      <ns0:c r="R308" s="106"/>
      <ns0:c r="S308" s="106"/>
      <ns0:c r="T308" s="106"/>
      <ns0:c r="U308" s="106"/>
      <ns0:c r="V308" s="106"/>
      <ns0:c r="W308" s="106"/>
      <ns0:c r="X308" s="106"/>
      <ns0:c r="Y308" s="106"/>
      <ns0:c r="Z308" s="106"/>
      <ns0:c r="AA308" s="106"/>
      <ns0:c r="AB308" s="106"/>
      <ns0:c r="AC308" s="115"/>
    </ns0:row>
    <ns0:row r="309" spans="1:29">
      <ns0:c r="A309" s="106"/>
      <ns0:c r="B309" s="107"/>
      <ns0:c r="C309" s="108"/>
      <ns0:c r="D309" s="109"/>
      <ns0:c r="E309" s="106"/>
      <ns0:c r="F309" s="106"/>
      <ns0:c r="G309" s="106"/>
      <ns0:c r="H309" s="106"/>
      <ns0:c r="I309" s="106"/>
      <ns0:c r="J309" s="106"/>
      <ns0:c r="K309" s="106"/>
      <ns0:c r="L309" s="106"/>
      <ns0:c r="M309" s="106"/>
      <ns0:c r="N309" s="106"/>
      <ns0:c r="O309" s="106"/>
      <ns0:c r="P309" s="106"/>
      <ns0:c r="Q309" s="106"/>
      <ns0:c r="R309" s="106"/>
      <ns0:c r="S309" s="106"/>
      <ns0:c r="T309" s="106"/>
      <ns0:c r="U309" s="106"/>
      <ns0:c r="V309" s="106"/>
      <ns0:c r="W309" s="106"/>
      <ns0:c r="X309" s="106"/>
      <ns0:c r="Y309" s="106"/>
      <ns0:c r="Z309" s="106"/>
      <ns0:c r="AA309" s="106"/>
      <ns0:c r="AB309" s="106"/>
      <ns0:c r="AC309" s="115"/>
    </ns0:row>
    <ns0:row r="310" spans="1:29">
      <ns0:c r="A310" s="106"/>
      <ns0:c r="B310" s="107"/>
      <ns0:c r="C310" s="108"/>
      <ns0:c r="D310" s="109"/>
      <ns0:c r="E310" s="106"/>
      <ns0:c r="F310" s="106"/>
      <ns0:c r="G310" s="106"/>
      <ns0:c r="H310" s="106"/>
      <ns0:c r="I310" s="106"/>
      <ns0:c r="J310" s="106"/>
      <ns0:c r="K310" s="106"/>
      <ns0:c r="L310" s="106"/>
      <ns0:c r="M310" s="106"/>
      <ns0:c r="N310" s="106"/>
      <ns0:c r="O310" s="106"/>
      <ns0:c r="P310" s="106"/>
      <ns0:c r="Q310" s="106"/>
      <ns0:c r="R310" s="106"/>
      <ns0:c r="S310" s="106"/>
      <ns0:c r="T310" s="106"/>
      <ns0:c r="U310" s="106"/>
      <ns0:c r="V310" s="106"/>
      <ns0:c r="W310" s="106"/>
      <ns0:c r="X310" s="106"/>
      <ns0:c r="Y310" s="106"/>
      <ns0:c r="Z310" s="106"/>
      <ns0:c r="AA310" s="106"/>
      <ns0:c r="AB310" s="106"/>
      <ns0:c r="AC310" s="115"/>
    </ns0:row>
    <ns0:row r="311" spans="1:29">
      <ns0:c r="A311" s="106"/>
      <ns0:c r="B311" s="110"/>
      <ns0:c r="C311" s="110"/>
      <ns0:c r="D311" s="109"/>
      <ns0:c r="E311" s="106"/>
      <ns0:c r="F311" s="106"/>
      <ns0:c r="G311" s="106"/>
      <ns0:c r="H311" s="106"/>
      <ns0:c r="I311" s="106"/>
      <ns0:c r="J311" s="106"/>
      <ns0:c r="K311" s="106"/>
      <ns0:c r="L311" s="106"/>
      <ns0:c r="M311" s="106"/>
      <ns0:c r="N311" s="106"/>
      <ns0:c r="O311" s="106"/>
      <ns0:c r="P311" s="106"/>
      <ns0:c r="Q311" s="106"/>
      <ns0:c r="R311" s="106"/>
      <ns0:c r="S311" s="106"/>
      <ns0:c r="T311" s="106"/>
      <ns0:c r="U311" s="106"/>
      <ns0:c r="V311" s="106"/>
      <ns0:c r="W311" s="106"/>
      <ns0:c r="X311" s="106"/>
      <ns0:c r="Y311" s="106"/>
      <ns0:c r="Z311" s="106"/>
      <ns0:c r="AA311" s="106"/>
      <ns0:c r="AB311" s="106"/>
      <ns0:c r="AC311" s="115"/>
    </ns0:row>
    <ns0:row r="312" spans="1:29">
      <ns0:c r="A312" s="106"/>
      <ns0:c r="B312" s="107"/>
      <ns0:c r="C312" s="108"/>
      <ns0:c r="D312" s="109"/>
      <ns0:c r="E312" s="106"/>
      <ns0:c r="F312" s="106"/>
      <ns0:c r="G312" s="106"/>
      <ns0:c r="H312" s="106"/>
      <ns0:c r="I312" s="106"/>
      <ns0:c r="J312" s="106"/>
      <ns0:c r="K312" s="106"/>
      <ns0:c r="L312" s="106"/>
      <ns0:c r="M312" s="106"/>
      <ns0:c r="N312" s="106"/>
      <ns0:c r="O312" s="106"/>
      <ns0:c r="P312" s="106"/>
      <ns0:c r="Q312" s="106"/>
      <ns0:c r="R312" s="106"/>
      <ns0:c r="S312" s="106"/>
      <ns0:c r="T312" s="106"/>
      <ns0:c r="U312" s="106"/>
      <ns0:c r="V312" s="106"/>
      <ns0:c r="W312" s="106"/>
      <ns0:c r="X312" s="106"/>
      <ns0:c r="Y312" s="106"/>
      <ns0:c r="Z312" s="106"/>
      <ns0:c r="AA312" s="106"/>
      <ns0:c r="AB312" s="106"/>
      <ns0:c r="AC312" s="115"/>
    </ns0:row>
    <ns0:row r="313" spans="1:29">
      <ns0:c r="A313" s="106"/>
      <ns0:c r="B313" s="107"/>
      <ns0:c r="C313" s="108"/>
      <ns0:c r="D313" s="109"/>
      <ns0:c r="E313" s="106"/>
      <ns0:c r="F313" s="106"/>
      <ns0:c r="G313" s="106"/>
      <ns0:c r="H313" s="106"/>
      <ns0:c r="I313" s="106"/>
      <ns0:c r="J313" s="106"/>
      <ns0:c r="K313" s="106"/>
      <ns0:c r="L313" s="106"/>
      <ns0:c r="M313" s="106"/>
      <ns0:c r="N313" s="106"/>
      <ns0:c r="O313" s="106"/>
      <ns0:c r="P313" s="106"/>
      <ns0:c r="Q313" s="106"/>
      <ns0:c r="R313" s="106"/>
      <ns0:c r="S313" s="106"/>
      <ns0:c r="T313" s="106"/>
      <ns0:c r="U313" s="106"/>
      <ns0:c r="V313" s="106"/>
      <ns0:c r="W313" s="106"/>
      <ns0:c r="X313" s="106"/>
      <ns0:c r="Y313" s="106"/>
      <ns0:c r="Z313" s="106"/>
      <ns0:c r="AA313" s="106"/>
      <ns0:c r="AB313" s="106"/>
      <ns0:c r="AC313" s="115"/>
    </ns0:row>
    <ns0:row r="314" spans="1:29">
      <ns0:c r="A314" s="106"/>
      <ns0:c r="B314" s="107"/>
      <ns0:c r="C314" s="108"/>
      <ns0:c r="D314" s="109"/>
      <ns0:c r="E314" s="112"/>
      <ns0:c r="F314" s="112"/>
      <ns0:c r="G314" s="112"/>
      <ns0:c r="H314" s="112"/>
      <ns0:c r="I314" s="112"/>
      <ns0:c r="J314" s="112"/>
      <ns0:c r="K314" s="112"/>
      <ns0:c r="L314" s="112"/>
      <ns0:c r="M314" s="112"/>
      <ns0:c r="N314" s="112"/>
      <ns0:c r="O314" s="112"/>
      <ns0:c r="P314" s="112"/>
      <ns0:c r="Q314" s="112"/>
      <ns0:c r="R314" s="112"/>
      <ns0:c r="S314" s="112"/>
      <ns0:c r="T314" s="112"/>
      <ns0:c r="U314" s="112"/>
      <ns0:c r="V314" s="112"/>
      <ns0:c r="W314" s="112"/>
      <ns0:c r="X314" s="112"/>
      <ns0:c r="Y314" s="112"/>
      <ns0:c r="Z314" s="112"/>
      <ns0:c r="AA314" s="112"/>
      <ns0:c r="AB314" s="112"/>
      <ns0:c r="AC314" s="115"/>
    </ns0:row>
    <ns0:row r="315" spans="1:29">
      <ns0:c r="A315" s="106"/>
      <ns0:c r="B315" s="106"/>
      <ns0:c r="C315" s="106"/>
      <ns0:c r="D315" s="109"/>
      <ns0:c r="E315" s="112"/>
      <ns0:c r="F315" s="112"/>
      <ns0:c r="G315" s="112"/>
      <ns0:c r="H315" s="112"/>
      <ns0:c r="I315" s="112"/>
      <ns0:c r="J315" s="112"/>
      <ns0:c r="K315" s="112"/>
      <ns0:c r="L315" s="112"/>
      <ns0:c r="M315" s="112"/>
      <ns0:c r="N315" s="112"/>
      <ns0:c r="O315" s="112"/>
      <ns0:c r="P315" s="112"/>
      <ns0:c r="Q315" s="112"/>
      <ns0:c r="R315" s="112"/>
      <ns0:c r="S315" s="112"/>
      <ns0:c r="T315" s="112"/>
      <ns0:c r="U315" s="112"/>
      <ns0:c r="V315" s="112"/>
      <ns0:c r="W315" s="112"/>
      <ns0:c r="X315" s="112"/>
      <ns0:c r="Y315" s="112"/>
      <ns0:c r="Z315" s="112"/>
      <ns0:c r="AA315" s="112"/>
      <ns0:c r="AB315" s="112"/>
      <ns0:c r="AC315" s="112"/>
    </ns0:row>
    <ns0:row r="316" spans="1:29">
      <ns0:c r="A316" s="106"/>
      <ns0:c r="B316" s="107"/>
      <ns0:c r="C316" s="108"/>
      <ns0:c r="D316" s="109"/>
      <ns0:c r="E316" s="112"/>
      <ns0:c r="F316" s="112"/>
      <ns0:c r="G316" s="112"/>
      <ns0:c r="H316" s="112"/>
      <ns0:c r="I316" s="112"/>
      <ns0:c r="J316" s="112"/>
      <ns0:c r="K316" s="112"/>
      <ns0:c r="L316" s="112"/>
      <ns0:c r="M316" s="112"/>
      <ns0:c r="N316" s="112"/>
      <ns0:c r="O316" s="112"/>
      <ns0:c r="P316" s="112"/>
      <ns0:c r="Q316" s="112"/>
      <ns0:c r="R316" s="112"/>
      <ns0:c r="S316" s="112"/>
      <ns0:c r="T316" s="112"/>
      <ns0:c r="U316" s="112"/>
      <ns0:c r="V316" s="112"/>
      <ns0:c r="W316" s="112"/>
      <ns0:c r="X316" s="112"/>
      <ns0:c r="Y316" s="112"/>
      <ns0:c r="Z316" s="112"/>
      <ns0:c r="AA316" s="112"/>
      <ns0:c r="AB316" s="112"/>
      <ns0:c r="AC316" s="115"/>
    </ns0:row>
    <ns0:row r="317" spans="1:29">
      <ns0:c r="A317" s="106"/>
      <ns0:c r="B317" s="107"/>
      <ns0:c r="C317" s="108"/>
      <ns0:c r="D317" s="109"/>
      <ns0:c r="E317" s="106"/>
      <ns0:c r="F317" s="106"/>
      <ns0:c r="G317" s="106"/>
      <ns0:c r="H317" s="106"/>
      <ns0:c r="I317" s="106"/>
      <ns0:c r="J317" s="106"/>
      <ns0:c r="K317" s="106"/>
      <ns0:c r="L317" s="106"/>
      <ns0:c r="M317" s="106"/>
      <ns0:c r="N317" s="106"/>
      <ns0:c r="O317" s="106"/>
      <ns0:c r="P317" s="106"/>
      <ns0:c r="Q317" s="106"/>
      <ns0:c r="R317" s="106"/>
      <ns0:c r="S317" s="106"/>
      <ns0:c r="T317" s="106"/>
      <ns0:c r="U317" s="106"/>
      <ns0:c r="V317" s="106"/>
      <ns0:c r="W317" s="106"/>
      <ns0:c r="X317" s="106"/>
      <ns0:c r="Y317" s="106"/>
      <ns0:c r="Z317" s="106"/>
      <ns0:c r="AA317" s="106"/>
      <ns0:c r="AB317" s="106"/>
      <ns0:c r="AC317" s="115"/>
    </ns0:row>
    <ns0:row r="318" spans="1:29">
      <ns0:c r="A318" s="106"/>
      <ns0:c r="B318" s="107"/>
      <ns0:c r="C318" s="108"/>
      <ns0:c r="D318" s="109"/>
      <ns0:c r="E318" s="106"/>
      <ns0:c r="F318" s="106"/>
      <ns0:c r="G318" s="106"/>
      <ns0:c r="H318" s="106"/>
      <ns0:c r="I318" s="106"/>
      <ns0:c r="J318" s="106"/>
      <ns0:c r="K318" s="106"/>
      <ns0:c r="L318" s="106"/>
      <ns0:c r="M318" s="106"/>
      <ns0:c r="N318" s="106"/>
      <ns0:c r="O318" s="106"/>
      <ns0:c r="P318" s="106"/>
      <ns0:c r="Q318" s="106"/>
      <ns0:c r="R318" s="106"/>
      <ns0:c r="S318" s="106"/>
      <ns0:c r="T318" s="106"/>
      <ns0:c r="U318" s="106"/>
      <ns0:c r="V318" s="106"/>
      <ns0:c r="W318" s="106"/>
      <ns0:c r="X318" s="106"/>
      <ns0:c r="Y318" s="106"/>
      <ns0:c r="Z318" s="106"/>
      <ns0:c r="AA318" s="106"/>
      <ns0:c r="AB318" s="106"/>
      <ns0:c r="AC318" s="115"/>
    </ns0:row>
    <ns0:row r="319" spans="1:29">
      <ns0:c r="A319" s="106"/>
      <ns0:c r="B319" s="107"/>
      <ns0:c r="C319" s="108"/>
      <ns0:c r="D319" s="109"/>
      <ns0:c r="E319" s="106"/>
      <ns0:c r="F319" s="106"/>
      <ns0:c r="G319" s="106"/>
      <ns0:c r="H319" s="106"/>
      <ns0:c r="I319" s="106"/>
      <ns0:c r="J319" s="106"/>
      <ns0:c r="K319" s="106"/>
      <ns0:c r="L319" s="106"/>
      <ns0:c r="M319" s="106"/>
      <ns0:c r="N319" s="106"/>
      <ns0:c r="O319" s="106"/>
      <ns0:c r="P319" s="106"/>
      <ns0:c r="Q319" s="106"/>
      <ns0:c r="R319" s="106"/>
      <ns0:c r="S319" s="106"/>
      <ns0:c r="T319" s="106"/>
      <ns0:c r="U319" s="106"/>
      <ns0:c r="V319" s="106"/>
      <ns0:c r="W319" s="106"/>
      <ns0:c r="X319" s="106"/>
      <ns0:c r="Y319" s="106"/>
      <ns0:c r="Z319" s="106"/>
      <ns0:c r="AA319" s="106"/>
      <ns0:c r="AB319" s="106"/>
      <ns0:c r="AC319" s="115"/>
    </ns0:row>
    <ns0:row r="320" spans="1:29">
      <ns0:c r="A320" s="106"/>
      <ns0:c r="B320" s="107"/>
      <ns0:c r="C320" s="108"/>
      <ns0:c r="D320" s="109"/>
      <ns0:c r="E320" s="106"/>
      <ns0:c r="F320" s="106"/>
      <ns0:c r="G320" s="106"/>
      <ns0:c r="H320" s="106"/>
      <ns0:c r="I320" s="106"/>
      <ns0:c r="J320" s="106"/>
      <ns0:c r="K320" s="106"/>
      <ns0:c r="L320" s="106"/>
      <ns0:c r="M320" s="106"/>
      <ns0:c r="N320" s="106"/>
      <ns0:c r="O320" s="106"/>
      <ns0:c r="P320" s="106"/>
      <ns0:c r="Q320" s="106"/>
      <ns0:c r="R320" s="106"/>
      <ns0:c r="S320" s="106"/>
      <ns0:c r="T320" s="106"/>
      <ns0:c r="U320" s="106"/>
      <ns0:c r="V320" s="106"/>
      <ns0:c r="W320" s="106"/>
      <ns0:c r="X320" s="106"/>
      <ns0:c r="Y320" s="106"/>
      <ns0:c r="Z320" s="106"/>
      <ns0:c r="AA320" s="106"/>
      <ns0:c r="AB320" s="106"/>
      <ns0:c r="AC320" s="115"/>
    </ns0:row>
    <ns0:row r="321" spans="1:29">
      <ns0:c r="A321" s="106"/>
      <ns0:c r="B321" s="107"/>
      <ns0:c r="C321" s="108"/>
      <ns0:c r="D321" s="109"/>
      <ns0:c r="E321" s="106"/>
      <ns0:c r="F321" s="106"/>
      <ns0:c r="G321" s="106"/>
      <ns0:c r="H321" s="106"/>
      <ns0:c r="I321" s="106"/>
      <ns0:c r="J321" s="106"/>
      <ns0:c r="K321" s="106"/>
      <ns0:c r="L321" s="106"/>
      <ns0:c r="M321" s="106"/>
      <ns0:c r="N321" s="106"/>
      <ns0:c r="O321" s="106"/>
      <ns0:c r="P321" s="106"/>
      <ns0:c r="Q321" s="106"/>
      <ns0:c r="R321" s="106"/>
      <ns0:c r="S321" s="106"/>
      <ns0:c r="T321" s="106"/>
      <ns0:c r="U321" s="106"/>
      <ns0:c r="V321" s="106"/>
      <ns0:c r="W321" s="106"/>
      <ns0:c r="X321" s="106"/>
      <ns0:c r="Y321" s="106"/>
      <ns0:c r="Z321" s="106"/>
      <ns0:c r="AA321" s="106"/>
      <ns0:c r="AB321" s="106"/>
      <ns0:c r="AC321" s="115"/>
    </ns0:row>
    <ns0:row r="322" spans="1:29">
      <ns0:c r="A322" s="106"/>
      <ns0:c r="B322" s="107"/>
      <ns0:c r="C322" s="108"/>
      <ns0:c r="D322" s="109"/>
      <ns0:c r="E322" s="106"/>
      <ns0:c r="F322" s="106"/>
      <ns0:c r="G322" s="106"/>
      <ns0:c r="H322" s="106"/>
      <ns0:c r="I322" s="106"/>
      <ns0:c r="J322" s="106"/>
      <ns0:c r="K322" s="106"/>
      <ns0:c r="L322" s="106"/>
      <ns0:c r="M322" s="106"/>
      <ns0:c r="N322" s="106"/>
      <ns0:c r="O322" s="106"/>
      <ns0:c r="P322" s="106"/>
      <ns0:c r="Q322" s="106"/>
      <ns0:c r="R322" s="106"/>
      <ns0:c r="S322" s="106"/>
      <ns0:c r="T322" s="106"/>
      <ns0:c r="U322" s="106"/>
      <ns0:c r="V322" s="106"/>
      <ns0:c r="W322" s="106"/>
      <ns0:c r="X322" s="106"/>
      <ns0:c r="Y322" s="106"/>
      <ns0:c r="Z322" s="106"/>
      <ns0:c r="AA322" s="106"/>
      <ns0:c r="AB322" s="106"/>
      <ns0:c r="AC322" s="115"/>
    </ns0:row>
    <ns0:row r="323" spans="1:29">
      <ns0:c r="A323" s="106"/>
      <ns0:c r="B323" s="107"/>
      <ns0:c r="C323" s="108"/>
      <ns0:c r="D323" s="109"/>
      <ns0:c r="E323" s="106"/>
      <ns0:c r="F323" s="106"/>
      <ns0:c r="G323" s="106"/>
      <ns0:c r="H323" s="106"/>
      <ns0:c r="I323" s="106"/>
      <ns0:c r="J323" s="106"/>
      <ns0:c r="K323" s="106"/>
      <ns0:c r="L323" s="106"/>
      <ns0:c r="M323" s="106"/>
      <ns0:c r="N323" s="106"/>
      <ns0:c r="O323" s="106"/>
      <ns0:c r="P323" s="106"/>
      <ns0:c r="Q323" s="106"/>
      <ns0:c r="R323" s="106"/>
      <ns0:c r="S323" s="106"/>
      <ns0:c r="T323" s="106"/>
      <ns0:c r="U323" s="106"/>
      <ns0:c r="V323" s="106"/>
      <ns0:c r="W323" s="106"/>
      <ns0:c r="X323" s="106"/>
      <ns0:c r="Y323" s="106"/>
      <ns0:c r="Z323" s="106"/>
      <ns0:c r="AA323" s="106"/>
      <ns0:c r="AB323" s="106"/>
      <ns0:c r="AC323" s="115"/>
    </ns0:row>
    <ns0:row r="324" spans="1:29">
      <ns0:c r="A324" s="106"/>
      <ns0:c r="B324" s="110"/>
      <ns0:c r="C324" s="110"/>
      <ns0:c r="D324" s="109"/>
      <ns0:c r="E324" s="106"/>
      <ns0:c r="F324" s="106"/>
      <ns0:c r="G324" s="106"/>
      <ns0:c r="H324" s="106"/>
      <ns0:c r="I324" s="106"/>
      <ns0:c r="J324" s="106"/>
      <ns0:c r="K324" s="106"/>
      <ns0:c r="L324" s="106"/>
      <ns0:c r="M324" s="106"/>
      <ns0:c r="N324" s="106"/>
      <ns0:c r="O324" s="106"/>
      <ns0:c r="P324" s="106"/>
      <ns0:c r="Q324" s="106"/>
      <ns0:c r="R324" s="106"/>
      <ns0:c r="S324" s="106"/>
      <ns0:c r="T324" s="106"/>
      <ns0:c r="U324" s="106"/>
      <ns0:c r="V324" s="106"/>
      <ns0:c r="W324" s="106"/>
      <ns0:c r="X324" s="106"/>
      <ns0:c r="Y324" s="106"/>
      <ns0:c r="Z324" s="106"/>
      <ns0:c r="AA324" s="106"/>
      <ns0:c r="AB324" s="106"/>
      <ns0:c r="AC324" s="115"/>
    </ns0:row>
    <ns0:row r="325" spans="1:29">
      <ns0:c r="A325" s="106"/>
      <ns0:c r="B325" s="107"/>
      <ns0:c r="C325" s="108"/>
      <ns0:c r="D325" s="109"/>
      <ns0:c r="E325" s="106"/>
      <ns0:c r="F325" s="106"/>
      <ns0:c r="G325" s="106"/>
      <ns0:c r="H325" s="106"/>
      <ns0:c r="I325" s="106"/>
      <ns0:c r="J325" s="106"/>
      <ns0:c r="K325" s="106"/>
      <ns0:c r="L325" s="106"/>
      <ns0:c r="M325" s="106"/>
      <ns0:c r="N325" s="106"/>
      <ns0:c r="O325" s="106"/>
      <ns0:c r="P325" s="106"/>
      <ns0:c r="Q325" s="106"/>
      <ns0:c r="R325" s="106"/>
      <ns0:c r="S325" s="106"/>
      <ns0:c r="T325" s="106"/>
      <ns0:c r="U325" s="106"/>
      <ns0:c r="V325" s="106"/>
      <ns0:c r="W325" s="106"/>
      <ns0:c r="X325" s="106"/>
      <ns0:c r="Y325" s="106"/>
      <ns0:c r="Z325" s="106"/>
      <ns0:c r="AA325" s="106"/>
      <ns0:c r="AB325" s="106"/>
      <ns0:c r="AC325" s="115"/>
    </ns0:row>
    <ns0:row r="326" spans="1:29">
      <ns0:c r="A326" s="106"/>
      <ns0:c r="B326" s="107"/>
      <ns0:c r="C326" s="108"/>
      <ns0:c r="D326" s="109"/>
      <ns0:c r="E326" s="106"/>
      <ns0:c r="F326" s="106"/>
      <ns0:c r="G326" s="106"/>
      <ns0:c r="H326" s="106"/>
      <ns0:c r="I326" s="106"/>
      <ns0:c r="J326" s="106"/>
      <ns0:c r="K326" s="106"/>
      <ns0:c r="L326" s="106"/>
      <ns0:c r="M326" s="106"/>
      <ns0:c r="N326" s="106"/>
      <ns0:c r="O326" s="106"/>
      <ns0:c r="P326" s="106"/>
      <ns0:c r="Q326" s="106"/>
      <ns0:c r="R326" s="106"/>
      <ns0:c r="S326" s="106"/>
      <ns0:c r="T326" s="106"/>
      <ns0:c r="U326" s="106"/>
      <ns0:c r="V326" s="106"/>
      <ns0:c r="W326" s="106"/>
      <ns0:c r="X326" s="106"/>
      <ns0:c r="Y326" s="106"/>
      <ns0:c r="Z326" s="106"/>
      <ns0:c r="AA326" s="106"/>
      <ns0:c r="AB326" s="106"/>
      <ns0:c r="AC326" s="115"/>
    </ns0:row>
    <ns0:row r="327" spans="1:29">
      <ns0:c r="A327" s="106"/>
      <ns0:c r="B327" s="107"/>
      <ns0:c r="C327" s="108"/>
      <ns0:c r="D327" s="109"/>
      <ns0:c r="E327" s="112"/>
      <ns0:c r="F327" s="112"/>
      <ns0:c r="G327" s="112"/>
      <ns0:c r="H327" s="112"/>
      <ns0:c r="I327" s="112"/>
      <ns0:c r="J327" s="112"/>
      <ns0:c r="K327" s="112"/>
      <ns0:c r="L327" s="112"/>
      <ns0:c r="M327" s="112"/>
      <ns0:c r="N327" s="112"/>
      <ns0:c r="O327" s="112"/>
      <ns0:c r="P327" s="112"/>
      <ns0:c r="Q327" s="112"/>
      <ns0:c r="R327" s="112"/>
      <ns0:c r="S327" s="112"/>
      <ns0:c r="T327" s="112"/>
      <ns0:c r="U327" s="112"/>
      <ns0:c r="V327" s="112"/>
      <ns0:c r="W327" s="112"/>
      <ns0:c r="X327" s="112"/>
      <ns0:c r="Y327" s="112"/>
      <ns0:c r="Z327" s="112"/>
      <ns0:c r="AA327" s="112"/>
      <ns0:c r="AB327" s="112"/>
      <ns0:c r="AC327" s="115"/>
    </ns0:row>
    <ns0:row r="328" spans="1:29">
      <ns0:c r="A328" s="106"/>
      <ns0:c r="B328" s="106"/>
      <ns0:c r="C328" s="106"/>
      <ns0:c r="D328" s="109"/>
      <ns0:c r="E328" s="112"/>
      <ns0:c r="F328" s="112"/>
      <ns0:c r="G328" s="112"/>
      <ns0:c r="H328" s="112"/>
      <ns0:c r="I328" s="112"/>
      <ns0:c r="J328" s="112"/>
      <ns0:c r="K328" s="112"/>
      <ns0:c r="L328" s="112"/>
      <ns0:c r="M328" s="112"/>
      <ns0:c r="N328" s="112"/>
      <ns0:c r="O328" s="112"/>
      <ns0:c r="P328" s="112"/>
      <ns0:c r="Q328" s="112"/>
      <ns0:c r="R328" s="112"/>
      <ns0:c r="S328" s="112"/>
      <ns0:c r="T328" s="112"/>
      <ns0:c r="U328" s="112"/>
      <ns0:c r="V328" s="112"/>
      <ns0:c r="W328" s="112"/>
      <ns0:c r="X328" s="112"/>
      <ns0:c r="Y328" s="112"/>
      <ns0:c r="Z328" s="112"/>
      <ns0:c r="AA328" s="112"/>
      <ns0:c r="AB328" s="112"/>
      <ns0:c r="AC328" s="112"/>
    </ns0:row>
    <ns0:row r="329" spans="1:29">
      <ns0:c r="A329" s="106"/>
      <ns0:c r="B329" s="107"/>
      <ns0:c r="C329" s="108"/>
      <ns0:c r="D329" s="109"/>
      <ns0:c r="E329" s="112"/>
      <ns0:c r="F329" s="112"/>
      <ns0:c r="G329" s="112"/>
      <ns0:c r="H329" s="112"/>
      <ns0:c r="I329" s="112"/>
      <ns0:c r="J329" s="112"/>
      <ns0:c r="K329" s="112"/>
      <ns0:c r="L329" s="112"/>
      <ns0:c r="M329" s="112"/>
      <ns0:c r="N329" s="112"/>
      <ns0:c r="O329" s="112"/>
      <ns0:c r="P329" s="112"/>
      <ns0:c r="Q329" s="112"/>
      <ns0:c r="R329" s="112"/>
      <ns0:c r="S329" s="112"/>
      <ns0:c r="T329" s="112"/>
      <ns0:c r="U329" s="112"/>
      <ns0:c r="V329" s="112"/>
      <ns0:c r="W329" s="112"/>
      <ns0:c r="X329" s="112"/>
      <ns0:c r="Y329" s="112"/>
      <ns0:c r="Z329" s="112"/>
      <ns0:c r="AA329" s="112"/>
      <ns0:c r="AB329" s="112"/>
      <ns0:c r="AC329" s="115"/>
    </ns0:row>
    <ns0:row r="330" spans="1:29">
      <ns0:c r="A330" s="106"/>
      <ns0:c r="B330" s="107"/>
      <ns0:c r="C330" s="108"/>
      <ns0:c r="D330" s="109"/>
      <ns0:c r="E330" s="106"/>
      <ns0:c r="F330" s="106"/>
      <ns0:c r="G330" s="106"/>
      <ns0:c r="H330" s="106"/>
      <ns0:c r="I330" s="106"/>
      <ns0:c r="J330" s="106"/>
      <ns0:c r="K330" s="106"/>
      <ns0:c r="L330" s="106"/>
      <ns0:c r="M330" s="106"/>
      <ns0:c r="N330" s="106"/>
      <ns0:c r="O330" s="106"/>
      <ns0:c r="P330" s="106"/>
      <ns0:c r="Q330" s="106"/>
      <ns0:c r="R330" s="106"/>
      <ns0:c r="S330" s="106"/>
      <ns0:c r="T330" s="106"/>
      <ns0:c r="U330" s="106"/>
      <ns0:c r="V330" s="106"/>
      <ns0:c r="W330" s="106"/>
      <ns0:c r="X330" s="106"/>
      <ns0:c r="Y330" s="106"/>
      <ns0:c r="Z330" s="106"/>
      <ns0:c r="AA330" s="106"/>
      <ns0:c r="AB330" s="106"/>
      <ns0:c r="AC330" s="115"/>
    </ns0:row>
    <ns0:row r="331" spans="1:29">
      <ns0:c r="A331" s="106"/>
      <ns0:c r="B331" s="107"/>
      <ns0:c r="C331" s="108"/>
      <ns0:c r="D331" s="109"/>
      <ns0:c r="E331" s="106"/>
      <ns0:c r="F331" s="106"/>
      <ns0:c r="G331" s="106"/>
      <ns0:c r="H331" s="106"/>
      <ns0:c r="I331" s="106"/>
      <ns0:c r="J331" s="106"/>
      <ns0:c r="K331" s="106"/>
      <ns0:c r="L331" s="106"/>
      <ns0:c r="M331" s="106"/>
      <ns0:c r="N331" s="106"/>
      <ns0:c r="O331" s="106"/>
      <ns0:c r="P331" s="106"/>
      <ns0:c r="Q331" s="106"/>
      <ns0:c r="R331" s="106"/>
      <ns0:c r="S331" s="106"/>
      <ns0:c r="T331" s="106"/>
      <ns0:c r="U331" s="106"/>
      <ns0:c r="V331" s="106"/>
      <ns0:c r="W331" s="106"/>
      <ns0:c r="X331" s="106"/>
      <ns0:c r="Y331" s="106"/>
      <ns0:c r="Z331" s="106"/>
      <ns0:c r="AA331" s="106"/>
      <ns0:c r="AB331" s="106"/>
      <ns0:c r="AC331" s="115"/>
    </ns0:row>
    <ns0:row r="332" spans="1:29">
      <ns0:c r="A332" s="106"/>
      <ns0:c r="B332" s="107"/>
      <ns0:c r="C332" s="108"/>
      <ns0:c r="D332" s="109"/>
      <ns0:c r="E332" s="106"/>
      <ns0:c r="F332" s="106"/>
      <ns0:c r="G332" s="106"/>
      <ns0:c r="H332" s="106"/>
      <ns0:c r="I332" s="106"/>
      <ns0:c r="J332" s="106"/>
      <ns0:c r="K332" s="106"/>
      <ns0:c r="L332" s="106"/>
      <ns0:c r="M332" s="106"/>
      <ns0:c r="N332" s="106"/>
      <ns0:c r="O332" s="106"/>
      <ns0:c r="P332" s="106"/>
      <ns0:c r="Q332" s="106"/>
      <ns0:c r="R332" s="106"/>
      <ns0:c r="S332" s="106"/>
      <ns0:c r="T332" s="106"/>
      <ns0:c r="U332" s="106"/>
      <ns0:c r="V332" s="106"/>
      <ns0:c r="W332" s="106"/>
      <ns0:c r="X332" s="106"/>
      <ns0:c r="Y332" s="106"/>
      <ns0:c r="Z332" s="106"/>
      <ns0:c r="AA332" s="106"/>
      <ns0:c r="AB332" s="106"/>
      <ns0:c r="AC332" s="115"/>
    </ns0:row>
    <ns0:row r="333" spans="1:29">
      <ns0:c r="A333" s="106"/>
      <ns0:c r="B333" s="107"/>
      <ns0:c r="C333" s="108"/>
      <ns0:c r="D333" s="109"/>
      <ns0:c r="E333" s="106"/>
      <ns0:c r="F333" s="106"/>
      <ns0:c r="G333" s="106"/>
      <ns0:c r="H333" s="106"/>
      <ns0:c r="I333" s="106"/>
      <ns0:c r="J333" s="106"/>
      <ns0:c r="K333" s="106"/>
      <ns0:c r="L333" s="106"/>
      <ns0:c r="M333" s="106"/>
      <ns0:c r="N333" s="106"/>
      <ns0:c r="O333" s="106"/>
      <ns0:c r="P333" s="106"/>
      <ns0:c r="Q333" s="106"/>
      <ns0:c r="R333" s="106"/>
      <ns0:c r="S333" s="106"/>
      <ns0:c r="T333" s="106"/>
      <ns0:c r="U333" s="106"/>
      <ns0:c r="V333" s="106"/>
      <ns0:c r="W333" s="106"/>
      <ns0:c r="X333" s="106"/>
      <ns0:c r="Y333" s="106"/>
      <ns0:c r="Z333" s="106"/>
      <ns0:c r="AA333" s="106"/>
      <ns0:c r="AB333" s="106"/>
      <ns0:c r="AC333" s="115"/>
    </ns0:row>
    <ns0:row r="334" spans="1:29">
      <ns0:c r="A334" s="106"/>
      <ns0:c r="B334" s="107"/>
      <ns0:c r="C334" s="108"/>
      <ns0:c r="D334" s="109"/>
      <ns0:c r="E334" s="106"/>
      <ns0:c r="F334" s="106"/>
      <ns0:c r="G334" s="106"/>
      <ns0:c r="H334" s="106"/>
      <ns0:c r="I334" s="106"/>
      <ns0:c r="J334" s="106"/>
      <ns0:c r="K334" s="106"/>
      <ns0:c r="L334" s="106"/>
      <ns0:c r="M334" s="106"/>
      <ns0:c r="N334" s="106"/>
      <ns0:c r="O334" s="106"/>
      <ns0:c r="P334" s="106"/>
      <ns0:c r="Q334" s="106"/>
      <ns0:c r="R334" s="106"/>
      <ns0:c r="S334" s="106"/>
      <ns0:c r="T334" s="106"/>
      <ns0:c r="U334" s="106"/>
      <ns0:c r="V334" s="106"/>
      <ns0:c r="W334" s="106"/>
      <ns0:c r="X334" s="106"/>
      <ns0:c r="Y334" s="106"/>
      <ns0:c r="Z334" s="106"/>
      <ns0:c r="AA334" s="106"/>
      <ns0:c r="AB334" s="106"/>
      <ns0:c r="AC334" s="115"/>
    </ns0:row>
    <ns0:row r="335" spans="1:29">
      <ns0:c r="A335" s="106"/>
      <ns0:c r="B335" s="107"/>
      <ns0:c r="C335" s="108"/>
      <ns0:c r="D335" s="109"/>
      <ns0:c r="E335" s="106"/>
      <ns0:c r="F335" s="106"/>
      <ns0:c r="G335" s="106"/>
      <ns0:c r="H335" s="106"/>
      <ns0:c r="I335" s="106"/>
      <ns0:c r="J335" s="106"/>
      <ns0:c r="K335" s="106"/>
      <ns0:c r="L335" s="106"/>
      <ns0:c r="M335" s="106"/>
      <ns0:c r="N335" s="106"/>
      <ns0:c r="O335" s="106"/>
      <ns0:c r="P335" s="106"/>
      <ns0:c r="Q335" s="106"/>
      <ns0:c r="R335" s="106"/>
      <ns0:c r="S335" s="106"/>
      <ns0:c r="T335" s="106"/>
      <ns0:c r="U335" s="106"/>
      <ns0:c r="V335" s="106"/>
      <ns0:c r="W335" s="106"/>
      <ns0:c r="X335" s="106"/>
      <ns0:c r="Y335" s="106"/>
      <ns0:c r="Z335" s="106"/>
      <ns0:c r="AA335" s="106"/>
      <ns0:c r="AB335" s="106"/>
      <ns0:c r="AC335" s="115"/>
    </ns0:row>
    <ns0:row r="336" spans="1:29">
      <ns0:c r="A336" s="106"/>
      <ns0:c r="B336" s="107"/>
      <ns0:c r="C336" s="108"/>
      <ns0:c r="D336" s="109"/>
      <ns0:c r="E336" s="106"/>
      <ns0:c r="F336" s="106"/>
      <ns0:c r="G336" s="106"/>
      <ns0:c r="H336" s="106"/>
      <ns0:c r="I336" s="106"/>
      <ns0:c r="J336" s="106"/>
      <ns0:c r="K336" s="106"/>
      <ns0:c r="L336" s="106"/>
      <ns0:c r="M336" s="106"/>
      <ns0:c r="N336" s="106"/>
      <ns0:c r="O336" s="106"/>
      <ns0:c r="P336" s="106"/>
      <ns0:c r="Q336" s="106"/>
      <ns0:c r="R336" s="106"/>
      <ns0:c r="S336" s="106"/>
      <ns0:c r="T336" s="106"/>
      <ns0:c r="U336" s="106"/>
      <ns0:c r="V336" s="106"/>
      <ns0:c r="W336" s="106"/>
      <ns0:c r="X336" s="106"/>
      <ns0:c r="Y336" s="106"/>
      <ns0:c r="Z336" s="106"/>
      <ns0:c r="AA336" s="106"/>
      <ns0:c r="AB336" s="106"/>
      <ns0:c r="AC336" s="115"/>
    </ns0:row>
    <ns0:row r="337" spans="1:29">
      <ns0:c r="A337" s="106"/>
      <ns0:c r="B337" s="110"/>
      <ns0:c r="C337" s="110"/>
      <ns0:c r="D337" s="109"/>
      <ns0:c r="E337" s="106"/>
      <ns0:c r="F337" s="106"/>
      <ns0:c r="G337" s="106"/>
      <ns0:c r="H337" s="106"/>
      <ns0:c r="I337" s="106"/>
      <ns0:c r="J337" s="106"/>
      <ns0:c r="K337" s="106"/>
      <ns0:c r="L337" s="106"/>
      <ns0:c r="M337" s="106"/>
      <ns0:c r="N337" s="106"/>
      <ns0:c r="O337" s="106"/>
      <ns0:c r="P337" s="106"/>
      <ns0:c r="Q337" s="106"/>
      <ns0:c r="R337" s="106"/>
      <ns0:c r="S337" s="106"/>
      <ns0:c r="T337" s="106"/>
      <ns0:c r="U337" s="106"/>
      <ns0:c r="V337" s="106"/>
      <ns0:c r="W337" s="106"/>
      <ns0:c r="X337" s="106"/>
      <ns0:c r="Y337" s="106"/>
      <ns0:c r="Z337" s="106"/>
      <ns0:c r="AA337" s="106"/>
      <ns0:c r="AB337" s="106"/>
      <ns0:c r="AC337" s="115"/>
    </ns0:row>
    <ns0:row r="338" spans="1:29">
      <ns0:c r="A338" s="106"/>
      <ns0:c r="B338" s="107"/>
      <ns0:c r="C338" s="108"/>
      <ns0:c r="D338" s="109"/>
      <ns0:c r="E338" s="106"/>
      <ns0:c r="F338" s="106"/>
      <ns0:c r="G338" s="106"/>
      <ns0:c r="H338" s="106"/>
      <ns0:c r="I338" s="106"/>
      <ns0:c r="J338" s="106"/>
      <ns0:c r="K338" s="106"/>
      <ns0:c r="L338" s="106"/>
      <ns0:c r="M338" s="106"/>
      <ns0:c r="N338" s="106"/>
      <ns0:c r="O338" s="106"/>
      <ns0:c r="P338" s="106"/>
      <ns0:c r="Q338" s="106"/>
      <ns0:c r="R338" s="106"/>
      <ns0:c r="S338" s="106"/>
      <ns0:c r="T338" s="106"/>
      <ns0:c r="U338" s="106"/>
      <ns0:c r="V338" s="106"/>
      <ns0:c r="W338" s="106"/>
      <ns0:c r="X338" s="106"/>
      <ns0:c r="Y338" s="106"/>
      <ns0:c r="Z338" s="106"/>
      <ns0:c r="AA338" s="106"/>
      <ns0:c r="AB338" s="106"/>
      <ns0:c r="AC338" s="115"/>
    </ns0:row>
    <ns0:row r="339" spans="1:29">
      <ns0:c r="A339" s="106"/>
      <ns0:c r="B339" s="107"/>
      <ns0:c r="C339" s="108"/>
      <ns0:c r="D339" s="109"/>
      <ns0:c r="E339" s="106"/>
      <ns0:c r="F339" s="106"/>
      <ns0:c r="G339" s="106"/>
      <ns0:c r="H339" s="106"/>
      <ns0:c r="I339" s="106"/>
      <ns0:c r="J339" s="106"/>
      <ns0:c r="K339" s="106"/>
      <ns0:c r="L339" s="106"/>
      <ns0:c r="M339" s="106"/>
      <ns0:c r="N339" s="106"/>
      <ns0:c r="O339" s="106"/>
      <ns0:c r="P339" s="106"/>
      <ns0:c r="Q339" s="106"/>
      <ns0:c r="R339" s="106"/>
      <ns0:c r="S339" s="106"/>
      <ns0:c r="T339" s="106"/>
      <ns0:c r="U339" s="106"/>
      <ns0:c r="V339" s="106"/>
      <ns0:c r="W339" s="106"/>
      <ns0:c r="X339" s="106"/>
      <ns0:c r="Y339" s="106"/>
      <ns0:c r="Z339" s="106"/>
      <ns0:c r="AA339" s="106"/>
      <ns0:c r="AB339" s="106"/>
      <ns0:c r="AC339" s="115"/>
    </ns0:row>
    <ns0:row r="340" spans="1:29">
      <ns0:c r="A340" s="106"/>
      <ns0:c r="B340" s="107"/>
      <ns0:c r="C340" s="108"/>
      <ns0:c r="D340" s="109"/>
      <ns0:c r="E340" s="106"/>
      <ns0:c r="F340" s="112"/>
      <ns0:c r="G340" s="112"/>
      <ns0:c r="H340" s="112"/>
      <ns0:c r="I340" s="112"/>
      <ns0:c r="J340" s="112"/>
      <ns0:c r="K340" s="112"/>
      <ns0:c r="L340" s="112"/>
      <ns0:c r="M340" s="112"/>
      <ns0:c r="N340" s="112"/>
      <ns0:c r="O340" s="112"/>
      <ns0:c r="P340" s="112"/>
      <ns0:c r="Q340" s="112"/>
      <ns0:c r="R340" s="112"/>
      <ns0:c r="S340" s="112"/>
      <ns0:c r="T340" s="112"/>
      <ns0:c r="U340" s="112"/>
      <ns0:c r="V340" s="112"/>
      <ns0:c r="W340" s="112"/>
      <ns0:c r="X340" s="112"/>
      <ns0:c r="Y340" s="112"/>
      <ns0:c r="Z340" s="112"/>
      <ns0:c r="AA340" s="112"/>
      <ns0:c r="AB340" s="112"/>
      <ns0:c r="AC340" s="115"/>
    </ns0:row>
    <ns0:row r="341" spans="1:29">
      <ns0:c r="A341" s="106"/>
      <ns0:c r="B341" s="106"/>
      <ns0:c r="C341" s="106"/>
      <ns0:c r="D341" s="109"/>
      <ns0:c r="E341" s="112"/>
      <ns0:c r="F341" s="112"/>
      <ns0:c r="G341" s="112"/>
      <ns0:c r="H341" s="112"/>
      <ns0:c r="I341" s="112"/>
      <ns0:c r="J341" s="112"/>
      <ns0:c r="K341" s="112"/>
      <ns0:c r="L341" s="112"/>
      <ns0:c r="M341" s="112"/>
      <ns0:c r="N341" s="112"/>
      <ns0:c r="O341" s="112"/>
      <ns0:c r="P341" s="112"/>
      <ns0:c r="Q341" s="112"/>
      <ns0:c r="R341" s="112"/>
      <ns0:c r="S341" s="112"/>
      <ns0:c r="T341" s="112"/>
      <ns0:c r="U341" s="112"/>
      <ns0:c r="V341" s="112"/>
      <ns0:c r="W341" s="112"/>
      <ns0:c r="X341" s="112"/>
      <ns0:c r="Y341" s="112"/>
      <ns0:c r="Z341" s="112"/>
      <ns0:c r="AA341" s="112"/>
      <ns0:c r="AB341" s="112"/>
      <ns0:c r="AC341" s="112"/>
    </ns0:row>
    <ns0:row r="342" spans="1:29">
      <ns0:c r="A342" s="106"/>
      <ns0:c r="B342" s="107"/>
      <ns0:c r="C342" s="108"/>
      <ns0:c r="D342" s="109"/>
      <ns0:c r="E342" s="112"/>
      <ns0:c r="F342" s="112"/>
      <ns0:c r="G342" s="112"/>
      <ns0:c r="H342" s="112"/>
      <ns0:c r="I342" s="112"/>
      <ns0:c r="J342" s="112"/>
      <ns0:c r="K342" s="112"/>
      <ns0:c r="L342" s="112"/>
      <ns0:c r="M342" s="112"/>
      <ns0:c r="N342" s="112"/>
      <ns0:c r="O342" s="112"/>
      <ns0:c r="P342" s="112"/>
      <ns0:c r="Q342" s="112"/>
      <ns0:c r="R342" s="112"/>
      <ns0:c r="S342" s="112"/>
      <ns0:c r="T342" s="112"/>
      <ns0:c r="U342" s="112"/>
      <ns0:c r="V342" s="112"/>
      <ns0:c r="W342" s="112"/>
      <ns0:c r="X342" s="112"/>
      <ns0:c r="Y342" s="112"/>
      <ns0:c r="Z342" s="112"/>
      <ns0:c r="AA342" s="112"/>
      <ns0:c r="AB342" s="112"/>
      <ns0:c r="AC342" s="115"/>
    </ns0:row>
    <ns0:row r="343" spans="1:29">
      <ns0:c r="A343" s="106"/>
      <ns0:c r="B343" s="107"/>
      <ns0:c r="C343" s="108"/>
      <ns0:c r="D343" s="109"/>
      <ns0:c r="E343" s="106"/>
      <ns0:c r="F343" s="106"/>
      <ns0:c r="G343" s="106"/>
      <ns0:c r="H343" s="106"/>
      <ns0:c r="I343" s="106"/>
      <ns0:c r="J343" s="106"/>
      <ns0:c r="K343" s="106"/>
      <ns0:c r="L343" s="106"/>
      <ns0:c r="M343" s="106"/>
      <ns0:c r="N343" s="106"/>
      <ns0:c r="O343" s="106"/>
      <ns0:c r="P343" s="106"/>
      <ns0:c r="Q343" s="106"/>
      <ns0:c r="R343" s="106"/>
      <ns0:c r="S343" s="106"/>
      <ns0:c r="T343" s="106"/>
      <ns0:c r="U343" s="106"/>
      <ns0:c r="V343" s="106"/>
      <ns0:c r="W343" s="106"/>
      <ns0:c r="X343" s="106"/>
      <ns0:c r="Y343" s="106"/>
      <ns0:c r="Z343" s="106"/>
      <ns0:c r="AA343" s="106"/>
      <ns0:c r="AB343" s="106"/>
      <ns0:c r="AC343" s="115"/>
    </ns0:row>
    <ns0:row r="344" spans="1:29">
      <ns0:c r="A344" s="106"/>
      <ns0:c r="B344" s="107"/>
      <ns0:c r="C344" s="108"/>
      <ns0:c r="D344" s="109"/>
      <ns0:c r="E344" s="106"/>
      <ns0:c r="F344" s="106"/>
      <ns0:c r="G344" s="106"/>
      <ns0:c r="H344" s="106"/>
      <ns0:c r="I344" s="106"/>
      <ns0:c r="J344" s="106"/>
      <ns0:c r="K344" s="106"/>
      <ns0:c r="L344" s="106"/>
      <ns0:c r="M344" s="106"/>
      <ns0:c r="N344" s="106"/>
      <ns0:c r="O344" s="106"/>
      <ns0:c r="P344" s="106"/>
      <ns0:c r="Q344" s="106"/>
      <ns0:c r="R344" s="106"/>
      <ns0:c r="S344" s="106"/>
      <ns0:c r="T344" s="106"/>
      <ns0:c r="U344" s="106"/>
      <ns0:c r="V344" s="106"/>
      <ns0:c r="W344" s="106"/>
      <ns0:c r="X344" s="106"/>
      <ns0:c r="Y344" s="106"/>
      <ns0:c r="Z344" s="106"/>
      <ns0:c r="AA344" s="106"/>
      <ns0:c r="AB344" s="106"/>
      <ns0:c r="AC344" s="115"/>
    </ns0:row>
    <ns0:row r="345" spans="1:29">
      <ns0:c r="A345" s="106"/>
      <ns0:c r="B345" s="107"/>
      <ns0:c r="C345" s="108"/>
      <ns0:c r="D345" s="109"/>
      <ns0:c r="E345" s="106"/>
      <ns0:c r="F345" s="106"/>
      <ns0:c r="G345" s="106"/>
      <ns0:c r="H345" s="106"/>
      <ns0:c r="I345" s="106"/>
      <ns0:c r="J345" s="106"/>
      <ns0:c r="K345" s="106"/>
      <ns0:c r="L345" s="106"/>
      <ns0:c r="M345" s="106"/>
      <ns0:c r="N345" s="106"/>
      <ns0:c r="O345" s="106"/>
      <ns0:c r="P345" s="106"/>
      <ns0:c r="Q345" s="106"/>
      <ns0:c r="R345" s="106"/>
      <ns0:c r="S345" s="106"/>
      <ns0:c r="T345" s="106"/>
      <ns0:c r="U345" s="106"/>
      <ns0:c r="V345" s="106"/>
      <ns0:c r="W345" s="106"/>
      <ns0:c r="X345" s="106"/>
      <ns0:c r="Y345" s="106"/>
      <ns0:c r="Z345" s="106"/>
      <ns0:c r="AA345" s="106"/>
      <ns0:c r="AB345" s="106"/>
      <ns0:c r="AC345" s="115"/>
    </ns0:row>
    <ns0:row r="346" spans="1:29">
      <ns0:c r="A346" s="106"/>
      <ns0:c r="B346" s="107"/>
      <ns0:c r="C346" s="108"/>
      <ns0:c r="D346" s="109"/>
      <ns0:c r="E346" s="106"/>
      <ns0:c r="F346" s="106"/>
      <ns0:c r="G346" s="106"/>
      <ns0:c r="H346" s="106"/>
      <ns0:c r="I346" s="106"/>
      <ns0:c r="J346" s="106"/>
      <ns0:c r="K346" s="106"/>
      <ns0:c r="L346" s="106"/>
      <ns0:c r="M346" s="106"/>
      <ns0:c r="N346" s="106"/>
      <ns0:c r="O346" s="106"/>
      <ns0:c r="P346" s="106"/>
      <ns0:c r="Q346" s="106"/>
      <ns0:c r="R346" s="106"/>
      <ns0:c r="S346" s="106"/>
      <ns0:c r="T346" s="106"/>
      <ns0:c r="U346" s="106"/>
      <ns0:c r="V346" s="106"/>
      <ns0:c r="W346" s="106"/>
      <ns0:c r="X346" s="106"/>
      <ns0:c r="Y346" s="106"/>
      <ns0:c r="Z346" s="106"/>
      <ns0:c r="AA346" s="106"/>
      <ns0:c r="AB346" s="106"/>
      <ns0:c r="AC346" s="115"/>
    </ns0:row>
    <ns0:row r="347" spans="1:29">
      <ns0:c r="A347" s="106"/>
      <ns0:c r="B347" s="107"/>
      <ns0:c r="C347" s="108"/>
      <ns0:c r="D347" s="109"/>
      <ns0:c r="E347" s="106"/>
      <ns0:c r="F347" s="106"/>
      <ns0:c r="G347" s="106"/>
      <ns0:c r="H347" s="106"/>
      <ns0:c r="I347" s="106"/>
      <ns0:c r="J347" s="106"/>
      <ns0:c r="K347" s="106"/>
      <ns0:c r="L347" s="106"/>
      <ns0:c r="M347" s="106"/>
      <ns0:c r="N347" s="106"/>
      <ns0:c r="O347" s="106"/>
      <ns0:c r="P347" s="106"/>
      <ns0:c r="Q347" s="106"/>
      <ns0:c r="R347" s="106"/>
      <ns0:c r="S347" s="106"/>
      <ns0:c r="T347" s="106"/>
      <ns0:c r="U347" s="106"/>
      <ns0:c r="V347" s="106"/>
      <ns0:c r="W347" s="106"/>
      <ns0:c r="X347" s="106"/>
      <ns0:c r="Y347" s="106"/>
      <ns0:c r="Z347" s="106"/>
      <ns0:c r="AA347" s="106"/>
      <ns0:c r="AB347" s="106"/>
      <ns0:c r="AC347" s="115"/>
    </ns0:row>
    <ns0:row r="348" spans="1:29">
      <ns0:c r="A348" s="106"/>
      <ns0:c r="B348" s="107"/>
      <ns0:c r="C348" s="108"/>
      <ns0:c r="D348" s="109"/>
      <ns0:c r="E348" s="106"/>
      <ns0:c r="F348" s="106"/>
      <ns0:c r="G348" s="106"/>
      <ns0:c r="H348" s="106"/>
      <ns0:c r="I348" s="106"/>
      <ns0:c r="J348" s="106"/>
      <ns0:c r="K348" s="106"/>
      <ns0:c r="L348" s="106"/>
      <ns0:c r="M348" s="106"/>
      <ns0:c r="N348" s="106"/>
      <ns0:c r="O348" s="106"/>
      <ns0:c r="P348" s="106"/>
      <ns0:c r="Q348" s="106"/>
      <ns0:c r="R348" s="106"/>
      <ns0:c r="S348" s="106"/>
      <ns0:c r="T348" s="106"/>
      <ns0:c r="U348" s="106"/>
      <ns0:c r="V348" s="106"/>
      <ns0:c r="W348" s="106"/>
      <ns0:c r="X348" s="106"/>
      <ns0:c r="Y348" s="106"/>
      <ns0:c r="Z348" s="106"/>
      <ns0:c r="AA348" s="106"/>
      <ns0:c r="AB348" s="106"/>
      <ns0:c r="AC348" s="115"/>
    </ns0:row>
    <ns0:row r="349" spans="1:29">
      <ns0:c r="A349" s="106"/>
      <ns0:c r="B349" s="107"/>
      <ns0:c r="C349" s="108"/>
      <ns0:c r="D349" s="109"/>
      <ns0:c r="E349" s="106"/>
      <ns0:c r="F349" s="106"/>
      <ns0:c r="G349" s="106"/>
      <ns0:c r="H349" s="106"/>
      <ns0:c r="I349" s="106"/>
      <ns0:c r="J349" s="106"/>
      <ns0:c r="K349" s="106"/>
      <ns0:c r="L349" s="106"/>
      <ns0:c r="M349" s="106"/>
      <ns0:c r="N349" s="106"/>
      <ns0:c r="O349" s="106"/>
      <ns0:c r="P349" s="106"/>
      <ns0:c r="Q349" s="106"/>
      <ns0:c r="R349" s="106"/>
      <ns0:c r="S349" s="106"/>
      <ns0:c r="T349" s="106"/>
      <ns0:c r="U349" s="106"/>
      <ns0:c r="V349" s="106"/>
      <ns0:c r="W349" s="106"/>
      <ns0:c r="X349" s="106"/>
      <ns0:c r="Y349" s="106"/>
      <ns0:c r="Z349" s="106"/>
      <ns0:c r="AA349" s="106"/>
      <ns0:c r="AB349" s="106"/>
      <ns0:c r="AC349" s="115"/>
    </ns0:row>
    <ns0:row r="350" spans="1:29">
      <ns0:c r="A350" s="106"/>
      <ns0:c r="B350" s="110"/>
      <ns0:c r="C350" s="110"/>
      <ns0:c r="D350" s="109"/>
      <ns0:c r="E350" s="106"/>
      <ns0:c r="F350" s="106"/>
      <ns0:c r="G350" s="106"/>
      <ns0:c r="H350" s="106"/>
      <ns0:c r="I350" s="106"/>
      <ns0:c r="J350" s="106"/>
      <ns0:c r="K350" s="106"/>
      <ns0:c r="L350" s="106"/>
      <ns0:c r="M350" s="106"/>
      <ns0:c r="N350" s="106"/>
      <ns0:c r="O350" s="106"/>
      <ns0:c r="P350" s="106"/>
      <ns0:c r="Q350" s="106"/>
      <ns0:c r="R350" s="106"/>
      <ns0:c r="S350" s="106"/>
      <ns0:c r="T350" s="106"/>
      <ns0:c r="U350" s="106"/>
      <ns0:c r="V350" s="106"/>
      <ns0:c r="W350" s="106"/>
      <ns0:c r="X350" s="106"/>
      <ns0:c r="Y350" s="106"/>
      <ns0:c r="Z350" s="106"/>
      <ns0:c r="AA350" s="106"/>
      <ns0:c r="AB350" s="106"/>
      <ns0:c r="AC350" s="115"/>
    </ns0:row>
    <ns0:row r="351" spans="1:29">
      <ns0:c r="A351" s="106"/>
      <ns0:c r="B351" s="107"/>
      <ns0:c r="C351" s="108"/>
      <ns0:c r="D351" s="109"/>
      <ns0:c r="E351" s="106"/>
      <ns0:c r="F351" s="106"/>
      <ns0:c r="G351" s="106"/>
      <ns0:c r="H351" s="106"/>
      <ns0:c r="I351" s="106"/>
      <ns0:c r="J351" s="106"/>
      <ns0:c r="K351" s="106"/>
      <ns0:c r="L351" s="106"/>
      <ns0:c r="M351" s="106"/>
      <ns0:c r="N351" s="106"/>
      <ns0:c r="O351" s="106"/>
      <ns0:c r="P351" s="106"/>
      <ns0:c r="Q351" s="106"/>
      <ns0:c r="R351" s="106"/>
      <ns0:c r="S351" s="106"/>
      <ns0:c r="T351" s="106"/>
      <ns0:c r="U351" s="106"/>
      <ns0:c r="V351" s="106"/>
      <ns0:c r="W351" s="106"/>
      <ns0:c r="X351" s="106"/>
      <ns0:c r="Y351" s="106"/>
      <ns0:c r="Z351" s="106"/>
      <ns0:c r="AA351" s="106"/>
      <ns0:c r="AB351" s="106"/>
      <ns0:c r="AC351" s="115"/>
    </ns0:row>
    <ns0:row r="352" spans="1:29">
      <ns0:c r="A352" s="106"/>
      <ns0:c r="B352" s="107"/>
      <ns0:c r="C352" s="108"/>
      <ns0:c r="D352" s="109"/>
      <ns0:c r="E352" s="106"/>
      <ns0:c r="F352" s="106"/>
      <ns0:c r="G352" s="106"/>
      <ns0:c r="H352" s="106"/>
      <ns0:c r="I352" s="106"/>
      <ns0:c r="J352" s="106"/>
      <ns0:c r="K352" s="106"/>
      <ns0:c r="L352" s="106"/>
      <ns0:c r="M352" s="106"/>
      <ns0:c r="N352" s="106"/>
      <ns0:c r="O352" s="106"/>
      <ns0:c r="P352" s="106"/>
      <ns0:c r="Q352" s="106"/>
      <ns0:c r="R352" s="106"/>
      <ns0:c r="S352" s="106"/>
      <ns0:c r="T352" s="106"/>
      <ns0:c r="U352" s="106"/>
      <ns0:c r="V352" s="106"/>
      <ns0:c r="W352" s="106"/>
      <ns0:c r="X352" s="106"/>
      <ns0:c r="Y352" s="106"/>
      <ns0:c r="Z352" s="106"/>
      <ns0:c r="AA352" s="106"/>
      <ns0:c r="AB352" s="106"/>
      <ns0:c r="AC352" s="115"/>
    </ns0:row>
    <ns0:row r="353" spans="1:29">
      <ns0:c r="A353" s="106"/>
      <ns0:c r="B353" s="107"/>
      <ns0:c r="C353" s="108"/>
      <ns0:c r="D353" s="109"/>
      <ns0:c r="E353" s="112"/>
      <ns0:c r="F353" s="112"/>
      <ns0:c r="G353" s="112"/>
      <ns0:c r="H353" s="112"/>
      <ns0:c r="I353" s="112"/>
      <ns0:c r="J353" s="112"/>
      <ns0:c r="K353" s="112"/>
      <ns0:c r="L353" s="112"/>
      <ns0:c r="M353" s="112"/>
      <ns0:c r="N353" s="112"/>
      <ns0:c r="O353" s="112"/>
      <ns0:c r="P353" s="112"/>
      <ns0:c r="Q353" s="112"/>
      <ns0:c r="R353" s="112"/>
      <ns0:c r="S353" s="112"/>
      <ns0:c r="T353" s="112"/>
      <ns0:c r="U353" s="112"/>
      <ns0:c r="V353" s="112"/>
      <ns0:c r="W353" s="112"/>
      <ns0:c r="X353" s="112"/>
      <ns0:c r="Y353" s="112"/>
      <ns0:c r="Z353" s="112"/>
      <ns0:c r="AA353" s="112"/>
      <ns0:c r="AB353" s="112"/>
      <ns0:c r="AC353" s="115"/>
    </ns0:row>
    <ns0:row r="354" spans="1:29">
      <ns0:c r="A354" s="106"/>
      <ns0:c r="B354" s="106"/>
      <ns0:c r="C354" s="106"/>
      <ns0:c r="D354" s="109"/>
      <ns0:c r="E354" s="112"/>
      <ns0:c r="F354" s="112"/>
      <ns0:c r="G354" s="112"/>
      <ns0:c r="H354" s="112"/>
      <ns0:c r="I354" s="112"/>
      <ns0:c r="J354" s="112"/>
      <ns0:c r="K354" s="112"/>
      <ns0:c r="L354" s="112"/>
      <ns0:c r="M354" s="112"/>
      <ns0:c r="N354" s="112"/>
      <ns0:c r="O354" s="112"/>
      <ns0:c r="P354" s="112"/>
      <ns0:c r="Q354" s="112"/>
      <ns0:c r="R354" s="112"/>
      <ns0:c r="S354" s="112"/>
      <ns0:c r="T354" s="112"/>
      <ns0:c r="U354" s="112"/>
      <ns0:c r="V354" s="112"/>
      <ns0:c r="W354" s="112"/>
      <ns0:c r="X354" s="112"/>
      <ns0:c r="Y354" s="112"/>
      <ns0:c r="Z354" s="112"/>
      <ns0:c r="AA354" s="112"/>
      <ns0:c r="AB354" s="112"/>
      <ns0:c r="AC354" s="112"/>
    </ns0:row>
    <ns0:row r="355" spans="1:29">
      <ns0:c r="A355" s="106"/>
      <ns0:c r="B355" s="107"/>
      <ns0:c r="C355" s="108"/>
      <ns0:c r="D355" s="109"/>
      <ns0:c r="E355" s="106"/>
      <ns0:c r="F355" s="106"/>
      <ns0:c r="G355" s="106"/>
      <ns0:c r="H355" s="106"/>
      <ns0:c r="I355" s="106"/>
      <ns0:c r="J355" s="106"/>
      <ns0:c r="K355" s="106"/>
      <ns0:c r="L355" s="106"/>
      <ns0:c r="M355" s="106"/>
      <ns0:c r="N355" s="106"/>
      <ns0:c r="O355" s="106"/>
      <ns0:c r="P355" s="106"/>
      <ns0:c r="Q355" s="106"/>
      <ns0:c r="R355" s="106"/>
      <ns0:c r="S355" s="106"/>
      <ns0:c r="T355" s="106"/>
      <ns0:c r="U355" s="106"/>
      <ns0:c r="V355" s="106"/>
      <ns0:c r="W355" s="106"/>
      <ns0:c r="X355" s="106"/>
      <ns0:c r="Y355" s="106"/>
      <ns0:c r="Z355" s="106"/>
      <ns0:c r="AA355" s="106"/>
      <ns0:c r="AB355" s="106"/>
      <ns0:c r="AC355" s="115"/>
    </ns0:row>
    <ns0:row r="356" spans="1:29">
      <ns0:c r="A356" s="106"/>
      <ns0:c r="B356" s="107"/>
      <ns0:c r="C356" s="108"/>
      <ns0:c r="D356" s="109"/>
      <ns0:c r="E356" s="106"/>
      <ns0:c r="F356" s="106"/>
      <ns0:c r="G356" s="106"/>
      <ns0:c r="H356" s="106"/>
      <ns0:c r="I356" s="106"/>
      <ns0:c r="J356" s="106"/>
      <ns0:c r="K356" s="106"/>
      <ns0:c r="L356" s="106"/>
      <ns0:c r="M356" s="106"/>
      <ns0:c r="N356" s="106"/>
      <ns0:c r="O356" s="106"/>
      <ns0:c r="P356" s="106"/>
      <ns0:c r="Q356" s="106"/>
      <ns0:c r="R356" s="106"/>
      <ns0:c r="S356" s="106"/>
      <ns0:c r="T356" s="106"/>
      <ns0:c r="U356" s="106"/>
      <ns0:c r="V356" s="106"/>
      <ns0:c r="W356" s="106"/>
      <ns0:c r="X356" s="106"/>
      <ns0:c r="Y356" s="106"/>
      <ns0:c r="Z356" s="106"/>
      <ns0:c r="AA356" s="106"/>
      <ns0:c r="AB356" s="106"/>
      <ns0:c r="AC356" s="115"/>
    </ns0:row>
    <ns0:row r="357" spans="1:29">
      <ns0:c r="A357" s="106"/>
      <ns0:c r="B357" s="107"/>
      <ns0:c r="C357" s="108"/>
      <ns0:c r="D357" s="109"/>
      <ns0:c r="E357" s="106"/>
      <ns0:c r="F357" s="106"/>
      <ns0:c r="G357" s="106"/>
      <ns0:c r="H357" s="106"/>
      <ns0:c r="I357" s="106"/>
      <ns0:c r="J357" s="106"/>
      <ns0:c r="K357" s="106"/>
      <ns0:c r="L357" s="106"/>
      <ns0:c r="M357" s="106"/>
      <ns0:c r="N357" s="106"/>
      <ns0:c r="O357" s="106"/>
      <ns0:c r="P357" s="106"/>
      <ns0:c r="Q357" s="106"/>
      <ns0:c r="R357" s="106"/>
      <ns0:c r="S357" s="106"/>
      <ns0:c r="T357" s="106"/>
      <ns0:c r="U357" s="106"/>
      <ns0:c r="V357" s="106"/>
      <ns0:c r="W357" s="106"/>
      <ns0:c r="X357" s="106"/>
      <ns0:c r="Y357" s="106"/>
      <ns0:c r="Z357" s="106"/>
      <ns0:c r="AA357" s="106"/>
      <ns0:c r="AB357" s="106"/>
      <ns0:c r="AC357" s="115"/>
    </ns0:row>
    <ns0:row r="358" spans="1:29">
      <ns0:c r="A358" s="106"/>
      <ns0:c r="B358" s="107"/>
      <ns0:c r="C358" s="108"/>
      <ns0:c r="D358" s="109"/>
      <ns0:c r="E358" s="106"/>
      <ns0:c r="F358" s="106"/>
      <ns0:c r="G358" s="106"/>
      <ns0:c r="H358" s="106"/>
      <ns0:c r="I358" s="106"/>
      <ns0:c r="J358" s="106"/>
      <ns0:c r="K358" s="106"/>
      <ns0:c r="L358" s="106"/>
      <ns0:c r="M358" s="106"/>
      <ns0:c r="N358" s="106"/>
      <ns0:c r="O358" s="106"/>
      <ns0:c r="P358" s="106"/>
      <ns0:c r="Q358" s="106"/>
      <ns0:c r="R358" s="106"/>
      <ns0:c r="S358" s="106"/>
      <ns0:c r="T358" s="106"/>
      <ns0:c r="U358" s="106"/>
      <ns0:c r="V358" s="106"/>
      <ns0:c r="W358" s="106"/>
      <ns0:c r="X358" s="106"/>
      <ns0:c r="Y358" s="106"/>
      <ns0:c r="Z358" s="106"/>
      <ns0:c r="AA358" s="106"/>
      <ns0:c r="AB358" s="106"/>
      <ns0:c r="AC358" s="115"/>
    </ns0:row>
    <ns0:row r="359" spans="1:29">
      <ns0:c r="A359" s="106"/>
      <ns0:c r="B359" s="107"/>
      <ns0:c r="C359" s="108"/>
      <ns0:c r="D359" s="109"/>
      <ns0:c r="E359" s="106"/>
      <ns0:c r="F359" s="106"/>
      <ns0:c r="G359" s="106"/>
      <ns0:c r="H359" s="106"/>
      <ns0:c r="I359" s="106"/>
      <ns0:c r="J359" s="106"/>
      <ns0:c r="K359" s="106"/>
      <ns0:c r="L359" s="106"/>
      <ns0:c r="M359" s="106"/>
      <ns0:c r="N359" s="106"/>
      <ns0:c r="O359" s="106"/>
      <ns0:c r="P359" s="106"/>
      <ns0:c r="Q359" s="106"/>
      <ns0:c r="R359" s="106"/>
      <ns0:c r="S359" s="106"/>
      <ns0:c r="T359" s="106"/>
      <ns0:c r="U359" s="106"/>
      <ns0:c r="V359" s="106"/>
      <ns0:c r="W359" s="106"/>
      <ns0:c r="X359" s="106"/>
      <ns0:c r="Y359" s="106"/>
      <ns0:c r="Z359" s="106"/>
      <ns0:c r="AA359" s="106"/>
      <ns0:c r="AB359" s="106"/>
      <ns0:c r="AC359" s="115"/>
    </ns0:row>
    <ns0:row r="360" spans="1:29">
      <ns0:c r="A360" s="106"/>
      <ns0:c r="B360" s="107"/>
      <ns0:c r="C360" s="108"/>
      <ns0:c r="D360" s="109"/>
      <ns0:c r="E360" s="106"/>
      <ns0:c r="F360" s="106"/>
      <ns0:c r="G360" s="106"/>
      <ns0:c r="H360" s="106"/>
      <ns0:c r="I360" s="106"/>
      <ns0:c r="J360" s="106"/>
      <ns0:c r="K360" s="106"/>
      <ns0:c r="L360" s="106"/>
      <ns0:c r="M360" s="106"/>
      <ns0:c r="N360" s="106"/>
      <ns0:c r="O360" s="106"/>
      <ns0:c r="P360" s="106"/>
      <ns0:c r="Q360" s="106"/>
      <ns0:c r="R360" s="106"/>
      <ns0:c r="S360" s="106"/>
      <ns0:c r="T360" s="106"/>
      <ns0:c r="U360" s="106"/>
      <ns0:c r="V360" s="106"/>
      <ns0:c r="W360" s="106"/>
      <ns0:c r="X360" s="106"/>
      <ns0:c r="Y360" s="106"/>
      <ns0:c r="Z360" s="106"/>
      <ns0:c r="AA360" s="106"/>
      <ns0:c r="AB360" s="106"/>
      <ns0:c r="AC360" s="115"/>
    </ns0:row>
    <ns0:row r="361" spans="1:29">
      <ns0:c r="A361" s="106"/>
      <ns0:c r="B361" s="107"/>
      <ns0:c r="C361" s="108"/>
      <ns0:c r="D361" s="109"/>
      <ns0:c r="E361" s="106"/>
      <ns0:c r="F361" s="106"/>
      <ns0:c r="G361" s="106"/>
      <ns0:c r="H361" s="106"/>
      <ns0:c r="I361" s="106"/>
      <ns0:c r="J361" s="106"/>
      <ns0:c r="K361" s="106"/>
      <ns0:c r="L361" s="106"/>
      <ns0:c r="M361" s="106"/>
      <ns0:c r="N361" s="106"/>
      <ns0:c r="O361" s="106"/>
      <ns0:c r="P361" s="106"/>
      <ns0:c r="Q361" s="106"/>
      <ns0:c r="R361" s="106"/>
      <ns0:c r="S361" s="106"/>
      <ns0:c r="T361" s="106"/>
      <ns0:c r="U361" s="106"/>
      <ns0:c r="V361" s="106"/>
      <ns0:c r="W361" s="106"/>
      <ns0:c r="X361" s="106"/>
      <ns0:c r="Y361" s="106"/>
      <ns0:c r="Z361" s="106"/>
      <ns0:c r="AA361" s="106"/>
      <ns0:c r="AB361" s="106"/>
      <ns0:c r="AC361" s="115"/>
    </ns0:row>
    <ns0:row r="362" spans="1:29">
      <ns0:c r="A362" s="106"/>
      <ns0:c r="B362" s="107"/>
      <ns0:c r="C362" s="108"/>
      <ns0:c r="D362" s="109"/>
      <ns0:c r="E362" s="106"/>
      <ns0:c r="F362" s="106"/>
      <ns0:c r="G362" s="106"/>
      <ns0:c r="H362" s="106"/>
      <ns0:c r="I362" s="106"/>
      <ns0:c r="J362" s="106"/>
      <ns0:c r="K362" s="106"/>
      <ns0:c r="L362" s="106"/>
      <ns0:c r="M362" s="106"/>
      <ns0:c r="N362" s="106"/>
      <ns0:c r="O362" s="106"/>
      <ns0:c r="P362" s="106"/>
      <ns0:c r="Q362" s="106"/>
      <ns0:c r="R362" s="106"/>
      <ns0:c r="S362" s="106"/>
      <ns0:c r="T362" s="106"/>
      <ns0:c r="U362" s="106"/>
      <ns0:c r="V362" s="106"/>
      <ns0:c r="W362" s="106"/>
      <ns0:c r="X362" s="106"/>
      <ns0:c r="Y362" s="106"/>
      <ns0:c r="Z362" s="106"/>
      <ns0:c r="AA362" s="106"/>
      <ns0:c r="AB362" s="106"/>
      <ns0:c r="AC362" s="115"/>
    </ns0:row>
    <ns0:row r="363" spans="1:29">
      <ns0:c r="A363" s="106"/>
      <ns0:c r="B363" s="110"/>
      <ns0:c r="C363" s="110"/>
      <ns0:c r="D363" s="109"/>
      <ns0:c r="E363" s="106"/>
      <ns0:c r="F363" s="106"/>
      <ns0:c r="G363" s="106"/>
      <ns0:c r="H363" s="106"/>
      <ns0:c r="I363" s="106"/>
      <ns0:c r="J363" s="106"/>
      <ns0:c r="K363" s="106"/>
      <ns0:c r="L363" s="106"/>
      <ns0:c r="M363" s="106"/>
      <ns0:c r="N363" s="106"/>
      <ns0:c r="O363" s="106"/>
      <ns0:c r="P363" s="106"/>
      <ns0:c r="Q363" s="106"/>
      <ns0:c r="R363" s="106"/>
      <ns0:c r="S363" s="106"/>
      <ns0:c r="T363" s="106"/>
      <ns0:c r="U363" s="106"/>
      <ns0:c r="V363" s="106"/>
      <ns0:c r="W363" s="106"/>
      <ns0:c r="X363" s="106"/>
      <ns0:c r="Y363" s="106"/>
      <ns0:c r="Z363" s="106"/>
      <ns0:c r="AA363" s="106"/>
      <ns0:c r="AB363" s="106"/>
      <ns0:c r="AC363" s="115"/>
    </ns0:row>
    <ns0:row r="364" spans="1:29">
      <ns0:c r="A364" s="106"/>
      <ns0:c r="B364" s="107"/>
      <ns0:c r="C364" s="108"/>
      <ns0:c r="D364" s="109"/>
      <ns0:c r="E364" s="106"/>
      <ns0:c r="F364" s="106"/>
      <ns0:c r="G364" s="106"/>
      <ns0:c r="H364" s="106"/>
      <ns0:c r="I364" s="106"/>
      <ns0:c r="J364" s="106"/>
      <ns0:c r="K364" s="106"/>
      <ns0:c r="L364" s="106"/>
      <ns0:c r="M364" s="106"/>
      <ns0:c r="N364" s="106"/>
      <ns0:c r="O364" s="106"/>
      <ns0:c r="P364" s="106"/>
      <ns0:c r="Q364" s="106"/>
      <ns0:c r="R364" s="106"/>
      <ns0:c r="S364" s="106"/>
      <ns0:c r="T364" s="106"/>
      <ns0:c r="U364" s="106"/>
      <ns0:c r="V364" s="106"/>
      <ns0:c r="W364" s="106"/>
      <ns0:c r="X364" s="106"/>
      <ns0:c r="Y364" s="106"/>
      <ns0:c r="Z364" s="106"/>
      <ns0:c r="AA364" s="106"/>
      <ns0:c r="AB364" s="106"/>
      <ns0:c r="AC364" s="115"/>
    </ns0:row>
    <ns0:row r="365" spans="1:29">
      <ns0:c r="A365" s="106"/>
      <ns0:c r="B365" s="107"/>
      <ns0:c r="C365" s="108"/>
      <ns0:c r="D365" s="109"/>
      <ns0:c r="E365" s="106"/>
      <ns0:c r="F365" s="106"/>
      <ns0:c r="G365" s="106"/>
      <ns0:c r="H365" s="106"/>
      <ns0:c r="I365" s="106"/>
      <ns0:c r="J365" s="106"/>
      <ns0:c r="K365" s="106"/>
      <ns0:c r="L365" s="106"/>
      <ns0:c r="M365" s="106"/>
      <ns0:c r="N365" s="106"/>
      <ns0:c r="O365" s="106"/>
      <ns0:c r="P365" s="106"/>
      <ns0:c r="Q365" s="106"/>
      <ns0:c r="R365" s="106"/>
      <ns0:c r="S365" s="106"/>
      <ns0:c r="T365" s="106"/>
      <ns0:c r="U365" s="106"/>
      <ns0:c r="V365" s="106"/>
      <ns0:c r="W365" s="106"/>
      <ns0:c r="X365" s="106"/>
      <ns0:c r="Y365" s="106"/>
      <ns0:c r="Z365" s="106"/>
      <ns0:c r="AA365" s="106"/>
      <ns0:c r="AB365" s="106"/>
      <ns0:c r="AC365" s="115"/>
    </ns0:row>
    <ns0:row r="366" spans="1:29">
      <ns0:c r="A366" s="106"/>
      <ns0:c r="B366" s="107"/>
      <ns0:c r="C366" s="108"/>
      <ns0:c r="D366" s="109"/>
      <ns0:c r="E366" s="112"/>
      <ns0:c r="F366" s="112"/>
      <ns0:c r="G366" s="112"/>
      <ns0:c r="H366" s="112"/>
      <ns0:c r="I366" s="112"/>
      <ns0:c r="J366" s="112"/>
      <ns0:c r="K366" s="112"/>
      <ns0:c r="L366" s="112"/>
      <ns0:c r="M366" s="112"/>
      <ns0:c r="N366" s="112"/>
      <ns0:c r="O366" s="112"/>
      <ns0:c r="P366" s="112"/>
      <ns0:c r="Q366" s="112"/>
      <ns0:c r="R366" s="112"/>
      <ns0:c r="S366" s="112"/>
      <ns0:c r="T366" s="112"/>
      <ns0:c r="U366" s="112"/>
      <ns0:c r="V366" s="112"/>
      <ns0:c r="W366" s="112"/>
      <ns0:c r="X366" s="112"/>
      <ns0:c r="Y366" s="112"/>
      <ns0:c r="Z366" s="112"/>
      <ns0:c r="AA366" s="112"/>
      <ns0:c r="AB366" s="112"/>
      <ns0:c r="AC366" s="115"/>
    </ns0:row>
    <ns0:row r="367" spans="1:29">
      <ns0:c r="A367" s="106"/>
      <ns0:c r="B367" s="107"/>
      <ns0:c r="C367" s="106"/>
      <ns0:c r="D367" s="109"/>
      <ns0:c r="E367" s="112"/>
      <ns0:c r="F367" s="112"/>
      <ns0:c r="G367" s="112"/>
      <ns0:c r="H367" s="112"/>
      <ns0:c r="I367" s="112"/>
      <ns0:c r="J367" s="112"/>
      <ns0:c r="K367" s="112"/>
      <ns0:c r="L367" s="112"/>
      <ns0:c r="M367" s="112"/>
      <ns0:c r="N367" s="112"/>
      <ns0:c r="O367" s="112"/>
      <ns0:c r="P367" s="112"/>
      <ns0:c r="Q367" s="112"/>
      <ns0:c r="R367" s="112"/>
      <ns0:c r="S367" s="112"/>
      <ns0:c r="T367" s="112"/>
      <ns0:c r="U367" s="112"/>
      <ns0:c r="V367" s="112"/>
      <ns0:c r="W367" s="112"/>
      <ns0:c r="X367" s="112"/>
      <ns0:c r="Y367" s="112"/>
      <ns0:c r="Z367" s="112"/>
      <ns0:c r="AA367" s="112"/>
      <ns0:c r="AB367" s="112"/>
      <ns0:c r="AC367" s="112"/>
    </ns0:row>
    <ns0:row r="368" spans="1:29">
      <ns0:c r="A368" s="106"/>
      <ns0:c r="B368" s="107"/>
      <ns0:c r="C368" s="108"/>
      <ns0:c r="D368" s="109"/>
      <ns0:c r="E368" s="106"/>
      <ns0:c r="F368" s="106"/>
      <ns0:c r="G368" s="106"/>
      <ns0:c r="H368" s="106"/>
      <ns0:c r="I368" s="106"/>
      <ns0:c r="J368" s="106"/>
      <ns0:c r="K368" s="106"/>
      <ns0:c r="L368" s="106"/>
      <ns0:c r="M368" s="106"/>
      <ns0:c r="N368" s="106"/>
      <ns0:c r="O368" s="106"/>
      <ns0:c r="P368" s="106"/>
      <ns0:c r="Q368" s="106"/>
      <ns0:c r="R368" s="106"/>
      <ns0:c r="S368" s="106"/>
      <ns0:c r="T368" s="106"/>
      <ns0:c r="U368" s="106"/>
      <ns0:c r="V368" s="106"/>
      <ns0:c r="W368" s="106"/>
      <ns0:c r="X368" s="106"/>
      <ns0:c r="Y368" s="106"/>
      <ns0:c r="Z368" s="106"/>
      <ns0:c r="AA368" s="106"/>
      <ns0:c r="AB368" s="106"/>
      <ns0:c r="AC368" s="115"/>
    </ns0:row>
    <ns0:row r="369" spans="1:29">
      <ns0:c r="A369" s="106"/>
      <ns0:c r="B369" s="107"/>
      <ns0:c r="C369" s="108"/>
      <ns0:c r="D369" s="109"/>
      <ns0:c r="E369" s="106"/>
      <ns0:c r="F369" s="106"/>
      <ns0:c r="G369" s="106"/>
      <ns0:c r="H369" s="106"/>
      <ns0:c r="I369" s="106"/>
      <ns0:c r="J369" s="106"/>
      <ns0:c r="K369" s="106"/>
      <ns0:c r="L369" s="106"/>
      <ns0:c r="M369" s="106"/>
      <ns0:c r="N369" s="106"/>
      <ns0:c r="O369" s="106"/>
      <ns0:c r="P369" s="106"/>
      <ns0:c r="Q369" s="106"/>
      <ns0:c r="R369" s="106"/>
      <ns0:c r="S369" s="106"/>
      <ns0:c r="T369" s="106"/>
      <ns0:c r="U369" s="106"/>
      <ns0:c r="V369" s="106"/>
      <ns0:c r="W369" s="106"/>
      <ns0:c r="X369" s="106"/>
      <ns0:c r="Y369" s="106"/>
      <ns0:c r="Z369" s="106"/>
      <ns0:c r="AA369" s="106"/>
      <ns0:c r="AB369" s="106"/>
      <ns0:c r="AC369" s="115"/>
    </ns0:row>
    <ns0:row r="370" spans="1:29">
      <ns0:c r="A370" s="106"/>
      <ns0:c r="B370" s="107"/>
      <ns0:c r="C370" s="108"/>
      <ns0:c r="D370" s="109"/>
      <ns0:c r="E370" s="106"/>
      <ns0:c r="F370" s="106"/>
      <ns0:c r="G370" s="106"/>
      <ns0:c r="H370" s="106"/>
      <ns0:c r="I370" s="106"/>
      <ns0:c r="J370" s="106"/>
      <ns0:c r="K370" s="106"/>
      <ns0:c r="L370" s="106"/>
      <ns0:c r="M370" s="106"/>
      <ns0:c r="N370" s="106"/>
      <ns0:c r="O370" s="106"/>
      <ns0:c r="P370" s="106"/>
      <ns0:c r="Q370" s="106"/>
      <ns0:c r="R370" s="106"/>
      <ns0:c r="S370" s="106"/>
      <ns0:c r="T370" s="106"/>
      <ns0:c r="U370" s="106"/>
      <ns0:c r="V370" s="106"/>
      <ns0:c r="W370" s="106"/>
      <ns0:c r="X370" s="106"/>
      <ns0:c r="Y370" s="106"/>
      <ns0:c r="Z370" s="106"/>
      <ns0:c r="AA370" s="106"/>
      <ns0:c r="AB370" s="106"/>
      <ns0:c r="AC370" s="115"/>
    </ns0:row>
    <ns0:row r="371" spans="1:29">
      <ns0:c r="A371" s="106"/>
      <ns0:c r="B371" s="107"/>
      <ns0:c r="C371" s="108"/>
      <ns0:c r="D371" s="109"/>
      <ns0:c r="E371" s="106"/>
      <ns0:c r="F371" s="106"/>
      <ns0:c r="G371" s="106"/>
      <ns0:c r="H371" s="106"/>
      <ns0:c r="I371" s="106"/>
      <ns0:c r="J371" s="106"/>
      <ns0:c r="K371" s="106"/>
      <ns0:c r="L371" s="106"/>
      <ns0:c r="M371" s="106"/>
      <ns0:c r="N371" s="106"/>
      <ns0:c r="O371" s="106"/>
      <ns0:c r="P371" s="106"/>
      <ns0:c r="Q371" s="106"/>
      <ns0:c r="R371" s="106"/>
      <ns0:c r="S371" s="106"/>
      <ns0:c r="T371" s="106"/>
      <ns0:c r="U371" s="106"/>
      <ns0:c r="V371" s="106"/>
      <ns0:c r="W371" s="106"/>
      <ns0:c r="X371" s="106"/>
      <ns0:c r="Y371" s="106"/>
      <ns0:c r="Z371" s="106"/>
      <ns0:c r="AA371" s="106"/>
      <ns0:c r="AB371" s="106"/>
      <ns0:c r="AC371" s="115"/>
    </ns0:row>
    <ns0:row r="372" spans="1:29">
      <ns0:c r="A372" s="106"/>
      <ns0:c r="B372" s="107"/>
      <ns0:c r="C372" s="108"/>
      <ns0:c r="D372" s="109"/>
      <ns0:c r="E372" s="106"/>
      <ns0:c r="F372" s="106"/>
      <ns0:c r="G372" s="106"/>
      <ns0:c r="H372" s="106"/>
      <ns0:c r="I372" s="106"/>
      <ns0:c r="J372" s="106"/>
      <ns0:c r="K372" s="106"/>
      <ns0:c r="L372" s="106"/>
      <ns0:c r="M372" s="106"/>
      <ns0:c r="N372" s="106"/>
      <ns0:c r="O372" s="106"/>
      <ns0:c r="P372" s="106"/>
      <ns0:c r="Q372" s="106"/>
      <ns0:c r="R372" s="106"/>
      <ns0:c r="S372" s="106"/>
      <ns0:c r="T372" s="106"/>
      <ns0:c r="U372" s="106"/>
      <ns0:c r="V372" s="106"/>
      <ns0:c r="W372" s="106"/>
      <ns0:c r="X372" s="106"/>
      <ns0:c r="Y372" s="106"/>
      <ns0:c r="Z372" s="106"/>
      <ns0:c r="AA372" s="106"/>
      <ns0:c r="AB372" s="106"/>
      <ns0:c r="AC372" s="115"/>
    </ns0:row>
    <ns0:row r="373" spans="1:29">
      <ns0:c r="A373" s="106"/>
      <ns0:c r="B373" s="107"/>
      <ns0:c r="C373" s="108"/>
      <ns0:c r="D373" s="109"/>
      <ns0:c r="E373" s="106"/>
      <ns0:c r="F373" s="106"/>
      <ns0:c r="G373" s="106"/>
      <ns0:c r="H373" s="106"/>
      <ns0:c r="I373" s="106"/>
      <ns0:c r="J373" s="106"/>
      <ns0:c r="K373" s="106"/>
      <ns0:c r="L373" s="106"/>
      <ns0:c r="M373" s="106"/>
      <ns0:c r="N373" s="106"/>
      <ns0:c r="O373" s="106"/>
      <ns0:c r="P373" s="106"/>
      <ns0:c r="Q373" s="106"/>
      <ns0:c r="R373" s="106"/>
      <ns0:c r="S373" s="106"/>
      <ns0:c r="T373" s="106"/>
      <ns0:c r="U373" s="106"/>
      <ns0:c r="V373" s="106"/>
      <ns0:c r="W373" s="106"/>
      <ns0:c r="X373" s="106"/>
      <ns0:c r="Y373" s="106"/>
      <ns0:c r="Z373" s="106"/>
      <ns0:c r="AA373" s="106"/>
      <ns0:c r="AB373" s="106"/>
      <ns0:c r="AC373" s="115"/>
    </ns0:row>
    <ns0:row r="374" spans="1:29">
      <ns0:c r="A374" s="106"/>
      <ns0:c r="B374" s="107"/>
      <ns0:c r="C374" s="108"/>
      <ns0:c r="D374" s="109"/>
      <ns0:c r="E374" s="106"/>
      <ns0:c r="F374" s="106"/>
      <ns0:c r="G374" s="106"/>
      <ns0:c r="H374" s="106"/>
      <ns0:c r="I374" s="106"/>
      <ns0:c r="J374" s="106"/>
      <ns0:c r="K374" s="106"/>
      <ns0:c r="L374" s="106"/>
      <ns0:c r="M374" s="106"/>
      <ns0:c r="N374" s="106"/>
      <ns0:c r="O374" s="106"/>
      <ns0:c r="P374" s="106"/>
      <ns0:c r="Q374" s="106"/>
      <ns0:c r="R374" s="106"/>
      <ns0:c r="S374" s="106"/>
      <ns0:c r="T374" s="106"/>
      <ns0:c r="U374" s="106"/>
      <ns0:c r="V374" s="106"/>
      <ns0:c r="W374" s="106"/>
      <ns0:c r="X374" s="106"/>
      <ns0:c r="Y374" s="106"/>
      <ns0:c r="Z374" s="106"/>
      <ns0:c r="AA374" s="106"/>
      <ns0:c r="AB374" s="106"/>
      <ns0:c r="AC374" s="115"/>
    </ns0:row>
    <ns0:row r="375" spans="1:29">
      <ns0:c r="A375" s="106"/>
      <ns0:c r="B375" s="107"/>
      <ns0:c r="C375" s="108"/>
      <ns0:c r="D375" s="109"/>
      <ns0:c r="E375" s="106"/>
      <ns0:c r="F375" s="106"/>
      <ns0:c r="G375" s="106"/>
      <ns0:c r="H375" s="106"/>
      <ns0:c r="I375" s="106"/>
      <ns0:c r="J375" s="106"/>
      <ns0:c r="K375" s="106"/>
      <ns0:c r="L375" s="106"/>
      <ns0:c r="M375" s="106"/>
      <ns0:c r="N375" s="106"/>
      <ns0:c r="O375" s="106"/>
      <ns0:c r="P375" s="106"/>
      <ns0:c r="Q375" s="106"/>
      <ns0:c r="R375" s="106"/>
      <ns0:c r="S375" s="106"/>
      <ns0:c r="T375" s="106"/>
      <ns0:c r="U375" s="106"/>
      <ns0:c r="V375" s="106"/>
      <ns0:c r="W375" s="106"/>
      <ns0:c r="X375" s="106"/>
      <ns0:c r="Y375" s="106"/>
      <ns0:c r="Z375" s="106"/>
      <ns0:c r="AA375" s="106"/>
      <ns0:c r="AB375" s="106"/>
      <ns0:c r="AC375" s="115"/>
    </ns0:row>
    <ns0:row r="376" spans="1:29">
      <ns0:c r="A376" s="106"/>
      <ns0:c r="B376" s="110"/>
      <ns0:c r="C376" s="110"/>
      <ns0:c r="D376" s="109"/>
      <ns0:c r="E376" s="106"/>
      <ns0:c r="F376" s="106"/>
      <ns0:c r="G376" s="106"/>
      <ns0:c r="H376" s="106"/>
      <ns0:c r="I376" s="106"/>
      <ns0:c r="J376" s="106"/>
      <ns0:c r="K376" s="106"/>
      <ns0:c r="L376" s="106"/>
      <ns0:c r="M376" s="106"/>
      <ns0:c r="N376" s="106"/>
      <ns0:c r="O376" s="106"/>
      <ns0:c r="P376" s="106"/>
      <ns0:c r="Q376" s="106"/>
      <ns0:c r="R376" s="106"/>
      <ns0:c r="S376" s="106"/>
      <ns0:c r="T376" s="106"/>
      <ns0:c r="U376" s="106"/>
      <ns0:c r="V376" s="106"/>
      <ns0:c r="W376" s="106"/>
      <ns0:c r="X376" s="106"/>
      <ns0:c r="Y376" s="106"/>
      <ns0:c r="Z376" s="106"/>
      <ns0:c r="AA376" s="106"/>
      <ns0:c r="AB376" s="106"/>
      <ns0:c r="AC376" s="115"/>
    </ns0:row>
    <ns0:row r="377" spans="1:29">
      <ns0:c r="A377" s="106"/>
      <ns0:c r="B377" s="107"/>
      <ns0:c r="C377" s="108"/>
      <ns0:c r="D377" s="109"/>
      <ns0:c r="E377" s="106"/>
      <ns0:c r="F377" s="106"/>
      <ns0:c r="G377" s="106"/>
      <ns0:c r="H377" s="106"/>
      <ns0:c r="I377" s="106"/>
      <ns0:c r="J377" s="106"/>
      <ns0:c r="K377" s="106"/>
      <ns0:c r="L377" s="106"/>
      <ns0:c r="M377" s="106"/>
      <ns0:c r="N377" s="106"/>
      <ns0:c r="O377" s="106"/>
      <ns0:c r="P377" s="106"/>
      <ns0:c r="Q377" s="106"/>
      <ns0:c r="R377" s="106"/>
      <ns0:c r="S377" s="106"/>
      <ns0:c r="T377" s="106"/>
      <ns0:c r="U377" s="106"/>
      <ns0:c r="V377" s="106"/>
      <ns0:c r="W377" s="106"/>
      <ns0:c r="X377" s="106"/>
      <ns0:c r="Y377" s="106"/>
      <ns0:c r="Z377" s="106"/>
      <ns0:c r="AA377" s="106"/>
      <ns0:c r="AB377" s="106"/>
      <ns0:c r="AC377" s="115"/>
    </ns0:row>
    <ns0:row r="378" spans="1:29">
      <ns0:c r="A378" s="106"/>
      <ns0:c r="B378" s="107"/>
      <ns0:c r="C378" s="108"/>
      <ns0:c r="D378" s="109"/>
      <ns0:c r="E378" s="106"/>
      <ns0:c r="F378" s="106"/>
      <ns0:c r="G378" s="106"/>
      <ns0:c r="H378" s="106"/>
      <ns0:c r="I378" s="106"/>
      <ns0:c r="J378" s="106"/>
      <ns0:c r="K378" s="106"/>
      <ns0:c r="L378" s="106"/>
      <ns0:c r="M378" s="106"/>
      <ns0:c r="N378" s="106"/>
      <ns0:c r="O378" s="106"/>
      <ns0:c r="P378" s="106"/>
      <ns0:c r="Q378" s="106"/>
      <ns0:c r="R378" s="106"/>
      <ns0:c r="S378" s="106"/>
      <ns0:c r="T378" s="106"/>
      <ns0:c r="U378" s="106"/>
      <ns0:c r="V378" s="106"/>
      <ns0:c r="W378" s="106"/>
      <ns0:c r="X378" s="106"/>
      <ns0:c r="Y378" s="106"/>
      <ns0:c r="Z378" s="106"/>
      <ns0:c r="AA378" s="106"/>
      <ns0:c r="AB378" s="106"/>
      <ns0:c r="AC378" s="115"/>
    </ns0:row>
    <ns0:row r="379" spans="1:29">
      <ns0:c r="A379" s="106"/>
      <ns0:c r="B379" s="107"/>
      <ns0:c r="C379" s="108"/>
      <ns0:c r="D379" s="109"/>
      <ns0:c r="E379" s="112"/>
      <ns0:c r="F379" s="112"/>
      <ns0:c r="G379" s="112"/>
      <ns0:c r="H379" s="112"/>
      <ns0:c r="I379" s="112"/>
      <ns0:c r="J379" s="112"/>
      <ns0:c r="K379" s="112"/>
      <ns0:c r="L379" s="112"/>
      <ns0:c r="M379" s="112"/>
      <ns0:c r="N379" s="112"/>
      <ns0:c r="O379" s="112"/>
      <ns0:c r="P379" s="112"/>
      <ns0:c r="Q379" s="112"/>
      <ns0:c r="R379" s="112"/>
      <ns0:c r="S379" s="112"/>
      <ns0:c r="T379" s="112"/>
      <ns0:c r="U379" s="112"/>
      <ns0:c r="V379" s="112"/>
      <ns0:c r="W379" s="112"/>
      <ns0:c r="X379" s="112"/>
      <ns0:c r="Y379" s="112"/>
      <ns0:c r="Z379" s="112"/>
      <ns0:c r="AA379" s="112"/>
      <ns0:c r="AB379" s="112"/>
      <ns0:c r="AC379" s="115"/>
    </ns0:row>
    <ns0:row r="380" spans="1:29">
      <ns0:c r="A380" s="106"/>
      <ns0:c r="B380" s="106"/>
      <ns0:c r="C380" s="106"/>
      <ns0:c r="D380" s="109"/>
      <ns0:c r="E380" s="112"/>
      <ns0:c r="F380" s="112"/>
      <ns0:c r="G380" s="112"/>
      <ns0:c r="H380" s="112"/>
      <ns0:c r="I380" s="112"/>
      <ns0:c r="J380" s="112"/>
      <ns0:c r="K380" s="112"/>
      <ns0:c r="L380" s="112"/>
      <ns0:c r="M380" s="112"/>
      <ns0:c r="N380" s="112"/>
      <ns0:c r="O380" s="112"/>
      <ns0:c r="P380" s="112"/>
      <ns0:c r="Q380" s="112"/>
      <ns0:c r="R380" s="112"/>
      <ns0:c r="S380" s="112"/>
      <ns0:c r="T380" s="112"/>
      <ns0:c r="U380" s="112"/>
      <ns0:c r="V380" s="112"/>
      <ns0:c r="W380" s="112"/>
      <ns0:c r="X380" s="112"/>
      <ns0:c r="Y380" s="112"/>
      <ns0:c r="Z380" s="112"/>
      <ns0:c r="AA380" s="112"/>
      <ns0:c r="AB380" s="112"/>
      <ns0:c r="AC380" s="112"/>
    </ns0:row>
    <ns0:row r="381" spans="1:29">
      <ns0:c r="A381" s="106"/>
      <ns0:c r="B381" s="107"/>
      <ns0:c r="C381" s="108"/>
      <ns0:c r="D381" s="109"/>
      <ns0:c r="E381" s="112"/>
      <ns0:c r="F381" s="112"/>
      <ns0:c r="G381" s="112"/>
      <ns0:c r="H381" s="112"/>
      <ns0:c r="I381" s="112"/>
      <ns0:c r="J381" s="112"/>
      <ns0:c r="K381" s="112"/>
      <ns0:c r="L381" s="112"/>
      <ns0:c r="M381" s="112"/>
      <ns0:c r="N381" s="112"/>
      <ns0:c r="O381" s="112"/>
      <ns0:c r="P381" s="112"/>
      <ns0:c r="Q381" s="112"/>
      <ns0:c r="R381" s="112"/>
      <ns0:c r="S381" s="112"/>
      <ns0:c r="T381" s="112"/>
      <ns0:c r="U381" s="112"/>
      <ns0:c r="V381" s="112"/>
      <ns0:c r="W381" s="112"/>
      <ns0:c r="X381" s="112"/>
      <ns0:c r="Y381" s="112"/>
      <ns0:c r="Z381" s="112"/>
      <ns0:c r="AA381" s="112"/>
      <ns0:c r="AB381" s="112"/>
      <ns0:c r="AC381" s="115"/>
    </ns0:row>
    <ns0:row r="382" spans="1:29">
      <ns0:c r="A382" s="106"/>
      <ns0:c r="B382" s="107"/>
      <ns0:c r="C382" s="108"/>
      <ns0:c r="D382" s="109"/>
      <ns0:c r="E382" s="106"/>
      <ns0:c r="F382" s="106"/>
      <ns0:c r="G382" s="106"/>
      <ns0:c r="H382" s="106"/>
      <ns0:c r="I382" s="106"/>
      <ns0:c r="J382" s="106"/>
      <ns0:c r="K382" s="106"/>
      <ns0:c r="L382" s="106"/>
      <ns0:c r="M382" s="106"/>
      <ns0:c r="N382" s="106"/>
      <ns0:c r="O382" s="106"/>
      <ns0:c r="P382" s="106"/>
      <ns0:c r="Q382" s="106"/>
      <ns0:c r="R382" s="106"/>
      <ns0:c r="S382" s="106"/>
      <ns0:c r="T382" s="106"/>
      <ns0:c r="U382" s="106"/>
      <ns0:c r="V382" s="106"/>
      <ns0:c r="W382" s="106"/>
      <ns0:c r="X382" s="106"/>
      <ns0:c r="Y382" s="106"/>
      <ns0:c r="Z382" s="106"/>
      <ns0:c r="AA382" s="106"/>
      <ns0:c r="AB382" s="106"/>
      <ns0:c r="AC382" s="115"/>
    </ns0:row>
    <ns0:row r="383" spans="1:29">
      <ns0:c r="A383" s="106"/>
      <ns0:c r="B383" s="107"/>
      <ns0:c r="C383" s="108"/>
      <ns0:c r="D383" s="109"/>
      <ns0:c r="E383" s="106"/>
      <ns0:c r="F383" s="106"/>
      <ns0:c r="G383" s="106"/>
      <ns0:c r="H383" s="106"/>
      <ns0:c r="I383" s="106"/>
      <ns0:c r="J383" s="106"/>
      <ns0:c r="K383" s="106"/>
      <ns0:c r="L383" s="106"/>
      <ns0:c r="M383" s="106"/>
      <ns0:c r="N383" s="106"/>
      <ns0:c r="O383" s="106"/>
      <ns0:c r="P383" s="106"/>
      <ns0:c r="Q383" s="106"/>
      <ns0:c r="R383" s="106"/>
      <ns0:c r="S383" s="106"/>
      <ns0:c r="T383" s="106"/>
      <ns0:c r="U383" s="106"/>
      <ns0:c r="V383" s="106"/>
      <ns0:c r="W383" s="106"/>
      <ns0:c r="X383" s="106"/>
      <ns0:c r="Y383" s="106"/>
      <ns0:c r="Z383" s="106"/>
      <ns0:c r="AA383" s="106"/>
      <ns0:c r="AB383" s="106"/>
      <ns0:c r="AC383" s="115"/>
    </ns0:row>
    <ns0:row r="384" spans="1:29">
      <ns0:c r="A384" s="106"/>
      <ns0:c r="B384" s="107"/>
      <ns0:c r="C384" s="108"/>
      <ns0:c r="D384" s="109"/>
      <ns0:c r="E384" s="106"/>
      <ns0:c r="F384" s="106"/>
      <ns0:c r="G384" s="106"/>
      <ns0:c r="H384" s="106"/>
      <ns0:c r="I384" s="106"/>
      <ns0:c r="J384" s="106"/>
      <ns0:c r="K384" s="106"/>
      <ns0:c r="L384" s="106"/>
      <ns0:c r="M384" s="106"/>
      <ns0:c r="N384" s="106"/>
      <ns0:c r="O384" s="106"/>
      <ns0:c r="P384" s="106"/>
      <ns0:c r="Q384" s="106"/>
      <ns0:c r="R384" s="106"/>
      <ns0:c r="S384" s="106"/>
      <ns0:c r="T384" s="106"/>
      <ns0:c r="U384" s="106"/>
      <ns0:c r="V384" s="106"/>
      <ns0:c r="W384" s="106"/>
      <ns0:c r="X384" s="106"/>
      <ns0:c r="Y384" s="106"/>
      <ns0:c r="Z384" s="106"/>
      <ns0:c r="AA384" s="106"/>
      <ns0:c r="AB384" s="106"/>
      <ns0:c r="AC384" s="115"/>
    </ns0:row>
    <ns0:row r="385" spans="1:29">
      <ns0:c r="A385" s="106"/>
      <ns0:c r="B385" s="107"/>
      <ns0:c r="C385" s="108"/>
      <ns0:c r="D385" s="109"/>
      <ns0:c r="E385" s="106"/>
      <ns0:c r="F385" s="106"/>
      <ns0:c r="G385" s="106"/>
      <ns0:c r="H385" s="106"/>
      <ns0:c r="I385" s="106"/>
      <ns0:c r="J385" s="106"/>
      <ns0:c r="K385" s="106"/>
      <ns0:c r="L385" s="106"/>
      <ns0:c r="M385" s="106"/>
      <ns0:c r="N385" s="106"/>
      <ns0:c r="O385" s="106"/>
      <ns0:c r="P385" s="106"/>
      <ns0:c r="Q385" s="106"/>
      <ns0:c r="R385" s="106"/>
      <ns0:c r="S385" s="106"/>
      <ns0:c r="T385" s="106"/>
      <ns0:c r="U385" s="106"/>
      <ns0:c r="V385" s="106"/>
      <ns0:c r="W385" s="106"/>
      <ns0:c r="X385" s="106"/>
      <ns0:c r="Y385" s="106"/>
      <ns0:c r="Z385" s="106"/>
      <ns0:c r="AA385" s="106"/>
      <ns0:c r="AB385" s="106"/>
      <ns0:c r="AC385" s="115"/>
    </ns0:row>
    <ns0:row r="386" spans="1:29">
      <ns0:c r="A386" s="106"/>
      <ns0:c r="B386" s="107"/>
      <ns0:c r="C386" s="108"/>
      <ns0:c r="D386" s="109"/>
      <ns0:c r="E386" s="106"/>
      <ns0:c r="F386" s="106"/>
      <ns0:c r="G386" s="106"/>
      <ns0:c r="H386" s="106"/>
      <ns0:c r="I386" s="106"/>
      <ns0:c r="J386" s="106"/>
      <ns0:c r="K386" s="106"/>
      <ns0:c r="L386" s="106"/>
      <ns0:c r="M386" s="106"/>
      <ns0:c r="N386" s="106"/>
      <ns0:c r="O386" s="106"/>
      <ns0:c r="P386" s="106"/>
      <ns0:c r="Q386" s="106"/>
      <ns0:c r="R386" s="106"/>
      <ns0:c r="S386" s="106"/>
      <ns0:c r="T386" s="106"/>
      <ns0:c r="U386" s="106"/>
      <ns0:c r="V386" s="106"/>
      <ns0:c r="W386" s="106"/>
      <ns0:c r="X386" s="106"/>
      <ns0:c r="Y386" s="106"/>
      <ns0:c r="Z386" s="106"/>
      <ns0:c r="AA386" s="106"/>
      <ns0:c r="AB386" s="106"/>
      <ns0:c r="AC386" s="115"/>
    </ns0:row>
    <ns0:row r="387" spans="1:29">
      <ns0:c r="A387" s="106"/>
      <ns0:c r="B387" s="107"/>
      <ns0:c r="C387" s="108"/>
      <ns0:c r="D387" s="109"/>
      <ns0:c r="E387" s="106"/>
      <ns0:c r="F387" s="106"/>
      <ns0:c r="G387" s="106"/>
      <ns0:c r="H387" s="106"/>
      <ns0:c r="I387" s="106"/>
      <ns0:c r="J387" s="106"/>
      <ns0:c r="K387" s="106"/>
      <ns0:c r="L387" s="106"/>
      <ns0:c r="M387" s="106"/>
      <ns0:c r="N387" s="106"/>
      <ns0:c r="O387" s="106"/>
      <ns0:c r="P387" s="106"/>
      <ns0:c r="Q387" s="106"/>
      <ns0:c r="R387" s="106"/>
      <ns0:c r="S387" s="106"/>
      <ns0:c r="T387" s="106"/>
      <ns0:c r="U387" s="106"/>
      <ns0:c r="V387" s="106"/>
      <ns0:c r="W387" s="106"/>
      <ns0:c r="X387" s="106"/>
      <ns0:c r="Y387" s="106"/>
      <ns0:c r="Z387" s="106"/>
      <ns0:c r="AA387" s="106"/>
      <ns0:c r="AB387" s="106"/>
      <ns0:c r="AC387" s="115"/>
    </ns0:row>
    <ns0:row r="388" spans="1:29">
      <ns0:c r="A388" s="106"/>
      <ns0:c r="B388" s="107"/>
      <ns0:c r="C388" s="108"/>
      <ns0:c r="D388" s="109"/>
      <ns0:c r="E388" s="106"/>
      <ns0:c r="F388" s="106"/>
      <ns0:c r="G388" s="106"/>
      <ns0:c r="H388" s="106"/>
      <ns0:c r="I388" s="106"/>
      <ns0:c r="J388" s="106"/>
      <ns0:c r="K388" s="106"/>
      <ns0:c r="L388" s="106"/>
      <ns0:c r="M388" s="106"/>
      <ns0:c r="N388" s="106"/>
      <ns0:c r="O388" s="106"/>
      <ns0:c r="P388" s="106"/>
      <ns0:c r="Q388" s="106"/>
      <ns0:c r="R388" s="106"/>
      <ns0:c r="S388" s="106"/>
      <ns0:c r="T388" s="106"/>
      <ns0:c r="U388" s="106"/>
      <ns0:c r="V388" s="106"/>
      <ns0:c r="W388" s="106"/>
      <ns0:c r="X388" s="106"/>
      <ns0:c r="Y388" s="106"/>
      <ns0:c r="Z388" s="106"/>
      <ns0:c r="AA388" s="106"/>
      <ns0:c r="AB388" s="106"/>
      <ns0:c r="AC388" s="115"/>
    </ns0:row>
    <ns0:row r="389" spans="1:29">
      <ns0:c r="A389" s="106"/>
      <ns0:c r="B389" s="110"/>
      <ns0:c r="C389" s="110"/>
      <ns0:c r="D389" s="109"/>
      <ns0:c r="E389" s="106"/>
      <ns0:c r="F389" s="106"/>
      <ns0:c r="G389" s="106"/>
      <ns0:c r="H389" s="106"/>
      <ns0:c r="I389" s="106"/>
      <ns0:c r="J389" s="106"/>
      <ns0:c r="K389" s="106"/>
      <ns0:c r="L389" s="106"/>
      <ns0:c r="M389" s="106"/>
      <ns0:c r="N389" s="106"/>
      <ns0:c r="O389" s="106"/>
      <ns0:c r="P389" s="106"/>
      <ns0:c r="Q389" s="106"/>
      <ns0:c r="R389" s="106"/>
      <ns0:c r="S389" s="106"/>
      <ns0:c r="T389" s="106"/>
      <ns0:c r="U389" s="106"/>
      <ns0:c r="V389" s="106"/>
      <ns0:c r="W389" s="106"/>
      <ns0:c r="X389" s="106"/>
      <ns0:c r="Y389" s="106"/>
      <ns0:c r="Z389" s="106"/>
      <ns0:c r="AA389" s="106"/>
      <ns0:c r="AB389" s="106"/>
      <ns0:c r="AC389" s="115"/>
    </ns0:row>
    <ns0:row r="390" spans="1:29">
      <ns0:c r="A390" s="106"/>
      <ns0:c r="B390" s="107"/>
      <ns0:c r="C390" s="108"/>
      <ns0:c r="D390" s="109"/>
      <ns0:c r="E390" s="106"/>
      <ns0:c r="F390" s="106"/>
      <ns0:c r="G390" s="106"/>
      <ns0:c r="H390" s="106"/>
      <ns0:c r="I390" s="106"/>
      <ns0:c r="J390" s="106"/>
      <ns0:c r="K390" s="106"/>
      <ns0:c r="L390" s="106"/>
      <ns0:c r="M390" s="106"/>
      <ns0:c r="N390" s="106"/>
      <ns0:c r="O390" s="106"/>
      <ns0:c r="P390" s="106"/>
      <ns0:c r="Q390" s="106"/>
      <ns0:c r="R390" s="106"/>
      <ns0:c r="S390" s="106"/>
      <ns0:c r="T390" s="106"/>
      <ns0:c r="U390" s="106"/>
      <ns0:c r="V390" s="106"/>
      <ns0:c r="W390" s="106"/>
      <ns0:c r="X390" s="106"/>
      <ns0:c r="Y390" s="106"/>
      <ns0:c r="Z390" s="106"/>
      <ns0:c r="AA390" s="106"/>
      <ns0:c r="AB390" s="106"/>
      <ns0:c r="AC390" s="115"/>
    </ns0:row>
    <ns0:row r="391" spans="1:29">
      <ns0:c r="A391" s="106"/>
      <ns0:c r="B391" s="107"/>
      <ns0:c r="C391" s="108"/>
      <ns0:c r="D391" s="109"/>
      <ns0:c r="E391" s="106"/>
      <ns0:c r="F391" s="106"/>
      <ns0:c r="G391" s="106"/>
      <ns0:c r="H391" s="106"/>
      <ns0:c r="I391" s="106"/>
      <ns0:c r="J391" s="106"/>
      <ns0:c r="K391" s="106"/>
      <ns0:c r="L391" s="106"/>
      <ns0:c r="M391" s="106"/>
      <ns0:c r="N391" s="106"/>
      <ns0:c r="O391" s="106"/>
      <ns0:c r="P391" s="106"/>
      <ns0:c r="Q391" s="106"/>
      <ns0:c r="R391" s="106"/>
      <ns0:c r="S391" s="106"/>
      <ns0:c r="T391" s="106"/>
      <ns0:c r="U391" s="106"/>
      <ns0:c r="V391" s="106"/>
      <ns0:c r="W391" s="106"/>
      <ns0:c r="X391" s="106"/>
      <ns0:c r="Y391" s="106"/>
      <ns0:c r="Z391" s="106"/>
      <ns0:c r="AA391" s="106"/>
      <ns0:c r="AB391" s="106"/>
      <ns0:c r="AC391" s="115"/>
    </ns0:row>
    <ns0:row r="392" spans="1:29">
      <ns0:c r="A392" s="106"/>
      <ns0:c r="B392" s="107"/>
      <ns0:c r="C392" s="108"/>
      <ns0:c r="D392" s="109"/>
      <ns0:c r="E392" s="112"/>
      <ns0:c r="F392" s="112"/>
      <ns0:c r="G392" s="112"/>
      <ns0:c r="H392" s="112"/>
      <ns0:c r="I392" s="112"/>
      <ns0:c r="J392" s="112"/>
      <ns0:c r="K392" s="112"/>
      <ns0:c r="L392" s="112"/>
      <ns0:c r="M392" s="112"/>
      <ns0:c r="N392" s="112"/>
      <ns0:c r="O392" s="112"/>
      <ns0:c r="P392" s="112"/>
      <ns0:c r="Q392" s="112"/>
      <ns0:c r="R392" s="112"/>
      <ns0:c r="S392" s="112"/>
      <ns0:c r="T392" s="112"/>
      <ns0:c r="U392" s="112"/>
      <ns0:c r="V392" s="112"/>
      <ns0:c r="W392" s="112"/>
      <ns0:c r="X392" s="112"/>
      <ns0:c r="Y392" s="112"/>
      <ns0:c r="Z392" s="112"/>
      <ns0:c r="AA392" s="112"/>
      <ns0:c r="AB392" s="112"/>
      <ns0:c r="AC392" s="115"/>
    </ns0:row>
    <ns0:row r="393" spans="1:29">
      <ns0:c r="A393" s="106"/>
      <ns0:c r="B393" s="106"/>
      <ns0:c r="C393" s="106"/>
      <ns0:c r="D393" s="109"/>
      <ns0:c r="E393" s="112"/>
      <ns0:c r="F393" s="112"/>
      <ns0:c r="G393" s="112"/>
      <ns0:c r="H393" s="112"/>
      <ns0:c r="I393" s="112"/>
      <ns0:c r="J393" s="112"/>
      <ns0:c r="K393" s="112"/>
      <ns0:c r="L393" s="112"/>
      <ns0:c r="M393" s="112"/>
      <ns0:c r="N393" s="112"/>
      <ns0:c r="O393" s="112"/>
      <ns0:c r="P393" s="112"/>
      <ns0:c r="Q393" s="112"/>
      <ns0:c r="R393" s="112"/>
      <ns0:c r="S393" s="112"/>
      <ns0:c r="T393" s="112"/>
      <ns0:c r="U393" s="112"/>
      <ns0:c r="V393" s="112"/>
      <ns0:c r="W393" s="112"/>
      <ns0:c r="X393" s="112"/>
      <ns0:c r="Y393" s="112"/>
      <ns0:c r="Z393" s="112"/>
      <ns0:c r="AA393" s="112"/>
      <ns0:c r="AB393" s="112"/>
      <ns0:c r="AC393" s="112"/>
    </ns0:row>
    <ns0:row r="394" spans="1:29">
      <ns0:c r="A394" s="106"/>
      <ns0:c r="B394" s="107"/>
      <ns0:c r="C394" s="108"/>
      <ns0:c r="D394" s="109"/>
      <ns0:c r="E394" s="112"/>
      <ns0:c r="F394" s="112"/>
      <ns0:c r="G394" s="112"/>
      <ns0:c r="H394" s="112"/>
      <ns0:c r="I394" s="112"/>
      <ns0:c r="J394" s="112"/>
      <ns0:c r="K394" s="112"/>
      <ns0:c r="L394" s="112"/>
      <ns0:c r="M394" s="112"/>
      <ns0:c r="N394" s="112"/>
      <ns0:c r="O394" s="112"/>
      <ns0:c r="P394" s="112"/>
      <ns0:c r="Q394" s="112"/>
      <ns0:c r="R394" s="112"/>
      <ns0:c r="S394" s="112"/>
      <ns0:c r="T394" s="112"/>
      <ns0:c r="U394" s="112"/>
      <ns0:c r="V394" s="112"/>
      <ns0:c r="W394" s="112"/>
      <ns0:c r="X394" s="112"/>
      <ns0:c r="Y394" s="112"/>
      <ns0:c r="Z394" s="112"/>
      <ns0:c r="AA394" s="112"/>
      <ns0:c r="AB394" s="112"/>
      <ns0:c r="AC394" s="115"/>
    </ns0:row>
    <ns0:row r="395" spans="1:29">
      <ns0:c r="A395" s="106"/>
      <ns0:c r="B395" s="107"/>
      <ns0:c r="C395" s="108"/>
      <ns0:c r="D395" s="109"/>
      <ns0:c r="E395" s="106"/>
      <ns0:c r="F395" s="106"/>
      <ns0:c r="G395" s="106"/>
      <ns0:c r="H395" s="106"/>
      <ns0:c r="I395" s="106"/>
      <ns0:c r="J395" s="106"/>
      <ns0:c r="K395" s="106"/>
      <ns0:c r="L395" s="106"/>
      <ns0:c r="M395" s="106"/>
      <ns0:c r="N395" s="106"/>
      <ns0:c r="O395" s="106"/>
      <ns0:c r="P395" s="106"/>
      <ns0:c r="Q395" s="106"/>
      <ns0:c r="R395" s="106"/>
      <ns0:c r="S395" s="106"/>
      <ns0:c r="T395" s="106"/>
      <ns0:c r="U395" s="106"/>
      <ns0:c r="V395" s="106"/>
      <ns0:c r="W395" s="106"/>
      <ns0:c r="X395" s="106"/>
      <ns0:c r="Y395" s="106"/>
      <ns0:c r="Z395" s="106"/>
      <ns0:c r="AA395" s="106"/>
      <ns0:c r="AB395" s="106"/>
      <ns0:c r="AC395" s="115"/>
    </ns0:row>
    <ns0:row r="396" spans="1:29">
      <ns0:c r="A396" s="106"/>
      <ns0:c r="B396" s="107"/>
      <ns0:c r="C396" s="108"/>
      <ns0:c r="D396" s="109"/>
      <ns0:c r="E396" s="106"/>
      <ns0:c r="F396" s="106"/>
      <ns0:c r="G396" s="106"/>
      <ns0:c r="H396" s="106"/>
      <ns0:c r="I396" s="106"/>
      <ns0:c r="J396" s="106"/>
      <ns0:c r="K396" s="106"/>
      <ns0:c r="L396" s="106"/>
      <ns0:c r="M396" s="106"/>
      <ns0:c r="N396" s="106"/>
      <ns0:c r="O396" s="106"/>
      <ns0:c r="P396" s="106"/>
      <ns0:c r="Q396" s="106"/>
      <ns0:c r="R396" s="106"/>
      <ns0:c r="S396" s="106"/>
      <ns0:c r="T396" s="106"/>
      <ns0:c r="U396" s="106"/>
      <ns0:c r="V396" s="106"/>
      <ns0:c r="W396" s="106"/>
      <ns0:c r="X396" s="106"/>
      <ns0:c r="Y396" s="106"/>
      <ns0:c r="Z396" s="106"/>
      <ns0:c r="AA396" s="106"/>
      <ns0:c r="AB396" s="106"/>
      <ns0:c r="AC396" s="115"/>
    </ns0:row>
    <ns0:row r="397" spans="1:29">
      <ns0:c r="A397" s="106"/>
      <ns0:c r="B397" s="107"/>
      <ns0:c r="C397" s="108"/>
      <ns0:c r="D397" s="109"/>
      <ns0:c r="E397" s="106"/>
      <ns0:c r="F397" s="106"/>
      <ns0:c r="G397" s="106"/>
      <ns0:c r="H397" s="106"/>
      <ns0:c r="I397" s="106"/>
      <ns0:c r="J397" s="106"/>
      <ns0:c r="K397" s="106"/>
      <ns0:c r="L397" s="106"/>
      <ns0:c r="M397" s="106"/>
      <ns0:c r="N397" s="106"/>
      <ns0:c r="O397" s="106"/>
      <ns0:c r="P397" s="106"/>
      <ns0:c r="Q397" s="106"/>
      <ns0:c r="R397" s="106"/>
      <ns0:c r="S397" s="106"/>
      <ns0:c r="T397" s="106"/>
      <ns0:c r="U397" s="106"/>
      <ns0:c r="V397" s="106"/>
      <ns0:c r="W397" s="106"/>
      <ns0:c r="X397" s="106"/>
      <ns0:c r="Y397" s="106"/>
      <ns0:c r="Z397" s="106"/>
      <ns0:c r="AA397" s="106"/>
      <ns0:c r="AB397" s="106"/>
      <ns0:c r="AC397" s="115"/>
    </ns0:row>
    <ns0:row r="398" spans="1:29">
      <ns0:c r="A398" s="106"/>
      <ns0:c r="B398" s="107"/>
      <ns0:c r="C398" s="108"/>
      <ns0:c r="D398" s="109"/>
      <ns0:c r="E398" s="106"/>
      <ns0:c r="F398" s="106"/>
      <ns0:c r="G398" s="106"/>
      <ns0:c r="H398" s="106"/>
      <ns0:c r="I398" s="106"/>
      <ns0:c r="J398" s="106"/>
      <ns0:c r="K398" s="106"/>
      <ns0:c r="L398" s="106"/>
      <ns0:c r="M398" s="106"/>
      <ns0:c r="N398" s="106"/>
      <ns0:c r="O398" s="106"/>
      <ns0:c r="P398" s="106"/>
      <ns0:c r="Q398" s="106"/>
      <ns0:c r="R398" s="106"/>
      <ns0:c r="S398" s="106"/>
      <ns0:c r="T398" s="106"/>
      <ns0:c r="U398" s="106"/>
      <ns0:c r="V398" s="106"/>
      <ns0:c r="W398" s="106"/>
      <ns0:c r="X398" s="106"/>
      <ns0:c r="Y398" s="106"/>
      <ns0:c r="Z398" s="106"/>
      <ns0:c r="AA398" s="106"/>
      <ns0:c r="AB398" s="106"/>
      <ns0:c r="AC398" s="115"/>
    </ns0:row>
    <ns0:row r="399" spans="1:29">
      <ns0:c r="A399" s="106"/>
      <ns0:c r="B399" s="107"/>
      <ns0:c r="C399" s="108"/>
      <ns0:c r="D399" s="109"/>
      <ns0:c r="E399" s="106"/>
      <ns0:c r="F399" s="106"/>
      <ns0:c r="G399" s="106"/>
      <ns0:c r="H399" s="106"/>
      <ns0:c r="I399" s="106"/>
      <ns0:c r="J399" s="106"/>
      <ns0:c r="K399" s="106"/>
      <ns0:c r="L399" s="106"/>
      <ns0:c r="M399" s="106"/>
      <ns0:c r="N399" s="106"/>
      <ns0:c r="O399" s="106"/>
      <ns0:c r="P399" s="106"/>
      <ns0:c r="Q399" s="106"/>
      <ns0:c r="R399" s="106"/>
      <ns0:c r="S399" s="106"/>
      <ns0:c r="T399" s="106"/>
      <ns0:c r="U399" s="106"/>
      <ns0:c r="V399" s="106"/>
      <ns0:c r="W399" s="106"/>
      <ns0:c r="X399" s="106"/>
      <ns0:c r="Y399" s="106"/>
      <ns0:c r="Z399" s="106"/>
      <ns0:c r="AA399" s="106"/>
      <ns0:c r="AB399" s="106"/>
      <ns0:c r="AC399" s="115"/>
    </ns0:row>
    <ns0:row r="400" spans="1:29">
      <ns0:c r="A400" s="106"/>
      <ns0:c r="B400" s="107"/>
      <ns0:c r="C400" s="108"/>
      <ns0:c r="D400" s="109"/>
      <ns0:c r="E400" s="106"/>
      <ns0:c r="F400" s="106"/>
      <ns0:c r="G400" s="106"/>
      <ns0:c r="H400" s="106"/>
      <ns0:c r="I400" s="106"/>
      <ns0:c r="J400" s="106"/>
      <ns0:c r="K400" s="106"/>
      <ns0:c r="L400" s="106"/>
      <ns0:c r="M400" s="106"/>
      <ns0:c r="N400" s="106"/>
      <ns0:c r="O400" s="106"/>
      <ns0:c r="P400" s="106"/>
      <ns0:c r="Q400" s="106"/>
      <ns0:c r="R400" s="106"/>
      <ns0:c r="S400" s="106"/>
      <ns0:c r="T400" s="106"/>
      <ns0:c r="U400" s="106"/>
      <ns0:c r="V400" s="106"/>
      <ns0:c r="W400" s="106"/>
      <ns0:c r="X400" s="106"/>
      <ns0:c r="Y400" s="106"/>
      <ns0:c r="Z400" s="106"/>
      <ns0:c r="AA400" s="106"/>
      <ns0:c r="AB400" s="106"/>
      <ns0:c r="AC400" s="115"/>
    </ns0:row>
    <ns0:row r="401" spans="1:29">
      <ns0:c r="A401" s="106"/>
      <ns0:c r="B401" s="107"/>
      <ns0:c r="C401" s="108"/>
      <ns0:c r="D401" s="109"/>
      <ns0:c r="E401" s="106"/>
      <ns0:c r="F401" s="106"/>
      <ns0:c r="G401" s="106"/>
      <ns0:c r="H401" s="106"/>
      <ns0:c r="I401" s="106"/>
      <ns0:c r="J401" s="106"/>
      <ns0:c r="K401" s="106"/>
      <ns0:c r="L401" s="106"/>
      <ns0:c r="M401" s="106"/>
      <ns0:c r="N401" s="106"/>
      <ns0:c r="O401" s="106"/>
      <ns0:c r="P401" s="106"/>
      <ns0:c r="Q401" s="106"/>
      <ns0:c r="R401" s="106"/>
      <ns0:c r="S401" s="106"/>
      <ns0:c r="T401" s="106"/>
      <ns0:c r="U401" s="106"/>
      <ns0:c r="V401" s="106"/>
      <ns0:c r="W401" s="106"/>
      <ns0:c r="X401" s="106"/>
      <ns0:c r="Y401" s="106"/>
      <ns0:c r="Z401" s="106"/>
      <ns0:c r="AA401" s="106"/>
      <ns0:c r="AB401" s="106"/>
      <ns0:c r="AC401" s="115"/>
    </ns0:row>
    <ns0:row r="402" spans="1:29">
      <ns0:c r="A402" s="106"/>
      <ns0:c r="B402" s="110"/>
      <ns0:c r="C402" s="110"/>
      <ns0:c r="D402" s="109"/>
      <ns0:c r="E402" s="106"/>
      <ns0:c r="F402" s="106"/>
      <ns0:c r="G402" s="106"/>
      <ns0:c r="H402" s="106"/>
      <ns0:c r="I402" s="106"/>
      <ns0:c r="J402" s="106"/>
      <ns0:c r="K402" s="106"/>
      <ns0:c r="L402" s="106"/>
      <ns0:c r="M402" s="106"/>
      <ns0:c r="N402" s="106"/>
      <ns0:c r="O402" s="106"/>
      <ns0:c r="P402" s="106"/>
      <ns0:c r="Q402" s="106"/>
      <ns0:c r="R402" s="106"/>
      <ns0:c r="S402" s="106"/>
      <ns0:c r="T402" s="106"/>
      <ns0:c r="U402" s="106"/>
      <ns0:c r="V402" s="106"/>
      <ns0:c r="W402" s="106"/>
      <ns0:c r="X402" s="106"/>
      <ns0:c r="Y402" s="106"/>
      <ns0:c r="Z402" s="106"/>
      <ns0:c r="AA402" s="106"/>
      <ns0:c r="AB402" s="106"/>
      <ns0:c r="AC402" s="115"/>
    </ns0:row>
    <ns0:row r="403" spans="1:29">
      <ns0:c r="A403" s="106"/>
      <ns0:c r="B403" s="107"/>
      <ns0:c r="C403" s="108"/>
      <ns0:c r="D403" s="109"/>
      <ns0:c r="E403" s="106"/>
      <ns0:c r="F403" s="106"/>
      <ns0:c r="G403" s="106"/>
      <ns0:c r="H403" s="106"/>
      <ns0:c r="I403" s="106"/>
      <ns0:c r="J403" s="106"/>
      <ns0:c r="K403" s="106"/>
      <ns0:c r="L403" s="106"/>
      <ns0:c r="M403" s="106"/>
      <ns0:c r="N403" s="106"/>
      <ns0:c r="O403" s="106"/>
      <ns0:c r="P403" s="106"/>
      <ns0:c r="Q403" s="106"/>
      <ns0:c r="R403" s="106"/>
      <ns0:c r="S403" s="106"/>
      <ns0:c r="T403" s="106"/>
      <ns0:c r="U403" s="106"/>
      <ns0:c r="V403" s="106"/>
      <ns0:c r="W403" s="106"/>
      <ns0:c r="X403" s="106"/>
      <ns0:c r="Y403" s="106"/>
      <ns0:c r="Z403" s="106"/>
      <ns0:c r="AA403" s="106"/>
      <ns0:c r="AB403" s="106"/>
      <ns0:c r="AC403" s="115"/>
    </ns0:row>
    <ns0:row r="404" spans="1:29">
      <ns0:c r="A404" s="106"/>
      <ns0:c r="B404" s="107"/>
      <ns0:c r="C404" s="108"/>
      <ns0:c r="D404" s="109"/>
      <ns0:c r="E404" s="106"/>
      <ns0:c r="F404" s="106"/>
      <ns0:c r="G404" s="106"/>
      <ns0:c r="H404" s="106"/>
      <ns0:c r="I404" s="106"/>
      <ns0:c r="J404" s="106"/>
      <ns0:c r="K404" s="106"/>
      <ns0:c r="L404" s="106"/>
      <ns0:c r="M404" s="106"/>
      <ns0:c r="N404" s="106"/>
      <ns0:c r="O404" s="106"/>
      <ns0:c r="P404" s="106"/>
      <ns0:c r="Q404" s="106"/>
      <ns0:c r="R404" s="106"/>
      <ns0:c r="S404" s="106"/>
      <ns0:c r="T404" s="106"/>
      <ns0:c r="U404" s="106"/>
      <ns0:c r="V404" s="106"/>
      <ns0:c r="W404" s="106"/>
      <ns0:c r="X404" s="106"/>
      <ns0:c r="Y404" s="106"/>
      <ns0:c r="Z404" s="106"/>
      <ns0:c r="AA404" s="106"/>
      <ns0:c r="AB404" s="106"/>
      <ns0:c r="AC404" s="115"/>
    </ns0:row>
    <ns0:row r="405" spans="1:29">
      <ns0:c r="A405" s="106"/>
      <ns0:c r="B405" s="107"/>
      <ns0:c r="C405" s="108"/>
      <ns0:c r="D405" s="109"/>
      <ns0:c r="E405" s="112"/>
      <ns0:c r="F405" s="112"/>
      <ns0:c r="G405" s="112"/>
      <ns0:c r="H405" s="112"/>
      <ns0:c r="I405" s="112"/>
      <ns0:c r="J405" s="112"/>
      <ns0:c r="K405" s="112"/>
      <ns0:c r="L405" s="112"/>
      <ns0:c r="M405" s="112"/>
      <ns0:c r="N405" s="112"/>
      <ns0:c r="O405" s="112"/>
      <ns0:c r="P405" s="112"/>
      <ns0:c r="Q405" s="112"/>
      <ns0:c r="R405" s="112"/>
      <ns0:c r="S405" s="112"/>
      <ns0:c r="T405" s="112"/>
      <ns0:c r="U405" s="112"/>
      <ns0:c r="V405" s="112"/>
      <ns0:c r="W405" s="112"/>
      <ns0:c r="X405" s="112"/>
      <ns0:c r="Y405" s="112"/>
      <ns0:c r="Z405" s="112"/>
      <ns0:c r="AA405" s="112"/>
      <ns0:c r="AB405" s="112"/>
      <ns0:c r="AC405" s="115"/>
    </ns0:row>
    <ns0:row r="406" spans="1:29">
      <ns0:c r="A406" s="106"/>
      <ns0:c r="B406" s="106"/>
      <ns0:c r="C406" s="106"/>
      <ns0:c r="D406" s="109"/>
      <ns0:c r="E406" s="112"/>
      <ns0:c r="F406" s="112"/>
      <ns0:c r="G406" s="112"/>
      <ns0:c r="H406" s="112"/>
      <ns0:c r="I406" s="112"/>
      <ns0:c r="J406" s="112"/>
      <ns0:c r="K406" s="112"/>
      <ns0:c r="L406" s="112"/>
      <ns0:c r="M406" s="112"/>
      <ns0:c r="N406" s="112"/>
      <ns0:c r="O406" s="112"/>
      <ns0:c r="P406" s="112"/>
      <ns0:c r="Q406" s="112"/>
      <ns0:c r="R406" s="112"/>
      <ns0:c r="S406" s="112"/>
      <ns0:c r="T406" s="112"/>
      <ns0:c r="U406" s="112"/>
      <ns0:c r="V406" s="112"/>
      <ns0:c r="W406" s="112"/>
      <ns0:c r="X406" s="112"/>
      <ns0:c r="Y406" s="112"/>
      <ns0:c r="Z406" s="112"/>
      <ns0:c r="AA406" s="112"/>
      <ns0:c r="AB406" s="112"/>
      <ns0:c r="AC406" s="112"/>
    </ns0:row>
    <ns0:row r="407" spans="1:29">
      <ns0:c r="A407" s="106"/>
      <ns0:c r="B407" s="107"/>
      <ns0:c r="C407" s="108"/>
      <ns0:c r="D407" s="109"/>
      <ns0:c r="E407" s="106"/>
      <ns0:c r="F407" s="106"/>
      <ns0:c r="G407" s="106"/>
      <ns0:c r="H407" s="106"/>
      <ns0:c r="I407" s="106"/>
      <ns0:c r="J407" s="106"/>
      <ns0:c r="K407" s="106"/>
      <ns0:c r="L407" s="106"/>
      <ns0:c r="M407" s="106"/>
      <ns0:c r="N407" s="106"/>
      <ns0:c r="O407" s="106"/>
      <ns0:c r="P407" s="106"/>
      <ns0:c r="Q407" s="106"/>
      <ns0:c r="R407" s="106"/>
      <ns0:c r="S407" s="106"/>
      <ns0:c r="T407" s="106"/>
      <ns0:c r="U407" s="106"/>
      <ns0:c r="V407" s="106"/>
      <ns0:c r="W407" s="106"/>
      <ns0:c r="X407" s="106"/>
      <ns0:c r="Y407" s="106"/>
      <ns0:c r="Z407" s="106"/>
      <ns0:c r="AA407" s="106"/>
      <ns0:c r="AB407" s="106"/>
      <ns0:c r="AC407" s="115"/>
    </ns0:row>
    <ns0:row r="408" spans="1:29">
      <ns0:c r="A408" s="106"/>
      <ns0:c r="B408" s="107"/>
      <ns0:c r="C408" s="108"/>
      <ns0:c r="D408" s="109"/>
      <ns0:c r="E408" s="106"/>
      <ns0:c r="F408" s="106"/>
      <ns0:c r="G408" s="106"/>
      <ns0:c r="H408" s="106"/>
      <ns0:c r="I408" s="106"/>
      <ns0:c r="J408" s="106"/>
      <ns0:c r="K408" s="106"/>
      <ns0:c r="L408" s="106"/>
      <ns0:c r="M408" s="106"/>
      <ns0:c r="N408" s="106"/>
      <ns0:c r="O408" s="106"/>
      <ns0:c r="P408" s="106"/>
      <ns0:c r="Q408" s="106"/>
      <ns0:c r="R408" s="106"/>
      <ns0:c r="S408" s="106"/>
      <ns0:c r="T408" s="106"/>
      <ns0:c r="U408" s="106"/>
      <ns0:c r="V408" s="106"/>
      <ns0:c r="W408" s="106"/>
      <ns0:c r="X408" s="106"/>
      <ns0:c r="Y408" s="106"/>
      <ns0:c r="Z408" s="106"/>
      <ns0:c r="AA408" s="106"/>
      <ns0:c r="AB408" s="106"/>
      <ns0:c r="AC408" s="115"/>
    </ns0:row>
    <ns0:row r="409" spans="1:29">
      <ns0:c r="A409" s="106"/>
      <ns0:c r="B409" s="107"/>
      <ns0:c r="C409" s="108"/>
      <ns0:c r="D409" s="109"/>
      <ns0:c r="E409" s="106"/>
      <ns0:c r="F409" s="106"/>
      <ns0:c r="G409" s="106"/>
      <ns0:c r="H409" s="106"/>
      <ns0:c r="I409" s="106"/>
      <ns0:c r="J409" s="106"/>
      <ns0:c r="K409" s="106"/>
      <ns0:c r="L409" s="106"/>
      <ns0:c r="M409" s="106"/>
      <ns0:c r="N409" s="106"/>
      <ns0:c r="O409" s="106"/>
      <ns0:c r="P409" s="106"/>
      <ns0:c r="Q409" s="106"/>
      <ns0:c r="R409" s="106"/>
      <ns0:c r="S409" s="106"/>
      <ns0:c r="T409" s="106"/>
      <ns0:c r="U409" s="106"/>
      <ns0:c r="V409" s="106"/>
      <ns0:c r="W409" s="106"/>
      <ns0:c r="X409" s="106"/>
      <ns0:c r="Y409" s="106"/>
      <ns0:c r="Z409" s="106"/>
      <ns0:c r="AA409" s="106"/>
      <ns0:c r="AB409" s="106"/>
      <ns0:c r="AC409" s="115"/>
    </ns0:row>
    <ns0:row r="410" spans="1:29">
      <ns0:c r="A410" s="106"/>
      <ns0:c r="B410" s="107"/>
      <ns0:c r="C410" s="108"/>
      <ns0:c r="D410" s="109"/>
      <ns0:c r="E410" s="106"/>
      <ns0:c r="F410" s="106"/>
      <ns0:c r="G410" s="106"/>
      <ns0:c r="H410" s="106"/>
      <ns0:c r="I410" s="106"/>
      <ns0:c r="J410" s="106"/>
      <ns0:c r="K410" s="106"/>
      <ns0:c r="L410" s="106"/>
      <ns0:c r="M410" s="106"/>
      <ns0:c r="N410" s="106"/>
      <ns0:c r="O410" s="106"/>
      <ns0:c r="P410" s="106"/>
      <ns0:c r="Q410" s="106"/>
      <ns0:c r="R410" s="106"/>
      <ns0:c r="S410" s="106"/>
      <ns0:c r="T410" s="106"/>
      <ns0:c r="U410" s="106"/>
      <ns0:c r="V410" s="106"/>
      <ns0:c r="W410" s="106"/>
      <ns0:c r="X410" s="106"/>
      <ns0:c r="Y410" s="106"/>
      <ns0:c r="Z410" s="106"/>
      <ns0:c r="AA410" s="106"/>
      <ns0:c r="AB410" s="106"/>
      <ns0:c r="AC410" s="115"/>
    </ns0:row>
    <ns0:row r="411" spans="1:29">
      <ns0:c r="A411" s="106"/>
      <ns0:c r="B411" s="107"/>
      <ns0:c r="C411" s="108"/>
      <ns0:c r="D411" s="109"/>
      <ns0:c r="E411" s="106"/>
      <ns0:c r="F411" s="106"/>
      <ns0:c r="G411" s="106"/>
      <ns0:c r="H411" s="106"/>
      <ns0:c r="I411" s="106"/>
      <ns0:c r="J411" s="106"/>
      <ns0:c r="K411" s="106"/>
      <ns0:c r="L411" s="106"/>
      <ns0:c r="M411" s="106"/>
      <ns0:c r="N411" s="106"/>
      <ns0:c r="O411" s="106"/>
      <ns0:c r="P411" s="106"/>
      <ns0:c r="Q411" s="106"/>
      <ns0:c r="R411" s="106"/>
      <ns0:c r="S411" s="106"/>
      <ns0:c r="T411" s="106"/>
      <ns0:c r="U411" s="106"/>
      <ns0:c r="V411" s="106"/>
      <ns0:c r="W411" s="106"/>
      <ns0:c r="X411" s="106"/>
      <ns0:c r="Y411" s="106"/>
      <ns0:c r="Z411" s="106"/>
      <ns0:c r="AA411" s="106"/>
      <ns0:c r="AB411" s="106"/>
      <ns0:c r="AC411" s="115"/>
    </ns0:row>
    <ns0:row r="412" spans="1:29">
      <ns0:c r="A412" s="106"/>
      <ns0:c r="B412" s="107"/>
      <ns0:c r="C412" s="108"/>
      <ns0:c r="D412" s="109"/>
      <ns0:c r="E412" s="106"/>
      <ns0:c r="F412" s="106"/>
      <ns0:c r="G412" s="106"/>
      <ns0:c r="H412" s="106"/>
      <ns0:c r="I412" s="106"/>
      <ns0:c r="J412" s="106"/>
      <ns0:c r="K412" s="106"/>
      <ns0:c r="L412" s="106"/>
      <ns0:c r="M412" s="106"/>
      <ns0:c r="N412" s="106"/>
      <ns0:c r="O412" s="106"/>
      <ns0:c r="P412" s="106"/>
      <ns0:c r="Q412" s="106"/>
      <ns0:c r="R412" s="106"/>
      <ns0:c r="S412" s="106"/>
      <ns0:c r="T412" s="106"/>
      <ns0:c r="U412" s="106"/>
      <ns0:c r="V412" s="106"/>
      <ns0:c r="W412" s="106"/>
      <ns0:c r="X412" s="106"/>
      <ns0:c r="Y412" s="106"/>
      <ns0:c r="Z412" s="106"/>
      <ns0:c r="AA412" s="106"/>
      <ns0:c r="AB412" s="106"/>
      <ns0:c r="AC412" s="115"/>
    </ns0:row>
    <ns0:row r="413" spans="1:29">
      <ns0:c r="A413" s="106"/>
      <ns0:c r="B413" s="107"/>
      <ns0:c r="C413" s="108"/>
      <ns0:c r="D413" s="109"/>
      <ns0:c r="E413" s="106"/>
      <ns0:c r="F413" s="106"/>
      <ns0:c r="G413" s="106"/>
      <ns0:c r="H413" s="106"/>
      <ns0:c r="I413" s="106"/>
      <ns0:c r="J413" s="106"/>
      <ns0:c r="K413" s="106"/>
      <ns0:c r="L413" s="106"/>
      <ns0:c r="M413" s="106"/>
      <ns0:c r="N413" s="106"/>
      <ns0:c r="O413" s="106"/>
      <ns0:c r="P413" s="106"/>
      <ns0:c r="Q413" s="106"/>
      <ns0:c r="R413" s="106"/>
      <ns0:c r="S413" s="106"/>
      <ns0:c r="T413" s="106"/>
      <ns0:c r="U413" s="106"/>
      <ns0:c r="V413" s="106"/>
      <ns0:c r="W413" s="106"/>
      <ns0:c r="X413" s="106"/>
      <ns0:c r="Y413" s="106"/>
      <ns0:c r="Z413" s="106"/>
      <ns0:c r="AA413" s="106"/>
      <ns0:c r="AB413" s="106"/>
      <ns0:c r="AC413" s="115"/>
    </ns0:row>
    <ns0:row r="414" spans="1:29">
      <ns0:c r="A414" s="106"/>
      <ns0:c r="B414" s="107"/>
      <ns0:c r="C414" s="108"/>
      <ns0:c r="D414" s="109"/>
      <ns0:c r="E414" s="106"/>
      <ns0:c r="F414" s="106"/>
      <ns0:c r="G414" s="106"/>
      <ns0:c r="H414" s="106"/>
      <ns0:c r="I414" s="106"/>
      <ns0:c r="J414" s="106"/>
      <ns0:c r="K414" s="106"/>
      <ns0:c r="L414" s="106"/>
      <ns0:c r="M414" s="106"/>
      <ns0:c r="N414" s="106"/>
      <ns0:c r="O414" s="106"/>
      <ns0:c r="P414" s="106"/>
      <ns0:c r="Q414" s="106"/>
      <ns0:c r="R414" s="106"/>
      <ns0:c r="S414" s="106"/>
      <ns0:c r="T414" s="106"/>
      <ns0:c r="U414" s="106"/>
      <ns0:c r="V414" s="106"/>
      <ns0:c r="W414" s="106"/>
      <ns0:c r="X414" s="106"/>
      <ns0:c r="Y414" s="106"/>
      <ns0:c r="Z414" s="106"/>
      <ns0:c r="AA414" s="106"/>
      <ns0:c r="AB414" s="106"/>
      <ns0:c r="AC414" s="115"/>
    </ns0:row>
    <ns0:row r="415" spans="1:29">
      <ns0:c r="A415" s="106"/>
      <ns0:c r="B415" s="110"/>
      <ns0:c r="C415" s="110"/>
      <ns0:c r="D415" s="109"/>
      <ns0:c r="E415" s="106"/>
      <ns0:c r="F415" s="106"/>
      <ns0:c r="G415" s="106"/>
      <ns0:c r="H415" s="106"/>
      <ns0:c r="I415" s="106"/>
      <ns0:c r="J415" s="106"/>
      <ns0:c r="K415" s="106"/>
      <ns0:c r="L415" s="106"/>
      <ns0:c r="M415" s="106"/>
      <ns0:c r="N415" s="106"/>
      <ns0:c r="O415" s="106"/>
      <ns0:c r="P415" s="106"/>
      <ns0:c r="Q415" s="106"/>
      <ns0:c r="R415" s="106"/>
      <ns0:c r="S415" s="106"/>
      <ns0:c r="T415" s="106"/>
      <ns0:c r="U415" s="106"/>
      <ns0:c r="V415" s="106"/>
      <ns0:c r="W415" s="106"/>
      <ns0:c r="X415" s="106"/>
      <ns0:c r="Y415" s="106"/>
      <ns0:c r="Z415" s="106"/>
      <ns0:c r="AA415" s="106"/>
      <ns0:c r="AB415" s="106"/>
      <ns0:c r="AC415" s="115"/>
    </ns0:row>
    <ns0:row r="416" spans="1:29">
      <ns0:c r="A416" s="106"/>
      <ns0:c r="B416" s="107"/>
      <ns0:c r="C416" s="108"/>
      <ns0:c r="D416" s="109"/>
      <ns0:c r="E416" s="106"/>
      <ns0:c r="F416" s="106"/>
      <ns0:c r="G416" s="106"/>
      <ns0:c r="H416" s="106"/>
      <ns0:c r="I416" s="106"/>
      <ns0:c r="J416" s="106"/>
      <ns0:c r="K416" s="106"/>
      <ns0:c r="L416" s="106"/>
      <ns0:c r="M416" s="106"/>
      <ns0:c r="N416" s="106"/>
      <ns0:c r="O416" s="106"/>
      <ns0:c r="P416" s="106"/>
      <ns0:c r="Q416" s="106"/>
      <ns0:c r="R416" s="106"/>
      <ns0:c r="S416" s="106"/>
      <ns0:c r="T416" s="106"/>
      <ns0:c r="U416" s="106"/>
      <ns0:c r="V416" s="106"/>
      <ns0:c r="W416" s="106"/>
      <ns0:c r="X416" s="106"/>
      <ns0:c r="Y416" s="106"/>
      <ns0:c r="Z416" s="106"/>
      <ns0:c r="AA416" s="106"/>
      <ns0:c r="AB416" s="106"/>
      <ns0:c r="AC416" s="115"/>
    </ns0:row>
    <ns0:row r="417" spans="1:29">
      <ns0:c r="A417" s="106"/>
      <ns0:c r="B417" s="107"/>
      <ns0:c r="C417" s="108"/>
      <ns0:c r="D417" s="109"/>
      <ns0:c r="E417" s="106"/>
      <ns0:c r="F417" s="106"/>
      <ns0:c r="G417" s="106"/>
      <ns0:c r="H417" s="106"/>
      <ns0:c r="I417" s="106"/>
      <ns0:c r="J417" s="106"/>
      <ns0:c r="K417" s="106"/>
      <ns0:c r="L417" s="106"/>
      <ns0:c r="M417" s="106"/>
      <ns0:c r="N417" s="106"/>
      <ns0:c r="O417" s="106"/>
      <ns0:c r="P417" s="106"/>
      <ns0:c r="Q417" s="106"/>
      <ns0:c r="R417" s="106"/>
      <ns0:c r="S417" s="106"/>
      <ns0:c r="T417" s="106"/>
      <ns0:c r="U417" s="106"/>
      <ns0:c r="V417" s="106"/>
      <ns0:c r="W417" s="106"/>
      <ns0:c r="X417" s="106"/>
      <ns0:c r="Y417" s="106"/>
      <ns0:c r="Z417" s="106"/>
      <ns0:c r="AA417" s="106"/>
      <ns0:c r="AB417" s="106"/>
      <ns0:c r="AC417" s="115"/>
    </ns0:row>
    <ns0:row r="418" spans="1:29">
      <ns0:c r="A418" s="106"/>
      <ns0:c r="B418" s="107"/>
      <ns0:c r="C418" s="108"/>
      <ns0:c r="D418" s="109"/>
      <ns0:c r="E418" s="112"/>
      <ns0:c r="F418" s="112"/>
      <ns0:c r="G418" s="112"/>
      <ns0:c r="H418" s="112"/>
      <ns0:c r="I418" s="112"/>
      <ns0:c r="J418" s="112"/>
      <ns0:c r="K418" s="112"/>
      <ns0:c r="L418" s="112"/>
      <ns0:c r="M418" s="112"/>
      <ns0:c r="N418" s="112"/>
      <ns0:c r="O418" s="112"/>
      <ns0:c r="P418" s="112"/>
      <ns0:c r="Q418" s="112"/>
      <ns0:c r="R418" s="112"/>
      <ns0:c r="S418" s="112"/>
      <ns0:c r="T418" s="112"/>
      <ns0:c r="U418" s="112"/>
      <ns0:c r="V418" s="112"/>
      <ns0:c r="W418" s="112"/>
      <ns0:c r="X418" s="112"/>
      <ns0:c r="Y418" s="112"/>
      <ns0:c r="Z418" s="112"/>
      <ns0:c r="AA418" s="112"/>
      <ns0:c r="AB418" s="112"/>
      <ns0:c r="AC418" s="115"/>
    </ns0:row>
    <ns0:row r="419" spans="1:29">
      <ns0:c r="A419" s="106"/>
      <ns0:c r="B419" s="106"/>
      <ns0:c r="C419" s="106"/>
      <ns0:c r="D419" s="109"/>
      <ns0:c r="E419" s="112"/>
      <ns0:c r="F419" s="112"/>
      <ns0:c r="G419" s="112"/>
      <ns0:c r="H419" s="112"/>
      <ns0:c r="I419" s="112"/>
      <ns0:c r="J419" s="112"/>
      <ns0:c r="K419" s="112"/>
      <ns0:c r="L419" s="112"/>
      <ns0:c r="M419" s="112"/>
      <ns0:c r="N419" s="112"/>
      <ns0:c r="O419" s="112"/>
      <ns0:c r="P419" s="112"/>
      <ns0:c r="Q419" s="112"/>
      <ns0:c r="R419" s="112"/>
      <ns0:c r="S419" s="112"/>
      <ns0:c r="T419" s="112"/>
      <ns0:c r="U419" s="112"/>
      <ns0:c r="V419" s="112"/>
      <ns0:c r="W419" s="112"/>
      <ns0:c r="X419" s="112"/>
      <ns0:c r="Y419" s="112"/>
      <ns0:c r="Z419" s="112"/>
      <ns0:c r="AA419" s="112"/>
      <ns0:c r="AB419" s="112"/>
      <ns0:c r="AC419" s="112"/>
    </ns0:row>
    <ns0:row r="420" spans="1:29">
      <ns0:c r="A420" s="106"/>
      <ns0:c r="B420" s="107"/>
      <ns0:c r="C420" s="108"/>
      <ns0:c r="D420" s="109"/>
      <ns0:c r="E420" s="106"/>
      <ns0:c r="F420" s="106"/>
      <ns0:c r="G420" s="106"/>
      <ns0:c r="H420" s="106"/>
      <ns0:c r="I420" s="106"/>
      <ns0:c r="J420" s="106"/>
      <ns0:c r="K420" s="106"/>
      <ns0:c r="L420" s="106"/>
      <ns0:c r="M420" s="106"/>
      <ns0:c r="N420" s="106"/>
      <ns0:c r="O420" s="106"/>
      <ns0:c r="P420" s="106"/>
      <ns0:c r="Q420" s="106"/>
      <ns0:c r="R420" s="106"/>
      <ns0:c r="S420" s="106"/>
      <ns0:c r="T420" s="106"/>
      <ns0:c r="U420" s="106"/>
      <ns0:c r="V420" s="106"/>
      <ns0:c r="W420" s="106"/>
      <ns0:c r="X420" s="106"/>
      <ns0:c r="Y420" s="106"/>
      <ns0:c r="Z420" s="106"/>
      <ns0:c r="AA420" s="106"/>
      <ns0:c r="AB420" s="106"/>
      <ns0:c r="AC420" s="115"/>
    </ns0:row>
    <ns0:row r="421" spans="1:29">
      <ns0:c r="A421" s="106"/>
      <ns0:c r="B421" s="107"/>
      <ns0:c r="C421" s="108"/>
      <ns0:c r="D421" s="109"/>
      <ns0:c r="E421" s="106"/>
      <ns0:c r="F421" s="106"/>
      <ns0:c r="G421" s="106"/>
      <ns0:c r="H421" s="106"/>
      <ns0:c r="I421" s="106"/>
      <ns0:c r="J421" s="106"/>
      <ns0:c r="K421" s="106"/>
      <ns0:c r="L421" s="106"/>
      <ns0:c r="M421" s="106"/>
      <ns0:c r="N421" s="106"/>
      <ns0:c r="O421" s="106"/>
      <ns0:c r="P421" s="106"/>
      <ns0:c r="Q421" s="106"/>
      <ns0:c r="R421" s="106"/>
      <ns0:c r="S421" s="106"/>
      <ns0:c r="T421" s="106"/>
      <ns0:c r="U421" s="106"/>
      <ns0:c r="V421" s="106"/>
      <ns0:c r="W421" s="106"/>
      <ns0:c r="X421" s="106"/>
      <ns0:c r="Y421" s="106"/>
      <ns0:c r="Z421" s="106"/>
      <ns0:c r="AA421" s="106"/>
      <ns0:c r="AB421" s="106"/>
      <ns0:c r="AC421" s="115"/>
    </ns0:row>
    <ns0:row r="422" spans="1:29">
      <ns0:c r="A422" s="106"/>
      <ns0:c r="B422" s="107"/>
      <ns0:c r="C422" s="108"/>
      <ns0:c r="D422" s="109"/>
      <ns0:c r="E422" s="106"/>
      <ns0:c r="F422" s="106"/>
      <ns0:c r="G422" s="106"/>
      <ns0:c r="H422" s="106"/>
      <ns0:c r="I422" s="106"/>
      <ns0:c r="J422" s="106"/>
      <ns0:c r="K422" s="106"/>
      <ns0:c r="L422" s="106"/>
      <ns0:c r="M422" s="106"/>
      <ns0:c r="N422" s="106"/>
      <ns0:c r="O422" s="106"/>
      <ns0:c r="P422" s="106"/>
      <ns0:c r="Q422" s="106"/>
      <ns0:c r="R422" s="106"/>
      <ns0:c r="S422" s="106"/>
      <ns0:c r="T422" s="106"/>
      <ns0:c r="U422" s="106"/>
      <ns0:c r="V422" s="106"/>
      <ns0:c r="W422" s="106"/>
      <ns0:c r="X422" s="106"/>
      <ns0:c r="Y422" s="106"/>
      <ns0:c r="Z422" s="106"/>
      <ns0:c r="AA422" s="106"/>
      <ns0:c r="AB422" s="106"/>
      <ns0:c r="AC422" s="115"/>
    </ns0:row>
    <ns0:row r="423" spans="1:29">
      <ns0:c r="A423" s="106"/>
      <ns0:c r="B423" s="107"/>
      <ns0:c r="C423" s="108"/>
      <ns0:c r="D423" s="109"/>
      <ns0:c r="E423" s="106"/>
      <ns0:c r="F423" s="106"/>
      <ns0:c r="G423" s="106"/>
      <ns0:c r="H423" s="106"/>
      <ns0:c r="I423" s="106"/>
      <ns0:c r="J423" s="106"/>
      <ns0:c r="K423" s="106"/>
      <ns0:c r="L423" s="106"/>
      <ns0:c r="M423" s="106"/>
      <ns0:c r="N423" s="106"/>
      <ns0:c r="O423" s="106"/>
      <ns0:c r="P423" s="106"/>
      <ns0:c r="Q423" s="106"/>
      <ns0:c r="R423" s="106"/>
      <ns0:c r="S423" s="106"/>
      <ns0:c r="T423" s="106"/>
      <ns0:c r="U423" s="106"/>
      <ns0:c r="V423" s="106"/>
      <ns0:c r="W423" s="106"/>
      <ns0:c r="X423" s="106"/>
      <ns0:c r="Y423" s="106"/>
      <ns0:c r="Z423" s="106"/>
      <ns0:c r="AA423" s="106"/>
      <ns0:c r="AB423" s="106"/>
      <ns0:c r="AC423" s="115"/>
    </ns0:row>
    <ns0:row r="424" spans="1:29">
      <ns0:c r="A424" s="106"/>
      <ns0:c r="B424" s="107"/>
      <ns0:c r="C424" s="108"/>
      <ns0:c r="D424" s="109"/>
      <ns0:c r="E424" s="106"/>
      <ns0:c r="F424" s="106"/>
      <ns0:c r="G424" s="106"/>
      <ns0:c r="H424" s="106"/>
      <ns0:c r="I424" s="106"/>
      <ns0:c r="J424" s="106"/>
      <ns0:c r="K424" s="106"/>
      <ns0:c r="L424" s="106"/>
      <ns0:c r="M424" s="106"/>
      <ns0:c r="N424" s="106"/>
      <ns0:c r="O424" s="106"/>
      <ns0:c r="P424" s="106"/>
      <ns0:c r="Q424" s="106"/>
      <ns0:c r="R424" s="106"/>
      <ns0:c r="S424" s="106"/>
      <ns0:c r="T424" s="106"/>
      <ns0:c r="U424" s="106"/>
      <ns0:c r="V424" s="106"/>
      <ns0:c r="W424" s="106"/>
      <ns0:c r="X424" s="106"/>
      <ns0:c r="Y424" s="106"/>
      <ns0:c r="Z424" s="106"/>
      <ns0:c r="AA424" s="106"/>
      <ns0:c r="AB424" s="106"/>
      <ns0:c r="AC424" s="115"/>
    </ns0:row>
    <ns0:row r="425" spans="1:29">
      <ns0:c r="A425" s="106"/>
      <ns0:c r="B425" s="107"/>
      <ns0:c r="C425" s="108"/>
      <ns0:c r="D425" s="109"/>
      <ns0:c r="E425" s="106"/>
      <ns0:c r="F425" s="106"/>
      <ns0:c r="G425" s="106"/>
      <ns0:c r="H425" s="106"/>
      <ns0:c r="I425" s="106"/>
      <ns0:c r="J425" s="106"/>
      <ns0:c r="K425" s="106"/>
      <ns0:c r="L425" s="106"/>
      <ns0:c r="M425" s="106"/>
      <ns0:c r="N425" s="106"/>
      <ns0:c r="O425" s="106"/>
      <ns0:c r="P425" s="106"/>
      <ns0:c r="Q425" s="106"/>
      <ns0:c r="R425" s="106"/>
      <ns0:c r="S425" s="106"/>
      <ns0:c r="T425" s="106"/>
      <ns0:c r="U425" s="106"/>
      <ns0:c r="V425" s="106"/>
      <ns0:c r="W425" s="106"/>
      <ns0:c r="X425" s="106"/>
      <ns0:c r="Y425" s="106"/>
      <ns0:c r="Z425" s="106"/>
      <ns0:c r="AA425" s="106"/>
      <ns0:c r="AB425" s="106"/>
      <ns0:c r="AC425" s="115"/>
    </ns0:row>
    <ns0:row r="426" spans="1:29">
      <ns0:c r="A426" s="106"/>
      <ns0:c r="B426" s="107"/>
      <ns0:c r="C426" s="108"/>
      <ns0:c r="D426" s="109"/>
      <ns0:c r="E426" s="106"/>
      <ns0:c r="F426" s="106"/>
      <ns0:c r="G426" s="106"/>
      <ns0:c r="H426" s="106"/>
      <ns0:c r="I426" s="106"/>
      <ns0:c r="J426" s="106"/>
      <ns0:c r="K426" s="106"/>
      <ns0:c r="L426" s="106"/>
      <ns0:c r="M426" s="106"/>
      <ns0:c r="N426" s="106"/>
      <ns0:c r="O426" s="106"/>
      <ns0:c r="P426" s="106"/>
      <ns0:c r="Q426" s="106"/>
      <ns0:c r="R426" s="106"/>
      <ns0:c r="S426" s="106"/>
      <ns0:c r="T426" s="106"/>
      <ns0:c r="U426" s="106"/>
      <ns0:c r="V426" s="106"/>
      <ns0:c r="W426" s="106"/>
      <ns0:c r="X426" s="106"/>
      <ns0:c r="Y426" s="106"/>
      <ns0:c r="Z426" s="106"/>
      <ns0:c r="AA426" s="106"/>
      <ns0:c r="AB426" s="106"/>
      <ns0:c r="AC426" s="115"/>
    </ns0:row>
    <ns0:row r="427" spans="1:29">
      <ns0:c r="A427" s="106"/>
      <ns0:c r="B427" s="107"/>
      <ns0:c r="C427" s="108"/>
      <ns0:c r="D427" s="109"/>
      <ns0:c r="E427" s="106"/>
      <ns0:c r="F427" s="106"/>
      <ns0:c r="G427" s="106"/>
      <ns0:c r="H427" s="106"/>
      <ns0:c r="I427" s="106"/>
      <ns0:c r="J427" s="106"/>
      <ns0:c r="K427" s="106"/>
      <ns0:c r="L427" s="106"/>
      <ns0:c r="M427" s="106"/>
      <ns0:c r="N427" s="106"/>
      <ns0:c r="O427" s="106"/>
      <ns0:c r="P427" s="106"/>
      <ns0:c r="Q427" s="106"/>
      <ns0:c r="R427" s="106"/>
      <ns0:c r="S427" s="106"/>
      <ns0:c r="T427" s="106"/>
      <ns0:c r="U427" s="106"/>
      <ns0:c r="V427" s="106"/>
      <ns0:c r="W427" s="106"/>
      <ns0:c r="X427" s="106"/>
      <ns0:c r="Y427" s="106"/>
      <ns0:c r="Z427" s="106"/>
      <ns0:c r="AA427" s="106"/>
      <ns0:c r="AB427" s="106"/>
      <ns0:c r="AC427" s="115"/>
    </ns0:row>
    <ns0:row r="428" spans="1:29">
      <ns0:c r="A428" s="106"/>
      <ns0:c r="B428" s="110"/>
      <ns0:c r="C428" s="110"/>
      <ns0:c r="D428" s="109"/>
      <ns0:c r="E428" s="106"/>
      <ns0:c r="F428" s="106"/>
      <ns0:c r="G428" s="106"/>
      <ns0:c r="H428" s="106"/>
      <ns0:c r="I428" s="106"/>
      <ns0:c r="J428" s="106"/>
      <ns0:c r="K428" s="106"/>
      <ns0:c r="L428" s="106"/>
      <ns0:c r="M428" s="106"/>
      <ns0:c r="N428" s="106"/>
      <ns0:c r="O428" s="106"/>
      <ns0:c r="P428" s="106"/>
      <ns0:c r="Q428" s="106"/>
      <ns0:c r="R428" s="106"/>
      <ns0:c r="S428" s="106"/>
      <ns0:c r="T428" s="106"/>
      <ns0:c r="U428" s="106"/>
      <ns0:c r="V428" s="106"/>
      <ns0:c r="W428" s="106"/>
      <ns0:c r="X428" s="106"/>
      <ns0:c r="Y428" s="106"/>
      <ns0:c r="Z428" s="106"/>
      <ns0:c r="AA428" s="106"/>
      <ns0:c r="AB428" s="106"/>
      <ns0:c r="AC428" s="115"/>
    </ns0:row>
    <ns0:row r="429" spans="1:29">
      <ns0:c r="A429" s="106"/>
      <ns0:c r="B429" s="107"/>
      <ns0:c r="C429" s="108"/>
      <ns0:c r="D429" s="109"/>
      <ns0:c r="E429" s="106"/>
      <ns0:c r="F429" s="106"/>
      <ns0:c r="G429" s="106"/>
      <ns0:c r="H429" s="106"/>
      <ns0:c r="I429" s="106"/>
      <ns0:c r="J429" s="106"/>
      <ns0:c r="K429" s="106"/>
      <ns0:c r="L429" s="106"/>
      <ns0:c r="M429" s="106"/>
      <ns0:c r="N429" s="106"/>
      <ns0:c r="O429" s="106"/>
      <ns0:c r="P429" s="106"/>
      <ns0:c r="Q429" s="106"/>
      <ns0:c r="R429" s="106"/>
      <ns0:c r="S429" s="106"/>
      <ns0:c r="T429" s="106"/>
      <ns0:c r="U429" s="106"/>
      <ns0:c r="V429" s="106"/>
      <ns0:c r="W429" s="106"/>
      <ns0:c r="X429" s="106"/>
      <ns0:c r="Y429" s="106"/>
      <ns0:c r="Z429" s="106"/>
      <ns0:c r="AA429" s="106"/>
      <ns0:c r="AB429" s="106"/>
      <ns0:c r="AC429" s="115"/>
    </ns0:row>
    <ns0:row r="430" spans="1:29">
      <ns0:c r="A430" s="106"/>
      <ns0:c r="B430" s="107"/>
      <ns0:c r="C430" s="108"/>
      <ns0:c r="D430" s="109"/>
      <ns0:c r="E430" s="106"/>
      <ns0:c r="F430" s="106"/>
      <ns0:c r="G430" s="106"/>
      <ns0:c r="H430" s="106"/>
      <ns0:c r="I430" s="106"/>
      <ns0:c r="J430" s="106"/>
      <ns0:c r="K430" s="106"/>
      <ns0:c r="L430" s="106"/>
      <ns0:c r="M430" s="106"/>
      <ns0:c r="N430" s="106"/>
      <ns0:c r="O430" s="106"/>
      <ns0:c r="P430" s="106"/>
      <ns0:c r="Q430" s="106"/>
      <ns0:c r="R430" s="106"/>
      <ns0:c r="S430" s="106"/>
      <ns0:c r="T430" s="106"/>
      <ns0:c r="U430" s="106"/>
      <ns0:c r="V430" s="106"/>
      <ns0:c r="W430" s="106"/>
      <ns0:c r="X430" s="106"/>
      <ns0:c r="Y430" s="106"/>
      <ns0:c r="Z430" s="106"/>
      <ns0:c r="AA430" s="106"/>
      <ns0:c r="AB430" s="106"/>
      <ns0:c r="AC430" s="115"/>
    </ns0:row>
    <ns0:row r="431" spans="1:29">
      <ns0:c r="A431" s="106"/>
      <ns0:c r="B431" s="107"/>
      <ns0:c r="C431" s="108"/>
      <ns0:c r="D431" s="109"/>
      <ns0:c r="E431" s="112"/>
      <ns0:c r="F431" s="112"/>
      <ns0:c r="G431" s="112"/>
      <ns0:c r="H431" s="112"/>
      <ns0:c r="I431" s="112"/>
      <ns0:c r="J431" s="112"/>
      <ns0:c r="K431" s="112"/>
      <ns0:c r="L431" s="112"/>
      <ns0:c r="M431" s="112"/>
      <ns0:c r="N431" s="112"/>
      <ns0:c r="O431" s="112"/>
      <ns0:c r="P431" s="112"/>
      <ns0:c r="Q431" s="112"/>
      <ns0:c r="R431" s="112"/>
      <ns0:c r="S431" s="112"/>
      <ns0:c r="T431" s="112"/>
      <ns0:c r="U431" s="112"/>
      <ns0:c r="V431" s="112"/>
      <ns0:c r="W431" s="112"/>
      <ns0:c r="X431" s="112"/>
      <ns0:c r="Y431" s="112"/>
      <ns0:c r="Z431" s="112"/>
      <ns0:c r="AA431" s="112"/>
      <ns0:c r="AB431" s="112"/>
      <ns0:c r="AC431" s="115"/>
    </ns0:row>
    <ns0:row r="432" spans="1:29">
      <ns0:c r="A432" s="106"/>
      <ns0:c r="B432" s="106"/>
      <ns0:c r="C432" s="106"/>
      <ns0:c r="D432" s="109"/>
      <ns0:c r="E432" s="112"/>
      <ns0:c r="F432" s="112"/>
      <ns0:c r="G432" s="112"/>
      <ns0:c r="H432" s="112"/>
      <ns0:c r="I432" s="112"/>
      <ns0:c r="J432" s="112"/>
      <ns0:c r="K432" s="112"/>
      <ns0:c r="L432" s="112"/>
      <ns0:c r="M432" s="112"/>
      <ns0:c r="N432" s="112"/>
      <ns0:c r="O432" s="112"/>
      <ns0:c r="P432" s="112"/>
      <ns0:c r="Q432" s="112"/>
      <ns0:c r="R432" s="112"/>
      <ns0:c r="S432" s="112"/>
      <ns0:c r="T432" s="112"/>
      <ns0:c r="U432" s="112"/>
      <ns0:c r="V432" s="112"/>
      <ns0:c r="W432" s="112"/>
      <ns0:c r="X432" s="112"/>
      <ns0:c r="Y432" s="112"/>
      <ns0:c r="Z432" s="112"/>
      <ns0:c r="AA432" s="112"/>
      <ns0:c r="AB432" s="112"/>
      <ns0:c r="AC432" s="112"/>
    </ns0:row>
    <ns0:row r="433" spans="1:29">
      <ns0:c r="A433" s="106"/>
      <ns0:c r="B433" s="107"/>
      <ns0:c r="C433" s="108"/>
      <ns0:c r="D433" s="109"/>
      <ns0:c r="E433" s="106"/>
      <ns0:c r="F433" s="106"/>
      <ns0:c r="G433" s="106"/>
      <ns0:c r="H433" s="106"/>
      <ns0:c r="I433" s="106"/>
      <ns0:c r="J433" s="106"/>
      <ns0:c r="K433" s="106"/>
      <ns0:c r="L433" s="106"/>
      <ns0:c r="M433" s="106"/>
      <ns0:c r="N433" s="106"/>
      <ns0:c r="O433" s="106"/>
      <ns0:c r="P433" s="106"/>
      <ns0:c r="Q433" s="106"/>
      <ns0:c r="R433" s="106"/>
      <ns0:c r="S433" s="106"/>
      <ns0:c r="T433" s="106"/>
      <ns0:c r="U433" s="106"/>
      <ns0:c r="V433" s="106"/>
      <ns0:c r="W433" s="106"/>
      <ns0:c r="X433" s="106"/>
      <ns0:c r="Y433" s="106"/>
      <ns0:c r="Z433" s="106"/>
      <ns0:c r="AA433" s="106"/>
      <ns0:c r="AB433" s="106"/>
      <ns0:c r="AC433" s="115"/>
    </ns0:row>
    <ns0:row r="434" spans="1:29">
      <ns0:c r="A434" s="106"/>
      <ns0:c r="B434" s="107"/>
      <ns0:c r="C434" s="108"/>
      <ns0:c r="D434" s="109"/>
      <ns0:c r="E434" s="106"/>
      <ns0:c r="F434" s="106"/>
      <ns0:c r="G434" s="106"/>
      <ns0:c r="H434" s="106"/>
      <ns0:c r="I434" s="106"/>
      <ns0:c r="J434" s="106"/>
      <ns0:c r="K434" s="106"/>
      <ns0:c r="L434" s="106"/>
      <ns0:c r="M434" s="106"/>
      <ns0:c r="N434" s="106"/>
      <ns0:c r="O434" s="106"/>
      <ns0:c r="P434" s="106"/>
      <ns0:c r="Q434" s="106"/>
      <ns0:c r="R434" s="106"/>
      <ns0:c r="S434" s="106"/>
      <ns0:c r="T434" s="106"/>
      <ns0:c r="U434" s="106"/>
      <ns0:c r="V434" s="106"/>
      <ns0:c r="W434" s="106"/>
      <ns0:c r="X434" s="106"/>
      <ns0:c r="Y434" s="106"/>
      <ns0:c r="Z434" s="106"/>
      <ns0:c r="AA434" s="106"/>
      <ns0:c r="AB434" s="106"/>
      <ns0:c r="AC434" s="115"/>
    </ns0:row>
    <ns0:row r="435" spans="1:29">
      <ns0:c r="A435" s="106"/>
      <ns0:c r="B435" s="107"/>
      <ns0:c r="C435" s="108"/>
      <ns0:c r="D435" s="109"/>
      <ns0:c r="E435" s="106"/>
      <ns0:c r="F435" s="106"/>
      <ns0:c r="G435" s="106"/>
      <ns0:c r="H435" s="106"/>
      <ns0:c r="I435" s="106"/>
      <ns0:c r="J435" s="106"/>
      <ns0:c r="K435" s="106"/>
      <ns0:c r="L435" s="106"/>
      <ns0:c r="M435" s="106"/>
      <ns0:c r="N435" s="106"/>
      <ns0:c r="O435" s="106"/>
      <ns0:c r="P435" s="106"/>
      <ns0:c r="Q435" s="106"/>
      <ns0:c r="R435" s="106"/>
      <ns0:c r="S435" s="106"/>
      <ns0:c r="T435" s="106"/>
      <ns0:c r="U435" s="106"/>
      <ns0:c r="V435" s="106"/>
      <ns0:c r="W435" s="106"/>
      <ns0:c r="X435" s="106"/>
      <ns0:c r="Y435" s="106"/>
      <ns0:c r="Z435" s="106"/>
      <ns0:c r="AA435" s="106"/>
      <ns0:c r="AB435" s="106"/>
      <ns0:c r="AC435" s="115"/>
    </ns0:row>
    <ns0:row r="436" spans="1:29">
      <ns0:c r="A436" s="106"/>
      <ns0:c r="B436" s="107"/>
      <ns0:c r="C436" s="108"/>
      <ns0:c r="D436" s="109"/>
      <ns0:c r="E436" s="106"/>
      <ns0:c r="F436" s="106"/>
      <ns0:c r="G436" s="106"/>
      <ns0:c r="H436" s="106"/>
      <ns0:c r="I436" s="106"/>
      <ns0:c r="J436" s="106"/>
      <ns0:c r="K436" s="106"/>
      <ns0:c r="L436" s="106"/>
      <ns0:c r="M436" s="106"/>
      <ns0:c r="N436" s="106"/>
      <ns0:c r="O436" s="106"/>
      <ns0:c r="P436" s="106"/>
      <ns0:c r="Q436" s="106"/>
      <ns0:c r="R436" s="106"/>
      <ns0:c r="S436" s="106"/>
      <ns0:c r="T436" s="106"/>
      <ns0:c r="U436" s="106"/>
      <ns0:c r="V436" s="106"/>
      <ns0:c r="W436" s="106"/>
      <ns0:c r="X436" s="106"/>
      <ns0:c r="Y436" s="106"/>
      <ns0:c r="Z436" s="106"/>
      <ns0:c r="AA436" s="106"/>
      <ns0:c r="AB436" s="106"/>
      <ns0:c r="AC436" s="115"/>
    </ns0:row>
    <ns0:row r="437" spans="1:29">
      <ns0:c r="A437" s="106"/>
      <ns0:c r="B437" s="107"/>
      <ns0:c r="C437" s="108"/>
      <ns0:c r="D437" s="109"/>
      <ns0:c r="E437" s="106"/>
      <ns0:c r="F437" s="106"/>
      <ns0:c r="G437" s="106"/>
      <ns0:c r="H437" s="106"/>
      <ns0:c r="I437" s="106"/>
      <ns0:c r="J437" s="106"/>
      <ns0:c r="K437" s="106"/>
      <ns0:c r="L437" s="106"/>
      <ns0:c r="M437" s="106"/>
      <ns0:c r="N437" s="106"/>
      <ns0:c r="O437" s="106"/>
      <ns0:c r="P437" s="106"/>
      <ns0:c r="Q437" s="106"/>
      <ns0:c r="R437" s="106"/>
      <ns0:c r="S437" s="106"/>
      <ns0:c r="T437" s="106"/>
      <ns0:c r="U437" s="106"/>
      <ns0:c r="V437" s="106"/>
      <ns0:c r="W437" s="106"/>
      <ns0:c r="X437" s="106"/>
      <ns0:c r="Y437" s="106"/>
      <ns0:c r="Z437" s="106"/>
      <ns0:c r="AA437" s="106"/>
      <ns0:c r="AB437" s="106"/>
      <ns0:c r="AC437" s="115"/>
    </ns0:row>
    <ns0:row r="438" spans="1:29">
      <ns0:c r="A438" s="106"/>
      <ns0:c r="B438" s="107"/>
      <ns0:c r="C438" s="108"/>
      <ns0:c r="D438" s="109"/>
      <ns0:c r="E438" s="106"/>
      <ns0:c r="F438" s="106"/>
      <ns0:c r="G438" s="106"/>
      <ns0:c r="H438" s="106"/>
      <ns0:c r="I438" s="106"/>
      <ns0:c r="J438" s="106"/>
      <ns0:c r="K438" s="106"/>
      <ns0:c r="L438" s="106"/>
      <ns0:c r="M438" s="106"/>
      <ns0:c r="N438" s="106"/>
      <ns0:c r="O438" s="106"/>
      <ns0:c r="P438" s="106"/>
      <ns0:c r="Q438" s="106"/>
      <ns0:c r="R438" s="106"/>
      <ns0:c r="S438" s="106"/>
      <ns0:c r="T438" s="106"/>
      <ns0:c r="U438" s="106"/>
      <ns0:c r="V438" s="106"/>
      <ns0:c r="W438" s="106"/>
      <ns0:c r="X438" s="106"/>
      <ns0:c r="Y438" s="106"/>
      <ns0:c r="Z438" s="106"/>
      <ns0:c r="AA438" s="106"/>
      <ns0:c r="AB438" s="106"/>
      <ns0:c r="AC438" s="115"/>
    </ns0:row>
    <ns0:row r="439" spans="1:29">
      <ns0:c r="A439" s="106"/>
      <ns0:c r="B439" s="107"/>
      <ns0:c r="C439" s="108"/>
      <ns0:c r="D439" s="109"/>
      <ns0:c r="E439" s="106"/>
      <ns0:c r="F439" s="106"/>
      <ns0:c r="G439" s="106"/>
      <ns0:c r="H439" s="106"/>
      <ns0:c r="I439" s="106"/>
      <ns0:c r="J439" s="106"/>
      <ns0:c r="K439" s="106"/>
      <ns0:c r="L439" s="106"/>
      <ns0:c r="M439" s="106"/>
      <ns0:c r="N439" s="106"/>
      <ns0:c r="O439" s="106"/>
      <ns0:c r="P439" s="106"/>
      <ns0:c r="Q439" s="106"/>
      <ns0:c r="R439" s="106"/>
      <ns0:c r="S439" s="106"/>
      <ns0:c r="T439" s="106"/>
      <ns0:c r="U439" s="106"/>
      <ns0:c r="V439" s="106"/>
      <ns0:c r="W439" s="106"/>
      <ns0:c r="X439" s="106"/>
      <ns0:c r="Y439" s="106"/>
      <ns0:c r="Z439" s="106"/>
      <ns0:c r="AA439" s="106"/>
      <ns0:c r="AB439" s="106"/>
      <ns0:c r="AC439" s="115"/>
    </ns0:row>
    <ns0:row r="440" spans="1:29">
      <ns0:c r="A440" s="106"/>
      <ns0:c r="B440" s="107"/>
      <ns0:c r="C440" s="108"/>
      <ns0:c r="D440" s="109"/>
      <ns0:c r="E440" s="106"/>
      <ns0:c r="F440" s="106"/>
      <ns0:c r="G440" s="106"/>
      <ns0:c r="H440" s="106"/>
      <ns0:c r="I440" s="106"/>
      <ns0:c r="J440" s="106"/>
      <ns0:c r="K440" s="106"/>
      <ns0:c r="L440" s="106"/>
      <ns0:c r="M440" s="106"/>
      <ns0:c r="N440" s="106"/>
      <ns0:c r="O440" s="106"/>
      <ns0:c r="P440" s="106"/>
      <ns0:c r="Q440" s="106"/>
      <ns0:c r="R440" s="106"/>
      <ns0:c r="S440" s="106"/>
      <ns0:c r="T440" s="106"/>
      <ns0:c r="U440" s="106"/>
      <ns0:c r="V440" s="106"/>
      <ns0:c r="W440" s="106"/>
      <ns0:c r="X440" s="106"/>
      <ns0:c r="Y440" s="106"/>
      <ns0:c r="Z440" s="106"/>
      <ns0:c r="AA440" s="106"/>
      <ns0:c r="AB440" s="106"/>
      <ns0:c r="AC440" s="115"/>
    </ns0:row>
    <ns0:row r="441" spans="1:29">
      <ns0:c r="A441" s="106"/>
      <ns0:c r="B441" s="110"/>
      <ns0:c r="C441" s="110"/>
      <ns0:c r="D441" s="109"/>
      <ns0:c r="E441" s="106"/>
      <ns0:c r="F441" s="106"/>
      <ns0:c r="G441" s="106"/>
      <ns0:c r="H441" s="106"/>
      <ns0:c r="I441" s="106"/>
      <ns0:c r="J441" s="106"/>
      <ns0:c r="K441" s="106"/>
      <ns0:c r="L441" s="106"/>
      <ns0:c r="M441" s="106"/>
      <ns0:c r="N441" s="106"/>
      <ns0:c r="O441" s="106"/>
      <ns0:c r="P441" s="106"/>
      <ns0:c r="Q441" s="106"/>
      <ns0:c r="R441" s="106"/>
      <ns0:c r="S441" s="106"/>
      <ns0:c r="T441" s="106"/>
      <ns0:c r="U441" s="106"/>
      <ns0:c r="V441" s="106"/>
      <ns0:c r="W441" s="106"/>
      <ns0:c r="X441" s="106"/>
      <ns0:c r="Y441" s="106"/>
      <ns0:c r="Z441" s="106"/>
      <ns0:c r="AA441" s="106"/>
      <ns0:c r="AB441" s="106"/>
      <ns0:c r="AC441" s="115"/>
    </ns0:row>
    <ns0:row r="442" spans="1:29">
      <ns0:c r="A442" s="106"/>
      <ns0:c r="B442" s="107"/>
      <ns0:c r="C442" s="108"/>
      <ns0:c r="D442" s="109"/>
      <ns0:c r="E442" s="106"/>
      <ns0:c r="F442" s="106"/>
      <ns0:c r="G442" s="106"/>
      <ns0:c r="H442" s="106"/>
      <ns0:c r="I442" s="106"/>
      <ns0:c r="J442" s="106"/>
      <ns0:c r="K442" s="106"/>
      <ns0:c r="L442" s="106"/>
      <ns0:c r="M442" s="106"/>
      <ns0:c r="N442" s="106"/>
      <ns0:c r="O442" s="106"/>
      <ns0:c r="P442" s="106"/>
      <ns0:c r="Q442" s="106"/>
      <ns0:c r="R442" s="106"/>
      <ns0:c r="S442" s="106"/>
      <ns0:c r="T442" s="106"/>
      <ns0:c r="U442" s="106"/>
      <ns0:c r="V442" s="106"/>
      <ns0:c r="W442" s="106"/>
      <ns0:c r="X442" s="106"/>
      <ns0:c r="Y442" s="106"/>
      <ns0:c r="Z442" s="106"/>
      <ns0:c r="AA442" s="106"/>
      <ns0:c r="AB442" s="106"/>
      <ns0:c r="AC442" s="115"/>
    </ns0:row>
    <ns0:row r="443" spans="1:29">
      <ns0:c r="A443" s="106"/>
      <ns0:c r="B443" s="107"/>
      <ns0:c r="C443" s="108"/>
      <ns0:c r="D443" s="109"/>
      <ns0:c r="E443" s="106"/>
      <ns0:c r="F443" s="106"/>
      <ns0:c r="G443" s="106"/>
      <ns0:c r="H443" s="106"/>
      <ns0:c r="I443" s="106"/>
      <ns0:c r="J443" s="106"/>
      <ns0:c r="K443" s="106"/>
      <ns0:c r="L443" s="106"/>
      <ns0:c r="M443" s="106"/>
      <ns0:c r="N443" s="106"/>
      <ns0:c r="O443" s="106"/>
      <ns0:c r="P443" s="106"/>
      <ns0:c r="Q443" s="106"/>
      <ns0:c r="R443" s="106"/>
      <ns0:c r="S443" s="106"/>
      <ns0:c r="T443" s="106"/>
      <ns0:c r="U443" s="106"/>
      <ns0:c r="V443" s="106"/>
      <ns0:c r="W443" s="106"/>
      <ns0:c r="X443" s="106"/>
      <ns0:c r="Y443" s="106"/>
      <ns0:c r="Z443" s="106"/>
      <ns0:c r="AA443" s="106"/>
      <ns0:c r="AB443" s="106"/>
      <ns0:c r="AC443" s="115"/>
    </ns0:row>
    <ns0:row r="444" spans="1:29">
      <ns0:c r="A444" s="106"/>
      <ns0:c r="B444" s="107"/>
      <ns0:c r="C444" s="108"/>
      <ns0:c r="D444" s="109"/>
      <ns0:c r="E444" s="112"/>
      <ns0:c r="F444" s="112"/>
      <ns0:c r="G444" s="112"/>
      <ns0:c r="H444" s="112"/>
      <ns0:c r="I444" s="112"/>
      <ns0:c r="J444" s="112"/>
      <ns0:c r="K444" s="112"/>
      <ns0:c r="L444" s="112"/>
      <ns0:c r="M444" s="112"/>
      <ns0:c r="N444" s="112"/>
      <ns0:c r="O444" s="112"/>
      <ns0:c r="P444" s="112"/>
      <ns0:c r="Q444" s="112"/>
      <ns0:c r="R444" s="112"/>
      <ns0:c r="S444" s="112"/>
      <ns0:c r="T444" s="112"/>
      <ns0:c r="U444" s="112"/>
      <ns0:c r="V444" s="112"/>
      <ns0:c r="W444" s="112"/>
      <ns0:c r="X444" s="112"/>
      <ns0:c r="Y444" s="112"/>
      <ns0:c r="Z444" s="112"/>
      <ns0:c r="AA444" s="112"/>
      <ns0:c r="AB444" s="112"/>
      <ns0:c r="AC444" s="115"/>
    </ns0:row>
    <ns0:row r="445" spans="1:29">
      <ns0:c r="A445" s="106"/>
      <ns0:c r="B445" s="106"/>
      <ns0:c r="C445" s="106"/>
      <ns0:c r="D445" s="109"/>
      <ns0:c r="E445" s="112"/>
      <ns0:c r="F445" s="112"/>
      <ns0:c r="G445" s="112"/>
      <ns0:c r="H445" s="112"/>
      <ns0:c r="I445" s="112"/>
      <ns0:c r="J445" s="112"/>
      <ns0:c r="K445" s="112"/>
      <ns0:c r="L445" s="112"/>
      <ns0:c r="M445" s="112"/>
      <ns0:c r="N445" s="112"/>
      <ns0:c r="O445" s="112"/>
      <ns0:c r="P445" s="112"/>
      <ns0:c r="Q445" s="112"/>
      <ns0:c r="R445" s="112"/>
      <ns0:c r="S445" s="112"/>
      <ns0:c r="T445" s="112"/>
      <ns0:c r="U445" s="112"/>
      <ns0:c r="V445" s="112"/>
      <ns0:c r="W445" s="112"/>
      <ns0:c r="X445" s="112"/>
      <ns0:c r="Y445" s="112"/>
      <ns0:c r="Z445" s="112"/>
      <ns0:c r="AA445" s="112"/>
      <ns0:c r="AB445" s="112"/>
      <ns0:c r="AC445" s="112"/>
    </ns0:row>
    <ns0:row r="446" spans="1:29">
      <ns0:c r="A446" s="106"/>
      <ns0:c r="B446" s="107"/>
      <ns0:c r="C446" s="108"/>
      <ns0:c r="D446" s="109"/>
      <ns0:c r="E446" s="106"/>
      <ns0:c r="F446" s="106"/>
      <ns0:c r="G446" s="106"/>
      <ns0:c r="H446" s="106"/>
      <ns0:c r="I446" s="106"/>
      <ns0:c r="J446" s="106"/>
      <ns0:c r="K446" s="106"/>
      <ns0:c r="L446" s="106"/>
      <ns0:c r="M446" s="106"/>
      <ns0:c r="N446" s="106"/>
      <ns0:c r="O446" s="106"/>
      <ns0:c r="P446" s="106"/>
      <ns0:c r="Q446" s="106"/>
      <ns0:c r="R446" s="106"/>
      <ns0:c r="S446" s="106"/>
      <ns0:c r="T446" s="106"/>
      <ns0:c r="U446" s="106"/>
      <ns0:c r="V446" s="106"/>
      <ns0:c r="W446" s="106"/>
      <ns0:c r="X446" s="106"/>
      <ns0:c r="Y446" s="106"/>
      <ns0:c r="Z446" s="106"/>
      <ns0:c r="AA446" s="106"/>
      <ns0:c r="AB446" s="106"/>
      <ns0:c r="AC446" s="115"/>
    </ns0:row>
    <ns0:row r="447" spans="1:29">
      <ns0:c r="A447" s="106"/>
      <ns0:c r="B447" s="107"/>
      <ns0:c r="C447" s="108"/>
      <ns0:c r="D447" s="109"/>
      <ns0:c r="E447" s="106"/>
      <ns0:c r="F447" s="106"/>
      <ns0:c r="G447" s="106"/>
      <ns0:c r="H447" s="106"/>
      <ns0:c r="I447" s="106"/>
      <ns0:c r="J447" s="106"/>
      <ns0:c r="K447" s="106"/>
      <ns0:c r="L447" s="106"/>
      <ns0:c r="M447" s="106"/>
      <ns0:c r="N447" s="106"/>
      <ns0:c r="O447" s="106"/>
      <ns0:c r="P447" s="106"/>
      <ns0:c r="Q447" s="106"/>
      <ns0:c r="R447" s="106"/>
      <ns0:c r="S447" s="106"/>
      <ns0:c r="T447" s="106"/>
      <ns0:c r="U447" s="106"/>
      <ns0:c r="V447" s="106"/>
      <ns0:c r="W447" s="106"/>
      <ns0:c r="X447" s="106"/>
      <ns0:c r="Y447" s="106"/>
      <ns0:c r="Z447" s="106"/>
      <ns0:c r="AA447" s="106"/>
      <ns0:c r="AB447" s="106"/>
      <ns0:c r="AC447" s="115"/>
    </ns0:row>
    <ns0:row r="448" spans="1:29">
      <ns0:c r="A448" s="106"/>
      <ns0:c r="B448" s="107"/>
      <ns0:c r="C448" s="108"/>
      <ns0:c r="D448" s="109"/>
      <ns0:c r="E448" s="106"/>
      <ns0:c r="F448" s="106"/>
      <ns0:c r="G448" s="106"/>
      <ns0:c r="H448" s="106"/>
      <ns0:c r="I448" s="106"/>
      <ns0:c r="J448" s="106"/>
      <ns0:c r="K448" s="106"/>
      <ns0:c r="L448" s="106"/>
      <ns0:c r="M448" s="106"/>
      <ns0:c r="N448" s="106"/>
      <ns0:c r="O448" s="106"/>
      <ns0:c r="P448" s="106"/>
      <ns0:c r="Q448" s="106"/>
      <ns0:c r="R448" s="106"/>
      <ns0:c r="S448" s="106"/>
      <ns0:c r="T448" s="106"/>
      <ns0:c r="U448" s="106"/>
      <ns0:c r="V448" s="106"/>
      <ns0:c r="W448" s="106"/>
      <ns0:c r="X448" s="106"/>
      <ns0:c r="Y448" s="106"/>
      <ns0:c r="Z448" s="106"/>
      <ns0:c r="AA448" s="106"/>
      <ns0:c r="AB448" s="106"/>
      <ns0:c r="AC448" s="115"/>
    </ns0:row>
    <ns0:row r="449" spans="1:29">
      <ns0:c r="A449" s="106"/>
      <ns0:c r="B449" s="107"/>
      <ns0:c r="C449" s="108"/>
      <ns0:c r="D449" s="109"/>
      <ns0:c r="E449" s="106"/>
      <ns0:c r="F449" s="106"/>
      <ns0:c r="G449" s="106"/>
      <ns0:c r="H449" s="106"/>
      <ns0:c r="I449" s="106"/>
      <ns0:c r="J449" s="106"/>
      <ns0:c r="K449" s="106"/>
      <ns0:c r="L449" s="106"/>
      <ns0:c r="M449" s="106"/>
      <ns0:c r="N449" s="106"/>
      <ns0:c r="O449" s="106"/>
      <ns0:c r="P449" s="106"/>
      <ns0:c r="Q449" s="106"/>
      <ns0:c r="R449" s="106"/>
      <ns0:c r="S449" s="106"/>
      <ns0:c r="T449" s="106"/>
      <ns0:c r="U449" s="106"/>
      <ns0:c r="V449" s="106"/>
      <ns0:c r="W449" s="106"/>
      <ns0:c r="X449" s="106"/>
      <ns0:c r="Y449" s="106"/>
      <ns0:c r="Z449" s="106"/>
      <ns0:c r="AA449" s="106"/>
      <ns0:c r="AB449" s="106"/>
      <ns0:c r="AC449" s="115"/>
    </ns0:row>
    <ns0:row r="450" spans="1:29">
      <ns0:c r="A450" s="106"/>
      <ns0:c r="B450" s="107"/>
      <ns0:c r="C450" s="108"/>
      <ns0:c r="D450" s="109"/>
      <ns0:c r="E450" s="106"/>
      <ns0:c r="F450" s="106"/>
      <ns0:c r="G450" s="106"/>
      <ns0:c r="H450" s="106"/>
      <ns0:c r="I450" s="106"/>
      <ns0:c r="J450" s="106"/>
      <ns0:c r="K450" s="106"/>
      <ns0:c r="L450" s="106"/>
      <ns0:c r="M450" s="106"/>
      <ns0:c r="N450" s="106"/>
      <ns0:c r="O450" s="106"/>
      <ns0:c r="P450" s="106"/>
      <ns0:c r="Q450" s="106"/>
      <ns0:c r="R450" s="106"/>
      <ns0:c r="S450" s="106"/>
      <ns0:c r="T450" s="106"/>
      <ns0:c r="U450" s="106"/>
      <ns0:c r="V450" s="106"/>
      <ns0:c r="W450" s="106"/>
      <ns0:c r="X450" s="106"/>
      <ns0:c r="Y450" s="106"/>
      <ns0:c r="Z450" s="106"/>
      <ns0:c r="AA450" s="106"/>
      <ns0:c r="AB450" s="106"/>
      <ns0:c r="AC450" s="115"/>
    </ns0:row>
    <ns0:row r="451" spans="1:29">
      <ns0:c r="A451" s="106"/>
      <ns0:c r="B451" s="107"/>
      <ns0:c r="C451" s="108"/>
      <ns0:c r="D451" s="109"/>
      <ns0:c r="E451" s="106"/>
      <ns0:c r="F451" s="106"/>
      <ns0:c r="G451" s="106"/>
      <ns0:c r="H451" s="106"/>
      <ns0:c r="I451" s="106"/>
      <ns0:c r="J451" s="106"/>
      <ns0:c r="K451" s="106"/>
      <ns0:c r="L451" s="106"/>
      <ns0:c r="M451" s="106"/>
      <ns0:c r="N451" s="106"/>
      <ns0:c r="O451" s="106"/>
      <ns0:c r="P451" s="106"/>
      <ns0:c r="Q451" s="106"/>
      <ns0:c r="R451" s="106"/>
      <ns0:c r="S451" s="106"/>
      <ns0:c r="T451" s="106"/>
      <ns0:c r="U451" s="106"/>
      <ns0:c r="V451" s="106"/>
      <ns0:c r="W451" s="106"/>
      <ns0:c r="X451" s="106"/>
      <ns0:c r="Y451" s="106"/>
      <ns0:c r="Z451" s="106"/>
      <ns0:c r="AA451" s="106"/>
      <ns0:c r="AB451" s="106"/>
      <ns0:c r="AC451" s="115"/>
    </ns0:row>
    <ns0:row r="452" spans="1:29">
      <ns0:c r="A452" s="106"/>
      <ns0:c r="B452" s="107"/>
      <ns0:c r="C452" s="108"/>
      <ns0:c r="D452" s="109"/>
      <ns0:c r="E452" s="106"/>
      <ns0:c r="F452" s="106"/>
      <ns0:c r="G452" s="106"/>
      <ns0:c r="H452" s="106"/>
      <ns0:c r="I452" s="106"/>
      <ns0:c r="J452" s="106"/>
      <ns0:c r="K452" s="106"/>
      <ns0:c r="L452" s="106"/>
      <ns0:c r="M452" s="106"/>
      <ns0:c r="N452" s="106"/>
      <ns0:c r="O452" s="106"/>
      <ns0:c r="P452" s="106"/>
      <ns0:c r="Q452" s="106"/>
      <ns0:c r="R452" s="106"/>
      <ns0:c r="S452" s="106"/>
      <ns0:c r="T452" s="106"/>
      <ns0:c r="U452" s="106"/>
      <ns0:c r="V452" s="106"/>
      <ns0:c r="W452" s="106"/>
      <ns0:c r="X452" s="106"/>
      <ns0:c r="Y452" s="106"/>
      <ns0:c r="Z452" s="106"/>
      <ns0:c r="AA452" s="106"/>
      <ns0:c r="AB452" s="106"/>
      <ns0:c r="AC452" s="115"/>
    </ns0:row>
    <ns0:row r="453" spans="1:29">
      <ns0:c r="A453" s="106"/>
      <ns0:c r="B453" s="107"/>
      <ns0:c r="C453" s="108"/>
      <ns0:c r="D453" s="109"/>
      <ns0:c r="E453" s="106"/>
      <ns0:c r="F453" s="106"/>
      <ns0:c r="G453" s="106"/>
      <ns0:c r="H453" s="106"/>
      <ns0:c r="I453" s="106"/>
      <ns0:c r="J453" s="106"/>
      <ns0:c r="K453" s="106"/>
      <ns0:c r="L453" s="106"/>
      <ns0:c r="M453" s="106"/>
      <ns0:c r="N453" s="106"/>
      <ns0:c r="O453" s="106"/>
      <ns0:c r="P453" s="106"/>
      <ns0:c r="Q453" s="106"/>
      <ns0:c r="R453" s="106"/>
      <ns0:c r="S453" s="106"/>
      <ns0:c r="T453" s="106"/>
      <ns0:c r="U453" s="106"/>
      <ns0:c r="V453" s="106"/>
      <ns0:c r="W453" s="106"/>
      <ns0:c r="X453" s="106"/>
      <ns0:c r="Y453" s="106"/>
      <ns0:c r="Z453" s="106"/>
      <ns0:c r="AA453" s="106"/>
      <ns0:c r="AB453" s="106"/>
      <ns0:c r="AC453" s="115"/>
    </ns0:row>
    <ns0:row r="454" spans="1:29">
      <ns0:c r="A454" s="106"/>
      <ns0:c r="B454" s="110"/>
      <ns0:c r="C454" s="110"/>
      <ns0:c r="D454" s="109"/>
      <ns0:c r="E454" s="106"/>
      <ns0:c r="F454" s="106"/>
      <ns0:c r="G454" s="106"/>
      <ns0:c r="H454" s="106"/>
      <ns0:c r="I454" s="106"/>
      <ns0:c r="J454" s="106"/>
      <ns0:c r="K454" s="106"/>
      <ns0:c r="L454" s="106"/>
      <ns0:c r="M454" s="106"/>
      <ns0:c r="N454" s="106"/>
      <ns0:c r="O454" s="106"/>
      <ns0:c r="P454" s="106"/>
      <ns0:c r="Q454" s="106"/>
      <ns0:c r="R454" s="106"/>
      <ns0:c r="S454" s="106"/>
      <ns0:c r="T454" s="106"/>
      <ns0:c r="U454" s="106"/>
      <ns0:c r="V454" s="106"/>
      <ns0:c r="W454" s="106"/>
      <ns0:c r="X454" s="106"/>
      <ns0:c r="Y454" s="106"/>
      <ns0:c r="Z454" s="106"/>
      <ns0:c r="AA454" s="106"/>
      <ns0:c r="AB454" s="106"/>
      <ns0:c r="AC454" s="115"/>
    </ns0:row>
    <ns0:row r="455" spans="1:29">
      <ns0:c r="A455" s="106"/>
      <ns0:c r="B455" s="107"/>
      <ns0:c r="C455" s="108"/>
      <ns0:c r="D455" s="109"/>
      <ns0:c r="E455" s="106"/>
      <ns0:c r="F455" s="106"/>
      <ns0:c r="G455" s="106"/>
      <ns0:c r="H455" s="106"/>
      <ns0:c r="I455" s="106"/>
      <ns0:c r="J455" s="106"/>
      <ns0:c r="K455" s="106"/>
      <ns0:c r="L455" s="106"/>
      <ns0:c r="M455" s="106"/>
      <ns0:c r="N455" s="106"/>
      <ns0:c r="O455" s="106"/>
      <ns0:c r="P455" s="106"/>
      <ns0:c r="Q455" s="106"/>
      <ns0:c r="R455" s="106"/>
      <ns0:c r="S455" s="106"/>
      <ns0:c r="T455" s="106"/>
      <ns0:c r="U455" s="106"/>
      <ns0:c r="V455" s="106"/>
      <ns0:c r="W455" s="106"/>
      <ns0:c r="X455" s="106"/>
      <ns0:c r="Y455" s="106"/>
      <ns0:c r="Z455" s="106"/>
      <ns0:c r="AA455" s="106"/>
      <ns0:c r="AB455" s="106"/>
      <ns0:c r="AC455" s="115"/>
    </ns0:row>
    <ns0:row r="456" spans="1:29">
      <ns0:c r="A456" s="106"/>
      <ns0:c r="B456" s="107"/>
      <ns0:c r="C456" s="108"/>
      <ns0:c r="D456" s="109"/>
      <ns0:c r="E456" s="106"/>
      <ns0:c r="F456" s="106"/>
      <ns0:c r="G456" s="106"/>
      <ns0:c r="H456" s="106"/>
      <ns0:c r="I456" s="106"/>
      <ns0:c r="J456" s="106"/>
      <ns0:c r="K456" s="106"/>
      <ns0:c r="L456" s="106"/>
      <ns0:c r="M456" s="106"/>
      <ns0:c r="N456" s="106"/>
      <ns0:c r="O456" s="106"/>
      <ns0:c r="P456" s="106"/>
      <ns0:c r="Q456" s="106"/>
      <ns0:c r="R456" s="106"/>
      <ns0:c r="S456" s="106"/>
      <ns0:c r="T456" s="106"/>
      <ns0:c r="U456" s="106"/>
      <ns0:c r="V456" s="106"/>
      <ns0:c r="W456" s="106"/>
      <ns0:c r="X456" s="106"/>
      <ns0:c r="Y456" s="106"/>
      <ns0:c r="Z456" s="106"/>
      <ns0:c r="AA456" s="106"/>
      <ns0:c r="AB456" s="106"/>
      <ns0:c r="AC456" s="115"/>
    </ns0:row>
    <ns0:row r="457" spans="1:29">
      <ns0:c r="A457" s="106"/>
      <ns0:c r="B457" s="107"/>
      <ns0:c r="C457" s="108"/>
      <ns0:c r="D457" s="109"/>
      <ns0:c r="E457" s="112"/>
      <ns0:c r="F457" s="112"/>
      <ns0:c r="G457" s="112"/>
      <ns0:c r="H457" s="112"/>
      <ns0:c r="I457" s="112"/>
      <ns0:c r="J457" s="112"/>
      <ns0:c r="K457" s="112"/>
      <ns0:c r="L457" s="112"/>
      <ns0:c r="M457" s="112"/>
      <ns0:c r="N457" s="112"/>
      <ns0:c r="O457" s="112"/>
      <ns0:c r="P457" s="112"/>
      <ns0:c r="Q457" s="112"/>
      <ns0:c r="R457" s="112"/>
      <ns0:c r="S457" s="112"/>
      <ns0:c r="T457" s="112"/>
      <ns0:c r="U457" s="112"/>
      <ns0:c r="V457" s="112"/>
      <ns0:c r="W457" s="112"/>
      <ns0:c r="X457" s="112"/>
      <ns0:c r="Y457" s="112"/>
      <ns0:c r="Z457" s="112"/>
      <ns0:c r="AA457" s="112"/>
      <ns0:c r="AB457" s="112"/>
      <ns0:c r="AC457" s="115"/>
    </ns0:row>
    <ns0:row r="458" spans="1:29">
      <ns0:c r="A458" s="106"/>
      <ns0:c r="B458" s="106"/>
      <ns0:c r="C458" s="106"/>
      <ns0:c r="D458" s="109"/>
      <ns0:c r="E458" s="112"/>
      <ns0:c r="F458" s="112"/>
      <ns0:c r="G458" s="112"/>
      <ns0:c r="H458" s="112"/>
      <ns0:c r="I458" s="112"/>
      <ns0:c r="J458" s="112"/>
      <ns0:c r="K458" s="112"/>
      <ns0:c r="L458" s="112"/>
      <ns0:c r="M458" s="112"/>
      <ns0:c r="N458" s="112"/>
      <ns0:c r="O458" s="112"/>
      <ns0:c r="P458" s="112"/>
      <ns0:c r="Q458" s="112"/>
      <ns0:c r="R458" s="112"/>
      <ns0:c r="S458" s="112"/>
      <ns0:c r="T458" s="112"/>
      <ns0:c r="U458" s="112"/>
      <ns0:c r="V458" s="112"/>
      <ns0:c r="W458" s="112"/>
      <ns0:c r="X458" s="112"/>
      <ns0:c r="Y458" s="112"/>
      <ns0:c r="Z458" s="112"/>
      <ns0:c r="AA458" s="112"/>
      <ns0:c r="AB458" s="112"/>
      <ns0:c r="AC458" s="112"/>
    </ns0:row>
    <ns0:row r="459" spans="1:29">
      <ns0:c r="A459" s="106"/>
      <ns0:c r="B459" s="107"/>
      <ns0:c r="C459" s="108"/>
      <ns0:c r="D459" s="109"/>
      <ns0:c r="E459" s="106"/>
      <ns0:c r="F459" s="106"/>
      <ns0:c r="G459" s="106"/>
      <ns0:c r="H459" s="106"/>
      <ns0:c r="I459" s="106"/>
      <ns0:c r="J459" s="106"/>
      <ns0:c r="K459" s="106"/>
      <ns0:c r="L459" s="106"/>
      <ns0:c r="M459" s="106"/>
      <ns0:c r="N459" s="106"/>
      <ns0:c r="O459" s="106"/>
      <ns0:c r="P459" s="106"/>
      <ns0:c r="Q459" s="106"/>
      <ns0:c r="R459" s="106"/>
      <ns0:c r="S459" s="106"/>
      <ns0:c r="T459" s="106"/>
      <ns0:c r="U459" s="106"/>
      <ns0:c r="V459" s="106"/>
      <ns0:c r="W459" s="106"/>
      <ns0:c r="X459" s="106"/>
      <ns0:c r="Y459" s="106"/>
      <ns0:c r="Z459" s="106"/>
      <ns0:c r="AA459" s="106"/>
      <ns0:c r="AB459" s="106"/>
      <ns0:c r="AC459" s="115"/>
    </ns0:row>
    <ns0:row r="460" spans="1:29">
      <ns0:c r="A460" s="106"/>
      <ns0:c r="B460" s="107"/>
      <ns0:c r="C460" s="108"/>
      <ns0:c r="D460" s="109"/>
      <ns0:c r="E460" s="106"/>
      <ns0:c r="F460" s="106"/>
      <ns0:c r="G460" s="106"/>
      <ns0:c r="H460" s="106"/>
      <ns0:c r="I460" s="106"/>
      <ns0:c r="J460" s="106"/>
      <ns0:c r="K460" s="106"/>
      <ns0:c r="L460" s="106"/>
      <ns0:c r="M460" s="106"/>
      <ns0:c r="N460" s="106"/>
      <ns0:c r="O460" s="106"/>
      <ns0:c r="P460" s="106"/>
      <ns0:c r="Q460" s="106"/>
      <ns0:c r="R460" s="106"/>
      <ns0:c r="S460" s="106"/>
      <ns0:c r="T460" s="106"/>
      <ns0:c r="U460" s="106"/>
      <ns0:c r="V460" s="106"/>
      <ns0:c r="W460" s="106"/>
      <ns0:c r="X460" s="106"/>
      <ns0:c r="Y460" s="106"/>
      <ns0:c r="Z460" s="106"/>
      <ns0:c r="AA460" s="106"/>
      <ns0:c r="AB460" s="106"/>
      <ns0:c r="AC460" s="115"/>
    </ns0:row>
    <ns0:row r="461" spans="1:29">
      <ns0:c r="A461" s="106"/>
      <ns0:c r="B461" s="107"/>
      <ns0:c r="C461" s="108"/>
      <ns0:c r="D461" s="109"/>
      <ns0:c r="E461" s="106"/>
      <ns0:c r="F461" s="106"/>
      <ns0:c r="G461" s="106"/>
      <ns0:c r="H461" s="106"/>
      <ns0:c r="I461" s="106"/>
      <ns0:c r="J461" s="106"/>
      <ns0:c r="K461" s="106"/>
      <ns0:c r="L461" s="106"/>
      <ns0:c r="M461" s="106"/>
      <ns0:c r="N461" s="106"/>
      <ns0:c r="O461" s="106"/>
      <ns0:c r="P461" s="106"/>
      <ns0:c r="Q461" s="106"/>
      <ns0:c r="R461" s="106"/>
      <ns0:c r="S461" s="106"/>
      <ns0:c r="T461" s="106"/>
      <ns0:c r="U461" s="106"/>
      <ns0:c r="V461" s="106"/>
      <ns0:c r="W461" s="106"/>
      <ns0:c r="X461" s="106"/>
      <ns0:c r="Y461" s="106"/>
      <ns0:c r="Z461" s="106"/>
      <ns0:c r="AA461" s="106"/>
      <ns0:c r="AB461" s="106"/>
      <ns0:c r="AC461" s="115"/>
    </ns0:row>
    <ns0:row r="462" spans="1:29">
      <ns0:c r="A462" s="106"/>
      <ns0:c r="B462" s="107"/>
      <ns0:c r="C462" s="108"/>
      <ns0:c r="D462" s="109"/>
      <ns0:c r="E462" s="106"/>
      <ns0:c r="F462" s="106"/>
      <ns0:c r="G462" s="106"/>
      <ns0:c r="H462" s="106"/>
      <ns0:c r="I462" s="106"/>
      <ns0:c r="J462" s="106"/>
      <ns0:c r="K462" s="106"/>
      <ns0:c r="L462" s="106"/>
      <ns0:c r="M462" s="106"/>
      <ns0:c r="N462" s="106"/>
      <ns0:c r="O462" s="106"/>
      <ns0:c r="P462" s="106"/>
      <ns0:c r="Q462" s="106"/>
      <ns0:c r="R462" s="106"/>
      <ns0:c r="S462" s="106"/>
      <ns0:c r="T462" s="106"/>
      <ns0:c r="U462" s="106"/>
      <ns0:c r="V462" s="106"/>
      <ns0:c r="W462" s="106"/>
      <ns0:c r="X462" s="106"/>
      <ns0:c r="Y462" s="106"/>
      <ns0:c r="Z462" s="106"/>
      <ns0:c r="AA462" s="106"/>
      <ns0:c r="AB462" s="106"/>
      <ns0:c r="AC462" s="115"/>
    </ns0:row>
    <ns0:row r="463" spans="1:29">
      <ns0:c r="A463" s="106"/>
      <ns0:c r="B463" s="107"/>
      <ns0:c r="C463" s="108"/>
      <ns0:c r="D463" s="109"/>
      <ns0:c r="E463" s="106"/>
      <ns0:c r="F463" s="106"/>
      <ns0:c r="G463" s="106"/>
      <ns0:c r="H463" s="106"/>
      <ns0:c r="I463" s="106"/>
      <ns0:c r="J463" s="106"/>
      <ns0:c r="K463" s="106"/>
      <ns0:c r="L463" s="106"/>
      <ns0:c r="M463" s="106"/>
      <ns0:c r="N463" s="106"/>
      <ns0:c r="O463" s="106"/>
      <ns0:c r="P463" s="106"/>
      <ns0:c r="Q463" s="106"/>
      <ns0:c r="R463" s="106"/>
      <ns0:c r="S463" s="106"/>
      <ns0:c r="T463" s="106"/>
      <ns0:c r="U463" s="106"/>
      <ns0:c r="V463" s="106"/>
      <ns0:c r="W463" s="106"/>
      <ns0:c r="X463" s="106"/>
      <ns0:c r="Y463" s="106"/>
      <ns0:c r="Z463" s="106"/>
      <ns0:c r="AA463" s="106"/>
      <ns0:c r="AB463" s="106"/>
      <ns0:c r="AC463" s="115"/>
    </ns0:row>
    <ns0:row r="464" spans="1:29">
      <ns0:c r="A464" s="106"/>
      <ns0:c r="B464" s="107"/>
      <ns0:c r="C464" s="108"/>
      <ns0:c r="D464" s="109"/>
      <ns0:c r="E464" s="106"/>
      <ns0:c r="F464" s="106"/>
      <ns0:c r="G464" s="106"/>
      <ns0:c r="H464" s="106"/>
      <ns0:c r="I464" s="106"/>
      <ns0:c r="J464" s="106"/>
      <ns0:c r="K464" s="106"/>
      <ns0:c r="L464" s="106"/>
      <ns0:c r="M464" s="106"/>
      <ns0:c r="N464" s="106"/>
      <ns0:c r="O464" s="106"/>
      <ns0:c r="P464" s="106"/>
      <ns0:c r="Q464" s="106"/>
      <ns0:c r="R464" s="106"/>
      <ns0:c r="S464" s="106"/>
      <ns0:c r="T464" s="106"/>
      <ns0:c r="U464" s="106"/>
      <ns0:c r="V464" s="106"/>
      <ns0:c r="W464" s="106"/>
      <ns0:c r="X464" s="106"/>
      <ns0:c r="Y464" s="106"/>
      <ns0:c r="Z464" s="106"/>
      <ns0:c r="AA464" s="106"/>
      <ns0:c r="AB464" s="106"/>
      <ns0:c r="AC464" s="115"/>
    </ns0:row>
    <ns0:row r="465" spans="1:29">
      <ns0:c r="A465" s="106"/>
      <ns0:c r="B465" s="107"/>
      <ns0:c r="C465" s="108"/>
      <ns0:c r="D465" s="109"/>
      <ns0:c r="E465" s="106"/>
      <ns0:c r="F465" s="106"/>
      <ns0:c r="G465" s="106"/>
      <ns0:c r="H465" s="106"/>
      <ns0:c r="I465" s="106"/>
      <ns0:c r="J465" s="106"/>
      <ns0:c r="K465" s="106"/>
      <ns0:c r="L465" s="106"/>
      <ns0:c r="M465" s="106"/>
      <ns0:c r="N465" s="106"/>
      <ns0:c r="O465" s="106"/>
      <ns0:c r="P465" s="106"/>
      <ns0:c r="Q465" s="106"/>
      <ns0:c r="R465" s="106"/>
      <ns0:c r="S465" s="106"/>
      <ns0:c r="T465" s="106"/>
      <ns0:c r="U465" s="106"/>
      <ns0:c r="V465" s="106"/>
      <ns0:c r="W465" s="106"/>
      <ns0:c r="X465" s="106"/>
      <ns0:c r="Y465" s="106"/>
      <ns0:c r="Z465" s="106"/>
      <ns0:c r="AA465" s="106"/>
      <ns0:c r="AB465" s="106"/>
      <ns0:c r="AC465" s="115"/>
    </ns0:row>
    <ns0:row r="466" spans="1:29">
      <ns0:c r="A466" s="106"/>
      <ns0:c r="B466" s="107"/>
      <ns0:c r="C466" s="108"/>
      <ns0:c r="D466" s="109"/>
      <ns0:c r="E466" s="106"/>
      <ns0:c r="F466" s="106"/>
      <ns0:c r="G466" s="106"/>
      <ns0:c r="H466" s="106"/>
      <ns0:c r="I466" s="106"/>
      <ns0:c r="J466" s="106"/>
      <ns0:c r="K466" s="106"/>
      <ns0:c r="L466" s="106"/>
      <ns0:c r="M466" s="106"/>
      <ns0:c r="N466" s="106"/>
      <ns0:c r="O466" s="106"/>
      <ns0:c r="P466" s="106"/>
      <ns0:c r="Q466" s="106"/>
      <ns0:c r="R466" s="106"/>
      <ns0:c r="S466" s="106"/>
      <ns0:c r="T466" s="106"/>
      <ns0:c r="U466" s="106"/>
      <ns0:c r="V466" s="106"/>
      <ns0:c r="W466" s="106"/>
      <ns0:c r="X466" s="106"/>
      <ns0:c r="Y466" s="106"/>
      <ns0:c r="Z466" s="106"/>
      <ns0:c r="AA466" s="106"/>
      <ns0:c r="AB466" s="106"/>
      <ns0:c r="AC466" s="115"/>
    </ns0:row>
    <ns0:row r="467" spans="1:29">
      <ns0:c r="A467" s="106"/>
      <ns0:c r="B467" s="110"/>
      <ns0:c r="C467" s="110"/>
      <ns0:c r="D467" s="109"/>
      <ns0:c r="E467" s="106"/>
      <ns0:c r="F467" s="106"/>
      <ns0:c r="G467" s="106"/>
      <ns0:c r="H467" s="106"/>
      <ns0:c r="I467" s="106"/>
      <ns0:c r="J467" s="106"/>
      <ns0:c r="K467" s="106"/>
      <ns0:c r="L467" s="106"/>
      <ns0:c r="M467" s="106"/>
      <ns0:c r="N467" s="106"/>
      <ns0:c r="O467" s="106"/>
      <ns0:c r="P467" s="106"/>
      <ns0:c r="Q467" s="106"/>
      <ns0:c r="R467" s="106"/>
      <ns0:c r="S467" s="106"/>
      <ns0:c r="T467" s="106"/>
      <ns0:c r="U467" s="106"/>
      <ns0:c r="V467" s="106"/>
      <ns0:c r="W467" s="106"/>
      <ns0:c r="X467" s="106"/>
      <ns0:c r="Y467" s="106"/>
      <ns0:c r="Z467" s="106"/>
      <ns0:c r="AA467" s="106"/>
      <ns0:c r="AB467" s="106"/>
      <ns0:c r="AC467" s="115"/>
    </ns0:row>
    <ns0:row r="468" spans="1:29">
      <ns0:c r="A468" s="106"/>
      <ns0:c r="B468" s="107"/>
      <ns0:c r="C468" s="108"/>
      <ns0:c r="D468" s="109"/>
      <ns0:c r="E468" s="106"/>
      <ns0:c r="F468" s="106"/>
      <ns0:c r="G468" s="106"/>
      <ns0:c r="H468" s="106"/>
      <ns0:c r="I468" s="106"/>
      <ns0:c r="J468" s="106"/>
      <ns0:c r="K468" s="106"/>
      <ns0:c r="L468" s="106"/>
      <ns0:c r="M468" s="106"/>
      <ns0:c r="N468" s="106"/>
      <ns0:c r="O468" s="106"/>
      <ns0:c r="P468" s="106"/>
      <ns0:c r="Q468" s="106"/>
      <ns0:c r="R468" s="106"/>
      <ns0:c r="S468" s="106"/>
      <ns0:c r="T468" s="106"/>
      <ns0:c r="U468" s="106"/>
      <ns0:c r="V468" s="106"/>
      <ns0:c r="W468" s="106"/>
      <ns0:c r="X468" s="106"/>
      <ns0:c r="Y468" s="106"/>
      <ns0:c r="Z468" s="106"/>
      <ns0:c r="AA468" s="106"/>
      <ns0:c r="AB468" s="106"/>
      <ns0:c r="AC468" s="115"/>
    </ns0:row>
    <ns0:row r="469" spans="1:29">
      <ns0:c r="A469" s="106"/>
      <ns0:c r="B469" s="107"/>
      <ns0:c r="C469" s="108"/>
      <ns0:c r="D469" s="109"/>
      <ns0:c r="E469" s="106"/>
      <ns0:c r="F469" s="106"/>
      <ns0:c r="G469" s="106"/>
      <ns0:c r="H469" s="106"/>
      <ns0:c r="I469" s="106"/>
      <ns0:c r="J469" s="106"/>
      <ns0:c r="K469" s="106"/>
      <ns0:c r="L469" s="106"/>
      <ns0:c r="M469" s="106"/>
      <ns0:c r="N469" s="106"/>
      <ns0:c r="O469" s="106"/>
      <ns0:c r="P469" s="106"/>
      <ns0:c r="Q469" s="106"/>
      <ns0:c r="R469" s="106"/>
      <ns0:c r="S469" s="106"/>
      <ns0:c r="T469" s="106"/>
      <ns0:c r="U469" s="106"/>
      <ns0:c r="V469" s="106"/>
      <ns0:c r="W469" s="106"/>
      <ns0:c r="X469" s="106"/>
      <ns0:c r="Y469" s="106"/>
      <ns0:c r="Z469" s="106"/>
      <ns0:c r="AA469" s="106"/>
      <ns0:c r="AB469" s="106"/>
      <ns0:c r="AC469" s="115"/>
    </ns0:row>
    <ns0:row r="470" spans="1:29">
      <ns0:c r="A470" s="106"/>
      <ns0:c r="B470" s="107"/>
      <ns0:c r="C470" s="108"/>
      <ns0:c r="D470" s="109"/>
      <ns0:c r="E470" s="112"/>
      <ns0:c r="F470" s="112"/>
      <ns0:c r="G470" s="112"/>
      <ns0:c r="H470" s="112"/>
      <ns0:c r="I470" s="112"/>
      <ns0:c r="J470" s="112"/>
      <ns0:c r="K470" s="112"/>
      <ns0:c r="L470" s="112"/>
      <ns0:c r="M470" s="112"/>
      <ns0:c r="N470" s="112"/>
      <ns0:c r="O470" s="112"/>
      <ns0:c r="P470" s="112"/>
      <ns0:c r="Q470" s="112"/>
      <ns0:c r="R470" s="112"/>
      <ns0:c r="S470" s="112"/>
      <ns0:c r="T470" s="112"/>
      <ns0:c r="U470" s="112"/>
      <ns0:c r="V470" s="112"/>
      <ns0:c r="W470" s="112"/>
      <ns0:c r="X470" s="112"/>
      <ns0:c r="Y470" s="112"/>
      <ns0:c r="Z470" s="112"/>
      <ns0:c r="AA470" s="112"/>
      <ns0:c r="AB470" s="112"/>
      <ns0:c r="AC470" s="115"/>
    </ns0:row>
    <ns0:row r="471" spans="1:29">
      <ns0:c r="A471" s="106"/>
      <ns0:c r="B471" s="106"/>
      <ns0:c r="C471" s="106"/>
      <ns0:c r="D471" s="109"/>
      <ns0:c r="E471" s="112"/>
      <ns0:c r="F471" s="112"/>
      <ns0:c r="G471" s="112"/>
      <ns0:c r="H471" s="112"/>
      <ns0:c r="I471" s="112"/>
      <ns0:c r="J471" s="112"/>
      <ns0:c r="K471" s="112"/>
      <ns0:c r="L471" s="112"/>
      <ns0:c r="M471" s="112"/>
      <ns0:c r="N471" s="112"/>
      <ns0:c r="O471" s="112"/>
      <ns0:c r="P471" s="112"/>
      <ns0:c r="Q471" s="112"/>
      <ns0:c r="R471" s="112"/>
      <ns0:c r="S471" s="112"/>
      <ns0:c r="T471" s="112"/>
      <ns0:c r="U471" s="112"/>
      <ns0:c r="V471" s="112"/>
      <ns0:c r="W471" s="112"/>
      <ns0:c r="X471" s="112"/>
      <ns0:c r="Y471" s="112"/>
      <ns0:c r="Z471" s="112"/>
      <ns0:c r="AA471" s="112"/>
      <ns0:c r="AB471" s="112"/>
      <ns0:c r="AC471" s="112"/>
    </ns0:row>
    <ns0:row r="472" spans="1:29">
      <ns0:c r="A472" s="106"/>
      <ns0:c r="B472" s="107"/>
      <ns0:c r="C472" s="108"/>
      <ns0:c r="D472" s="109"/>
      <ns0:c r="E472" s="106"/>
      <ns0:c r="F472" s="106"/>
      <ns0:c r="G472" s="106"/>
      <ns0:c r="H472" s="106"/>
      <ns0:c r="I472" s="106"/>
      <ns0:c r="J472" s="106"/>
      <ns0:c r="K472" s="106"/>
      <ns0:c r="L472" s="106"/>
      <ns0:c r="M472" s="106"/>
      <ns0:c r="N472" s="106"/>
      <ns0:c r="O472" s="106"/>
      <ns0:c r="P472" s="106"/>
      <ns0:c r="Q472" s="106"/>
      <ns0:c r="R472" s="106"/>
      <ns0:c r="S472" s="106"/>
      <ns0:c r="T472" s="106"/>
      <ns0:c r="U472" s="106"/>
      <ns0:c r="V472" s="106"/>
      <ns0:c r="W472" s="106"/>
      <ns0:c r="X472" s="106"/>
      <ns0:c r="Y472" s="106"/>
      <ns0:c r="Z472" s="106"/>
      <ns0:c r="AA472" s="106"/>
      <ns0:c r="AB472" s="106"/>
      <ns0:c r="AC472" s="115"/>
    </ns0:row>
    <ns0:row r="473" spans="1:29">
      <ns0:c r="A473" s="106"/>
      <ns0:c r="B473" s="107"/>
      <ns0:c r="C473" s="108"/>
      <ns0:c r="D473" s="109"/>
      <ns0:c r="E473" s="106"/>
      <ns0:c r="F473" s="106"/>
      <ns0:c r="G473" s="106"/>
      <ns0:c r="H473" s="106"/>
      <ns0:c r="I473" s="106"/>
      <ns0:c r="J473" s="106"/>
      <ns0:c r="K473" s="106"/>
      <ns0:c r="L473" s="106"/>
      <ns0:c r="M473" s="106"/>
      <ns0:c r="N473" s="106"/>
      <ns0:c r="O473" s="106"/>
      <ns0:c r="P473" s="106"/>
      <ns0:c r="Q473" s="106"/>
      <ns0:c r="R473" s="106"/>
      <ns0:c r="S473" s="106"/>
      <ns0:c r="T473" s="106"/>
      <ns0:c r="U473" s="106"/>
      <ns0:c r="V473" s="106"/>
      <ns0:c r="W473" s="106"/>
      <ns0:c r="X473" s="106"/>
      <ns0:c r="Y473" s="106"/>
      <ns0:c r="Z473" s="106"/>
      <ns0:c r="AA473" s="106"/>
      <ns0:c r="AB473" s="106"/>
      <ns0:c r="AC473" s="115"/>
    </ns0:row>
    <ns0:row r="474" spans="1:29">
      <ns0:c r="A474" s="106"/>
      <ns0:c r="B474" s="107"/>
      <ns0:c r="C474" s="108"/>
      <ns0:c r="D474" s="109"/>
      <ns0:c r="E474" s="106"/>
      <ns0:c r="F474" s="106"/>
      <ns0:c r="G474" s="106"/>
      <ns0:c r="H474" s="106"/>
      <ns0:c r="I474" s="106"/>
      <ns0:c r="J474" s="106"/>
      <ns0:c r="K474" s="106"/>
      <ns0:c r="L474" s="106"/>
      <ns0:c r="M474" s="106"/>
      <ns0:c r="N474" s="106"/>
      <ns0:c r="O474" s="106"/>
      <ns0:c r="P474" s="106"/>
      <ns0:c r="Q474" s="106"/>
      <ns0:c r="R474" s="106"/>
      <ns0:c r="S474" s="106"/>
      <ns0:c r="T474" s="106"/>
      <ns0:c r="U474" s="106"/>
      <ns0:c r="V474" s="106"/>
      <ns0:c r="W474" s="106"/>
      <ns0:c r="X474" s="106"/>
      <ns0:c r="Y474" s="106"/>
      <ns0:c r="Z474" s="106"/>
      <ns0:c r="AA474" s="106"/>
      <ns0:c r="AB474" s="106"/>
      <ns0:c r="AC474" s="115"/>
    </ns0:row>
    <ns0:row r="475" spans="1:29">
      <ns0:c r="A475" s="106"/>
      <ns0:c r="B475" s="107"/>
      <ns0:c r="C475" s="108"/>
      <ns0:c r="D475" s="109"/>
      <ns0:c r="E475" s="106"/>
      <ns0:c r="F475" s="106"/>
      <ns0:c r="G475" s="106"/>
      <ns0:c r="H475" s="106"/>
      <ns0:c r="I475" s="106"/>
      <ns0:c r="J475" s="106"/>
      <ns0:c r="K475" s="106"/>
      <ns0:c r="L475" s="106"/>
      <ns0:c r="M475" s="106"/>
      <ns0:c r="N475" s="106"/>
      <ns0:c r="O475" s="106"/>
      <ns0:c r="P475" s="106"/>
      <ns0:c r="Q475" s="106"/>
      <ns0:c r="R475" s="106"/>
      <ns0:c r="S475" s="106"/>
      <ns0:c r="T475" s="106"/>
      <ns0:c r="U475" s="106"/>
      <ns0:c r="V475" s="106"/>
      <ns0:c r="W475" s="106"/>
      <ns0:c r="X475" s="106"/>
      <ns0:c r="Y475" s="106"/>
      <ns0:c r="Z475" s="106"/>
      <ns0:c r="AA475" s="106"/>
      <ns0:c r="AB475" s="106"/>
      <ns0:c r="AC475" s="115"/>
    </ns0:row>
    <ns0:row r="476" spans="1:29">
      <ns0:c r="A476" s="106"/>
      <ns0:c r="B476" s="107"/>
      <ns0:c r="C476" s="108"/>
      <ns0:c r="D476" s="109"/>
      <ns0:c r="E476" s="106"/>
      <ns0:c r="F476" s="106"/>
      <ns0:c r="G476" s="106"/>
      <ns0:c r="H476" s="106"/>
      <ns0:c r="I476" s="106"/>
      <ns0:c r="J476" s="106"/>
      <ns0:c r="K476" s="106"/>
      <ns0:c r="L476" s="106"/>
      <ns0:c r="M476" s="106"/>
      <ns0:c r="N476" s="106"/>
      <ns0:c r="O476" s="106"/>
      <ns0:c r="P476" s="106"/>
      <ns0:c r="Q476" s="106"/>
      <ns0:c r="R476" s="106"/>
      <ns0:c r="S476" s="106"/>
      <ns0:c r="T476" s="106"/>
      <ns0:c r="U476" s="106"/>
      <ns0:c r="V476" s="106"/>
      <ns0:c r="W476" s="106"/>
      <ns0:c r="X476" s="106"/>
      <ns0:c r="Y476" s="106"/>
      <ns0:c r="Z476" s="106"/>
      <ns0:c r="AA476" s="106"/>
      <ns0:c r="AB476" s="106"/>
      <ns0:c r="AC476" s="115"/>
    </ns0:row>
    <ns0:row r="477" spans="1:29">
      <ns0:c r="A477" s="106"/>
      <ns0:c r="B477" s="107"/>
      <ns0:c r="C477" s="108"/>
      <ns0:c r="D477" s="109"/>
      <ns0:c r="E477" s="106"/>
      <ns0:c r="F477" s="106"/>
      <ns0:c r="G477" s="106"/>
      <ns0:c r="H477" s="106"/>
      <ns0:c r="I477" s="106"/>
      <ns0:c r="J477" s="106"/>
      <ns0:c r="K477" s="106"/>
      <ns0:c r="L477" s="106"/>
      <ns0:c r="M477" s="106"/>
      <ns0:c r="N477" s="106"/>
      <ns0:c r="O477" s="106"/>
      <ns0:c r="P477" s="106"/>
      <ns0:c r="Q477" s="106"/>
      <ns0:c r="R477" s="106"/>
      <ns0:c r="S477" s="106"/>
      <ns0:c r="T477" s="106"/>
      <ns0:c r="U477" s="106"/>
      <ns0:c r="V477" s="106"/>
      <ns0:c r="W477" s="106"/>
      <ns0:c r="X477" s="106"/>
      <ns0:c r="Y477" s="106"/>
      <ns0:c r="Z477" s="106"/>
      <ns0:c r="AA477" s="106"/>
      <ns0:c r="AB477" s="106"/>
      <ns0:c r="AC477" s="115"/>
    </ns0:row>
    <ns0:row r="478" spans="1:29">
      <ns0:c r="A478" s="106"/>
      <ns0:c r="B478" s="107"/>
      <ns0:c r="C478" s="108"/>
      <ns0:c r="D478" s="109"/>
      <ns0:c r="E478" s="106"/>
      <ns0:c r="F478" s="106"/>
      <ns0:c r="G478" s="106"/>
      <ns0:c r="H478" s="106"/>
      <ns0:c r="I478" s="106"/>
      <ns0:c r="J478" s="106"/>
      <ns0:c r="K478" s="106"/>
      <ns0:c r="L478" s="106"/>
      <ns0:c r="M478" s="106"/>
      <ns0:c r="N478" s="106"/>
      <ns0:c r="O478" s="106"/>
      <ns0:c r="P478" s="106"/>
      <ns0:c r="Q478" s="106"/>
      <ns0:c r="R478" s="106"/>
      <ns0:c r="S478" s="106"/>
      <ns0:c r="T478" s="106"/>
      <ns0:c r="U478" s="106"/>
      <ns0:c r="V478" s="106"/>
      <ns0:c r="W478" s="106"/>
      <ns0:c r="X478" s="106"/>
      <ns0:c r="Y478" s="106"/>
      <ns0:c r="Z478" s="106"/>
      <ns0:c r="AA478" s="106"/>
      <ns0:c r="AB478" s="106"/>
      <ns0:c r="AC478" s="115"/>
    </ns0:row>
    <ns0:row r="479" spans="1:29">
      <ns0:c r="A479" s="106"/>
      <ns0:c r="B479" s="107"/>
      <ns0:c r="C479" s="108"/>
      <ns0:c r="D479" s="109"/>
      <ns0:c r="E479" s="106"/>
      <ns0:c r="F479" s="106"/>
      <ns0:c r="G479" s="106"/>
      <ns0:c r="H479" s="106"/>
      <ns0:c r="I479" s="106"/>
      <ns0:c r="J479" s="106"/>
      <ns0:c r="K479" s="106"/>
      <ns0:c r="L479" s="106"/>
      <ns0:c r="M479" s="106"/>
      <ns0:c r="N479" s="106"/>
      <ns0:c r="O479" s="106"/>
      <ns0:c r="P479" s="106"/>
      <ns0:c r="Q479" s="106"/>
      <ns0:c r="R479" s="106"/>
      <ns0:c r="S479" s="106"/>
      <ns0:c r="T479" s="106"/>
      <ns0:c r="U479" s="106"/>
      <ns0:c r="V479" s="106"/>
      <ns0:c r="W479" s="106"/>
      <ns0:c r="X479" s="106"/>
      <ns0:c r="Y479" s="106"/>
      <ns0:c r="Z479" s="106"/>
      <ns0:c r="AA479" s="106"/>
      <ns0:c r="AB479" s="106"/>
      <ns0:c r="AC479" s="115"/>
    </ns0:row>
    <ns0:row r="480" spans="1:29">
      <ns0:c r="A480" s="106"/>
      <ns0:c r="B480" s="110"/>
      <ns0:c r="C480" s="110"/>
      <ns0:c r="D480" s="109"/>
      <ns0:c r="E480" s="106"/>
      <ns0:c r="F480" s="106"/>
      <ns0:c r="G480" s="106"/>
      <ns0:c r="H480" s="106"/>
      <ns0:c r="I480" s="106"/>
      <ns0:c r="J480" s="106"/>
      <ns0:c r="K480" s="106"/>
      <ns0:c r="L480" s="106"/>
      <ns0:c r="M480" s="106"/>
      <ns0:c r="N480" s="106"/>
      <ns0:c r="O480" s="106"/>
      <ns0:c r="P480" s="106"/>
      <ns0:c r="Q480" s="106"/>
      <ns0:c r="R480" s="106"/>
      <ns0:c r="S480" s="106"/>
      <ns0:c r="T480" s="106"/>
      <ns0:c r="U480" s="106"/>
      <ns0:c r="V480" s="106"/>
      <ns0:c r="W480" s="106"/>
      <ns0:c r="X480" s="106"/>
      <ns0:c r="Y480" s="106"/>
      <ns0:c r="Z480" s="106"/>
      <ns0:c r="AA480" s="106"/>
      <ns0:c r="AB480" s="106"/>
      <ns0:c r="AC480" s="115"/>
    </ns0:row>
    <ns0:row r="481" spans="1:29">
      <ns0:c r="A481" s="106"/>
      <ns0:c r="B481" s="107"/>
      <ns0:c r="C481" s="108"/>
      <ns0:c r="D481" s="109"/>
      <ns0:c r="E481" s="106"/>
      <ns0:c r="F481" s="106"/>
      <ns0:c r="G481" s="106"/>
      <ns0:c r="H481" s="106"/>
      <ns0:c r="I481" s="106"/>
      <ns0:c r="J481" s="106"/>
      <ns0:c r="K481" s="106"/>
      <ns0:c r="L481" s="106"/>
      <ns0:c r="M481" s="106"/>
      <ns0:c r="N481" s="106"/>
      <ns0:c r="O481" s="106"/>
      <ns0:c r="P481" s="106"/>
      <ns0:c r="Q481" s="106"/>
      <ns0:c r="R481" s="106"/>
      <ns0:c r="S481" s="106"/>
      <ns0:c r="T481" s="106"/>
      <ns0:c r="U481" s="106"/>
      <ns0:c r="V481" s="106"/>
      <ns0:c r="W481" s="106"/>
      <ns0:c r="X481" s="106"/>
      <ns0:c r="Y481" s="106"/>
      <ns0:c r="Z481" s="106"/>
      <ns0:c r="AA481" s="106"/>
      <ns0:c r="AB481" s="106"/>
      <ns0:c r="AC481" s="115"/>
    </ns0:row>
    <ns0:row r="482" spans="1:29">
      <ns0:c r="A482" s="106"/>
      <ns0:c r="B482" s="107"/>
      <ns0:c r="C482" s="108"/>
      <ns0:c r="D482" s="109"/>
      <ns0:c r="E482" s="106"/>
      <ns0:c r="F482" s="106"/>
      <ns0:c r="G482" s="106"/>
      <ns0:c r="H482" s="106"/>
      <ns0:c r="I482" s="106"/>
      <ns0:c r="J482" s="106"/>
      <ns0:c r="K482" s="106"/>
      <ns0:c r="L482" s="106"/>
      <ns0:c r="M482" s="106"/>
      <ns0:c r="N482" s="106"/>
      <ns0:c r="O482" s="106"/>
      <ns0:c r="P482" s="106"/>
      <ns0:c r="Q482" s="106"/>
      <ns0:c r="R482" s="106"/>
      <ns0:c r="S482" s="106"/>
      <ns0:c r="T482" s="106"/>
      <ns0:c r="U482" s="106"/>
      <ns0:c r="V482" s="106"/>
      <ns0:c r="W482" s="106"/>
      <ns0:c r="X482" s="106"/>
      <ns0:c r="Y482" s="106"/>
      <ns0:c r="Z482" s="106"/>
      <ns0:c r="AA482" s="106"/>
      <ns0:c r="AB482" s="106"/>
      <ns0:c r="AC482" s="115"/>
    </ns0:row>
    <ns0:row r="483" spans="1:29">
      <ns0:c r="A483" s="106"/>
      <ns0:c r="B483" s="107"/>
      <ns0:c r="C483" s="108"/>
      <ns0:c r="D483" s="109"/>
      <ns0:c r="E483" s="112"/>
      <ns0:c r="F483" s="112"/>
      <ns0:c r="G483" s="112"/>
      <ns0:c r="H483" s="112"/>
      <ns0:c r="I483" s="112"/>
      <ns0:c r="J483" s="112"/>
      <ns0:c r="K483" s="112"/>
      <ns0:c r="L483" s="112"/>
      <ns0:c r="M483" s="112"/>
      <ns0:c r="N483" s="112"/>
      <ns0:c r="O483" s="112"/>
      <ns0:c r="P483" s="112"/>
      <ns0:c r="Q483" s="112"/>
      <ns0:c r="R483" s="112"/>
      <ns0:c r="S483" s="112"/>
      <ns0:c r="T483" s="112"/>
      <ns0:c r="U483" s="112"/>
      <ns0:c r="V483" s="112"/>
      <ns0:c r="W483" s="112"/>
      <ns0:c r="X483" s="112"/>
      <ns0:c r="Y483" s="112"/>
      <ns0:c r="Z483" s="112"/>
      <ns0:c r="AA483" s="112"/>
      <ns0:c r="AB483" s="112"/>
      <ns0:c r="AC483" s="115"/>
    </ns0:row>
    <ns0:row r="484" spans="1:29">
      <ns0:c r="A484" s="106"/>
      <ns0:c r="B484" s="106"/>
      <ns0:c r="C484" s="106"/>
      <ns0:c r="D484" s="109"/>
      <ns0:c r="E484" s="112"/>
      <ns0:c r="F484" s="112"/>
      <ns0:c r="G484" s="112"/>
      <ns0:c r="H484" s="112"/>
      <ns0:c r="I484" s="112"/>
      <ns0:c r="J484" s="112"/>
      <ns0:c r="K484" s="112"/>
      <ns0:c r="L484" s="112"/>
      <ns0:c r="M484" s="112"/>
      <ns0:c r="N484" s="112"/>
      <ns0:c r="O484" s="112"/>
      <ns0:c r="P484" s="112"/>
      <ns0:c r="Q484" s="112"/>
      <ns0:c r="R484" s="112"/>
      <ns0:c r="S484" s="112"/>
      <ns0:c r="T484" s="112"/>
      <ns0:c r="U484" s="112"/>
      <ns0:c r="V484" s="112"/>
      <ns0:c r="W484" s="112"/>
      <ns0:c r="X484" s="112"/>
      <ns0:c r="Y484" s="112"/>
      <ns0:c r="Z484" s="112"/>
      <ns0:c r="AA484" s="112"/>
      <ns0:c r="AB484" s="112"/>
      <ns0:c r="AC484" s="112"/>
    </ns0:row>
    <ns0:row r="485" spans="1:29">
      <ns0:c r="A485" s="106"/>
      <ns0:c r="B485" s="107"/>
      <ns0:c r="C485" s="108"/>
      <ns0:c r="D485" s="109"/>
      <ns0:c r="E485" s="106"/>
      <ns0:c r="F485" s="106"/>
      <ns0:c r="G485" s="106"/>
      <ns0:c r="H485" s="106"/>
      <ns0:c r="I485" s="106"/>
      <ns0:c r="J485" s="106"/>
      <ns0:c r="K485" s="106"/>
      <ns0:c r="L485" s="106"/>
      <ns0:c r="M485" s="106"/>
      <ns0:c r="N485" s="106"/>
      <ns0:c r="O485" s="106"/>
      <ns0:c r="P485" s="106"/>
      <ns0:c r="Q485" s="106"/>
      <ns0:c r="R485" s="106"/>
      <ns0:c r="S485" s="106"/>
      <ns0:c r="T485" s="106"/>
      <ns0:c r="U485" s="106"/>
      <ns0:c r="V485" s="106"/>
      <ns0:c r="W485" s="106"/>
      <ns0:c r="X485" s="106"/>
      <ns0:c r="Y485" s="106"/>
      <ns0:c r="Z485" s="106"/>
      <ns0:c r="AA485" s="106"/>
      <ns0:c r="AB485" s="106"/>
      <ns0:c r="AC485" s="115"/>
    </ns0:row>
    <ns0:row r="486" spans="1:29">
      <ns0:c r="A486" s="106"/>
      <ns0:c r="B486" s="107"/>
      <ns0:c r="C486" s="108"/>
      <ns0:c r="D486" s="109"/>
      <ns0:c r="E486" s="106"/>
      <ns0:c r="F486" s="106"/>
      <ns0:c r="G486" s="106"/>
      <ns0:c r="H486" s="106"/>
      <ns0:c r="I486" s="106"/>
      <ns0:c r="J486" s="106"/>
      <ns0:c r="K486" s="106"/>
      <ns0:c r="L486" s="106"/>
      <ns0:c r="M486" s="106"/>
      <ns0:c r="N486" s="106"/>
      <ns0:c r="O486" s="106"/>
      <ns0:c r="P486" s="106"/>
      <ns0:c r="Q486" s="106"/>
      <ns0:c r="R486" s="106"/>
      <ns0:c r="S486" s="106"/>
      <ns0:c r="T486" s="106"/>
      <ns0:c r="U486" s="106"/>
      <ns0:c r="V486" s="106"/>
      <ns0:c r="W486" s="106"/>
      <ns0:c r="X486" s="106"/>
      <ns0:c r="Y486" s="106"/>
      <ns0:c r="Z486" s="106"/>
      <ns0:c r="AA486" s="106"/>
      <ns0:c r="AB486" s="106"/>
      <ns0:c r="AC486" s="115"/>
    </ns0:row>
    <ns0:row r="487" spans="1:29">
      <ns0:c r="A487" s="106"/>
      <ns0:c r="B487" s="107"/>
      <ns0:c r="C487" s="108"/>
      <ns0:c r="D487" s="109"/>
      <ns0:c r="E487" s="106"/>
      <ns0:c r="F487" s="106"/>
      <ns0:c r="G487" s="106"/>
      <ns0:c r="H487" s="106"/>
      <ns0:c r="I487" s="106"/>
      <ns0:c r="J487" s="106"/>
      <ns0:c r="K487" s="106"/>
      <ns0:c r="L487" s="106"/>
      <ns0:c r="M487" s="106"/>
      <ns0:c r="N487" s="106"/>
      <ns0:c r="O487" s="106"/>
      <ns0:c r="P487" s="106"/>
      <ns0:c r="Q487" s="106"/>
      <ns0:c r="R487" s="106"/>
      <ns0:c r="S487" s="106"/>
      <ns0:c r="T487" s="106"/>
      <ns0:c r="U487" s="106"/>
      <ns0:c r="V487" s="106"/>
      <ns0:c r="W487" s="106"/>
      <ns0:c r="X487" s="106"/>
      <ns0:c r="Y487" s="106"/>
      <ns0:c r="Z487" s="106"/>
      <ns0:c r="AA487" s="106"/>
      <ns0:c r="AB487" s="106"/>
      <ns0:c r="AC487" s="115"/>
    </ns0:row>
    <ns0:row r="488" spans="1:29">
      <ns0:c r="A488" s="106"/>
      <ns0:c r="B488" s="107"/>
      <ns0:c r="C488" s="108"/>
      <ns0:c r="D488" s="109"/>
      <ns0:c r="E488" s="106"/>
      <ns0:c r="F488" s="106"/>
      <ns0:c r="G488" s="106"/>
      <ns0:c r="H488" s="106"/>
      <ns0:c r="I488" s="106"/>
      <ns0:c r="J488" s="106"/>
      <ns0:c r="K488" s="106"/>
      <ns0:c r="L488" s="106"/>
      <ns0:c r="M488" s="106"/>
      <ns0:c r="N488" s="106"/>
      <ns0:c r="O488" s="106"/>
      <ns0:c r="P488" s="106"/>
      <ns0:c r="Q488" s="106"/>
      <ns0:c r="R488" s="106"/>
      <ns0:c r="S488" s="106"/>
      <ns0:c r="T488" s="106"/>
      <ns0:c r="U488" s="106"/>
      <ns0:c r="V488" s="106"/>
      <ns0:c r="W488" s="106"/>
      <ns0:c r="X488" s="106"/>
      <ns0:c r="Y488" s="106"/>
      <ns0:c r="Z488" s="106"/>
      <ns0:c r="AA488" s="106"/>
      <ns0:c r="AB488" s="106"/>
      <ns0:c r="AC488" s="115"/>
    </ns0:row>
    <ns0:row r="489" spans="1:29">
      <ns0:c r="A489" s="106"/>
      <ns0:c r="B489" s="107"/>
      <ns0:c r="C489" s="108"/>
      <ns0:c r="D489" s="109"/>
      <ns0:c r="E489" s="106"/>
      <ns0:c r="F489" s="106"/>
      <ns0:c r="G489" s="106"/>
      <ns0:c r="H489" s="106"/>
      <ns0:c r="I489" s="106"/>
      <ns0:c r="J489" s="106"/>
      <ns0:c r="K489" s="106"/>
      <ns0:c r="L489" s="106"/>
      <ns0:c r="M489" s="106"/>
      <ns0:c r="N489" s="106"/>
      <ns0:c r="O489" s="106"/>
      <ns0:c r="P489" s="106"/>
      <ns0:c r="Q489" s="106"/>
      <ns0:c r="R489" s="106"/>
      <ns0:c r="S489" s="106"/>
      <ns0:c r="T489" s="106"/>
      <ns0:c r="U489" s="106"/>
      <ns0:c r="V489" s="106"/>
      <ns0:c r="W489" s="106"/>
      <ns0:c r="X489" s="106"/>
      <ns0:c r="Y489" s="106"/>
      <ns0:c r="Z489" s="106"/>
      <ns0:c r="AA489" s="106"/>
      <ns0:c r="AB489" s="106"/>
      <ns0:c r="AC489" s="115"/>
    </ns0:row>
    <ns0:row r="490" spans="1:29">
      <ns0:c r="A490" s="106"/>
      <ns0:c r="B490" s="107"/>
      <ns0:c r="C490" s="108"/>
      <ns0:c r="D490" s="109"/>
      <ns0:c r="E490" s="106"/>
      <ns0:c r="F490" s="106"/>
      <ns0:c r="G490" s="106"/>
      <ns0:c r="H490" s="106"/>
      <ns0:c r="I490" s="106"/>
      <ns0:c r="J490" s="106"/>
      <ns0:c r="K490" s="106"/>
      <ns0:c r="L490" s="106"/>
      <ns0:c r="M490" s="106"/>
      <ns0:c r="N490" s="106"/>
      <ns0:c r="O490" s="106"/>
      <ns0:c r="P490" s="106"/>
      <ns0:c r="Q490" s="106"/>
      <ns0:c r="R490" s="106"/>
      <ns0:c r="S490" s="106"/>
      <ns0:c r="T490" s="106"/>
      <ns0:c r="U490" s="106"/>
      <ns0:c r="V490" s="106"/>
      <ns0:c r="W490" s="106"/>
      <ns0:c r="X490" s="106"/>
      <ns0:c r="Y490" s="106"/>
      <ns0:c r="Z490" s="106"/>
      <ns0:c r="AA490" s="106"/>
      <ns0:c r="AB490" s="106"/>
      <ns0:c r="AC490" s="115"/>
    </ns0:row>
    <ns0:row r="491" spans="1:29">
      <ns0:c r="A491" s="106"/>
      <ns0:c r="B491" s="107"/>
      <ns0:c r="C491" s="108"/>
      <ns0:c r="D491" s="109"/>
      <ns0:c r="E491" s="106"/>
      <ns0:c r="F491" s="106"/>
      <ns0:c r="G491" s="106"/>
      <ns0:c r="H491" s="106"/>
      <ns0:c r="I491" s="106"/>
      <ns0:c r="J491" s="106"/>
      <ns0:c r="K491" s="106"/>
      <ns0:c r="L491" s="106"/>
      <ns0:c r="M491" s="106"/>
      <ns0:c r="N491" s="106"/>
      <ns0:c r="O491" s="106"/>
      <ns0:c r="P491" s="106"/>
      <ns0:c r="Q491" s="106"/>
      <ns0:c r="R491" s="106"/>
      <ns0:c r="S491" s="106"/>
      <ns0:c r="T491" s="106"/>
      <ns0:c r="U491" s="106"/>
      <ns0:c r="V491" s="106"/>
      <ns0:c r="W491" s="106"/>
      <ns0:c r="X491" s="106"/>
      <ns0:c r="Y491" s="106"/>
      <ns0:c r="Z491" s="106"/>
      <ns0:c r="AA491" s="106"/>
      <ns0:c r="AB491" s="106"/>
      <ns0:c r="AC491" s="115"/>
    </ns0:row>
    <ns0:row r="492" spans="1:29">
      <ns0:c r="A492" s="106"/>
      <ns0:c r="B492" s="107"/>
      <ns0:c r="C492" s="108"/>
      <ns0:c r="D492" s="109"/>
      <ns0:c r="E492" s="106"/>
      <ns0:c r="F492" s="106"/>
      <ns0:c r="G492" s="106"/>
      <ns0:c r="H492" s="106"/>
      <ns0:c r="I492" s="106"/>
      <ns0:c r="J492" s="106"/>
      <ns0:c r="K492" s="106"/>
      <ns0:c r="L492" s="106"/>
      <ns0:c r="M492" s="106"/>
      <ns0:c r="N492" s="106"/>
      <ns0:c r="O492" s="106"/>
      <ns0:c r="P492" s="106"/>
      <ns0:c r="Q492" s="106"/>
      <ns0:c r="R492" s="106"/>
      <ns0:c r="S492" s="106"/>
      <ns0:c r="T492" s="106"/>
      <ns0:c r="U492" s="106"/>
      <ns0:c r="V492" s="106"/>
      <ns0:c r="W492" s="106"/>
      <ns0:c r="X492" s="106"/>
      <ns0:c r="Y492" s="106"/>
      <ns0:c r="Z492" s="106"/>
      <ns0:c r="AA492" s="106"/>
      <ns0:c r="AB492" s="106"/>
      <ns0:c r="AC492" s="115"/>
    </ns0:row>
    <ns0:row r="493" spans="1:29">
      <ns0:c r="A493" s="106"/>
      <ns0:c r="B493" s="110"/>
      <ns0:c r="C493" s="110"/>
      <ns0:c r="D493" s="109"/>
      <ns0:c r="E493" s="106"/>
      <ns0:c r="F493" s="106"/>
      <ns0:c r="G493" s="106"/>
      <ns0:c r="H493" s="106"/>
      <ns0:c r="I493" s="106"/>
      <ns0:c r="J493" s="106"/>
      <ns0:c r="K493" s="106"/>
      <ns0:c r="L493" s="106"/>
      <ns0:c r="M493" s="106"/>
      <ns0:c r="N493" s="106"/>
      <ns0:c r="O493" s="106"/>
      <ns0:c r="P493" s="106"/>
      <ns0:c r="Q493" s="106"/>
      <ns0:c r="R493" s="106"/>
      <ns0:c r="S493" s="106"/>
      <ns0:c r="T493" s="106"/>
      <ns0:c r="U493" s="106"/>
      <ns0:c r="V493" s="106"/>
      <ns0:c r="W493" s="106"/>
      <ns0:c r="X493" s="106"/>
      <ns0:c r="Y493" s="106"/>
      <ns0:c r="Z493" s="106"/>
      <ns0:c r="AA493" s="106"/>
      <ns0:c r="AB493" s="106"/>
      <ns0:c r="AC493" s="115"/>
    </ns0:row>
    <ns0:row r="494" spans="1:29">
      <ns0:c r="A494" s="106"/>
      <ns0:c r="B494" s="107"/>
      <ns0:c r="C494" s="108"/>
      <ns0:c r="D494" s="109"/>
      <ns0:c r="E494" s="106"/>
      <ns0:c r="F494" s="106"/>
      <ns0:c r="G494" s="106"/>
      <ns0:c r="H494" s="106"/>
      <ns0:c r="I494" s="106"/>
      <ns0:c r="J494" s="106"/>
      <ns0:c r="K494" s="106"/>
      <ns0:c r="L494" s="106"/>
      <ns0:c r="M494" s="106"/>
      <ns0:c r="N494" s="106"/>
      <ns0:c r="O494" s="106"/>
      <ns0:c r="P494" s="106"/>
      <ns0:c r="Q494" s="106"/>
      <ns0:c r="R494" s="106"/>
      <ns0:c r="S494" s="106"/>
      <ns0:c r="T494" s="106"/>
      <ns0:c r="U494" s="106"/>
      <ns0:c r="V494" s="106"/>
      <ns0:c r="W494" s="106"/>
      <ns0:c r="X494" s="106"/>
      <ns0:c r="Y494" s="106"/>
      <ns0:c r="Z494" s="106"/>
      <ns0:c r="AA494" s="106"/>
      <ns0:c r="AB494" s="106"/>
      <ns0:c r="AC494" s="115"/>
    </ns0:row>
    <ns0:row r="495" spans="1:29">
      <ns0:c r="A495" s="106"/>
      <ns0:c r="B495" s="107"/>
      <ns0:c r="C495" s="108"/>
      <ns0:c r="D495" s="109"/>
      <ns0:c r="E495" s="106"/>
      <ns0:c r="F495" s="106"/>
      <ns0:c r="G495" s="106"/>
      <ns0:c r="H495" s="106"/>
      <ns0:c r="I495" s="106"/>
      <ns0:c r="J495" s="106"/>
      <ns0:c r="K495" s="106"/>
      <ns0:c r="L495" s="106"/>
      <ns0:c r="M495" s="106"/>
      <ns0:c r="N495" s="106"/>
      <ns0:c r="O495" s="106"/>
      <ns0:c r="P495" s="106"/>
      <ns0:c r="Q495" s="106"/>
      <ns0:c r="R495" s="106"/>
      <ns0:c r="S495" s="106"/>
      <ns0:c r="T495" s="106"/>
      <ns0:c r="U495" s="106"/>
      <ns0:c r="V495" s="106"/>
      <ns0:c r="W495" s="106"/>
      <ns0:c r="X495" s="106"/>
      <ns0:c r="Y495" s="106"/>
      <ns0:c r="Z495" s="106"/>
      <ns0:c r="AA495" s="106"/>
      <ns0:c r="AB495" s="106"/>
      <ns0:c r="AC495" s="115"/>
    </ns0:row>
    <ns0:row r="496" spans="1:29">
      <ns0:c r="A496" s="106"/>
      <ns0:c r="B496" s="107"/>
      <ns0:c r="C496" s="108"/>
      <ns0:c r="D496" s="109"/>
      <ns0:c r="E496" s="112"/>
      <ns0:c r="F496" s="112"/>
      <ns0:c r="G496" s="112"/>
      <ns0:c r="H496" s="112"/>
      <ns0:c r="I496" s="112"/>
      <ns0:c r="J496" s="112"/>
      <ns0:c r="K496" s="112"/>
      <ns0:c r="L496" s="112"/>
      <ns0:c r="M496" s="112"/>
      <ns0:c r="N496" s="112"/>
      <ns0:c r="O496" s="112"/>
      <ns0:c r="P496" s="112"/>
      <ns0:c r="Q496" s="112"/>
      <ns0:c r="R496" s="112"/>
      <ns0:c r="S496" s="112"/>
      <ns0:c r="T496" s="112"/>
      <ns0:c r="U496" s="112"/>
      <ns0:c r="V496" s="112"/>
      <ns0:c r="W496" s="112"/>
      <ns0:c r="X496" s="112"/>
      <ns0:c r="Y496" s="112"/>
      <ns0:c r="Z496" s="112"/>
      <ns0:c r="AA496" s="112"/>
      <ns0:c r="AB496" s="112"/>
      <ns0:c r="AC496" s="115"/>
    </ns0:row>
    <ns0:row r="497" spans="1:29">
      <ns0:c r="A497" s="106"/>
      <ns0:c r="B497" s="106"/>
      <ns0:c r="C497" s="106"/>
      <ns0:c r="D497" s="109"/>
      <ns0:c r="E497" s="112"/>
      <ns0:c r="F497" s="112"/>
      <ns0:c r="G497" s="112"/>
      <ns0:c r="H497" s="112"/>
      <ns0:c r="I497" s="112"/>
      <ns0:c r="J497" s="112"/>
      <ns0:c r="K497" s="112"/>
      <ns0:c r="L497" s="112"/>
      <ns0:c r="M497" s="112"/>
      <ns0:c r="N497" s="112"/>
      <ns0:c r="O497" s="112"/>
      <ns0:c r="P497" s="112"/>
      <ns0:c r="Q497" s="112"/>
      <ns0:c r="R497" s="112"/>
      <ns0:c r="S497" s="112"/>
      <ns0:c r="T497" s="112"/>
      <ns0:c r="U497" s="112"/>
      <ns0:c r="V497" s="112"/>
      <ns0:c r="W497" s="112"/>
      <ns0:c r="X497" s="112"/>
      <ns0:c r="Y497" s="112"/>
      <ns0:c r="Z497" s="112"/>
      <ns0:c r="AA497" s="112"/>
      <ns0:c r="AB497" s="112"/>
      <ns0:c r="AC497" s="112"/>
    </ns0:row>
    <ns0:row r="498" spans="1:29">
      <ns0:c r="A498" s="106"/>
      <ns0:c r="B498" s="107"/>
      <ns0:c r="C498" s="108"/>
      <ns0:c r="D498" s="109"/>
      <ns0:c r="E498" s="106"/>
      <ns0:c r="F498" s="106"/>
      <ns0:c r="G498" s="106"/>
      <ns0:c r="H498" s="106"/>
      <ns0:c r="I498" s="106"/>
      <ns0:c r="J498" s="106"/>
      <ns0:c r="K498" s="106"/>
      <ns0:c r="L498" s="106"/>
      <ns0:c r="M498" s="106"/>
      <ns0:c r="N498" s="106"/>
      <ns0:c r="O498" s="106"/>
      <ns0:c r="P498" s="106"/>
      <ns0:c r="Q498" s="106"/>
      <ns0:c r="R498" s="106"/>
      <ns0:c r="S498" s="106"/>
      <ns0:c r="T498" s="106"/>
      <ns0:c r="U498" s="106"/>
      <ns0:c r="V498" s="106"/>
      <ns0:c r="W498" s="106"/>
      <ns0:c r="X498" s="106"/>
      <ns0:c r="Y498" s="106"/>
      <ns0:c r="Z498" s="106"/>
      <ns0:c r="AA498" s="106"/>
      <ns0:c r="AB498" s="106"/>
      <ns0:c r="AC498" s="115"/>
    </ns0:row>
    <ns0:row r="499" spans="1:29">
      <ns0:c r="A499" s="106"/>
      <ns0:c r="B499" s="107"/>
      <ns0:c r="C499" s="108"/>
      <ns0:c r="D499" s="109"/>
      <ns0:c r="E499" s="106"/>
      <ns0:c r="F499" s="106"/>
      <ns0:c r="G499" s="106"/>
      <ns0:c r="H499" s="106"/>
      <ns0:c r="I499" s="106"/>
      <ns0:c r="J499" s="106"/>
      <ns0:c r="K499" s="106"/>
      <ns0:c r="L499" s="106"/>
      <ns0:c r="M499" s="106"/>
      <ns0:c r="N499" s="106"/>
      <ns0:c r="O499" s="106"/>
      <ns0:c r="P499" s="106"/>
      <ns0:c r="Q499" s="106"/>
      <ns0:c r="R499" s="106"/>
      <ns0:c r="S499" s="106"/>
      <ns0:c r="T499" s="106"/>
      <ns0:c r="U499" s="106"/>
      <ns0:c r="V499" s="106"/>
      <ns0:c r="W499" s="106"/>
      <ns0:c r="X499" s="106"/>
      <ns0:c r="Y499" s="106"/>
      <ns0:c r="Z499" s="106"/>
      <ns0:c r="AA499" s="106"/>
      <ns0:c r="AB499" s="106"/>
      <ns0:c r="AC499" s="115"/>
    </ns0:row>
    <ns0:row r="500" spans="1:29">
      <ns0:c r="A500" s="106"/>
      <ns0:c r="B500" s="107"/>
      <ns0:c r="C500" s="108"/>
      <ns0:c r="D500" s="109"/>
      <ns0:c r="E500" s="106"/>
      <ns0:c r="F500" s="106"/>
      <ns0:c r="G500" s="106"/>
      <ns0:c r="H500" s="106"/>
      <ns0:c r="I500" s="106"/>
      <ns0:c r="J500" s="106"/>
      <ns0:c r="K500" s="106"/>
      <ns0:c r="L500" s="106"/>
      <ns0:c r="M500" s="106"/>
      <ns0:c r="N500" s="106"/>
      <ns0:c r="O500" s="106"/>
      <ns0:c r="P500" s="106"/>
      <ns0:c r="Q500" s="106"/>
      <ns0:c r="R500" s="106"/>
      <ns0:c r="S500" s="106"/>
      <ns0:c r="T500" s="106"/>
      <ns0:c r="U500" s="106"/>
      <ns0:c r="V500" s="106"/>
      <ns0:c r="W500" s="106"/>
      <ns0:c r="X500" s="106"/>
      <ns0:c r="Y500" s="106"/>
      <ns0:c r="Z500" s="106"/>
      <ns0:c r="AA500" s="106"/>
      <ns0:c r="AB500" s="106"/>
      <ns0:c r="AC500" s="115"/>
    </ns0:row>
    <ns0:row r="501" spans="1:29">
      <ns0:c r="A501" s="106"/>
      <ns0:c r="B501" s="107"/>
      <ns0:c r="C501" s="108"/>
      <ns0:c r="D501" s="109"/>
      <ns0:c r="E501" s="106"/>
      <ns0:c r="F501" s="106"/>
      <ns0:c r="G501" s="106"/>
      <ns0:c r="H501" s="106"/>
      <ns0:c r="I501" s="106"/>
      <ns0:c r="J501" s="106"/>
      <ns0:c r="K501" s="106"/>
      <ns0:c r="L501" s="106"/>
      <ns0:c r="M501" s="106"/>
      <ns0:c r="N501" s="106"/>
      <ns0:c r="O501" s="106"/>
      <ns0:c r="P501" s="106"/>
      <ns0:c r="Q501" s="106"/>
      <ns0:c r="R501" s="106"/>
      <ns0:c r="S501" s="106"/>
      <ns0:c r="T501" s="106"/>
      <ns0:c r="U501" s="106"/>
      <ns0:c r="V501" s="106"/>
      <ns0:c r="W501" s="106"/>
      <ns0:c r="X501" s="106"/>
      <ns0:c r="Y501" s="106"/>
      <ns0:c r="Z501" s="106"/>
      <ns0:c r="AA501" s="106"/>
      <ns0:c r="AB501" s="106"/>
      <ns0:c r="AC501" s="115"/>
    </ns0:row>
    <ns0:row r="502" spans="1:29">
      <ns0:c r="A502" s="106"/>
      <ns0:c r="B502" s="107"/>
      <ns0:c r="C502" s="108"/>
      <ns0:c r="D502" s="109"/>
      <ns0:c r="E502" s="106"/>
      <ns0:c r="F502" s="106"/>
      <ns0:c r="G502" s="106"/>
      <ns0:c r="H502" s="106"/>
      <ns0:c r="I502" s="106"/>
      <ns0:c r="J502" s="106"/>
      <ns0:c r="K502" s="106"/>
      <ns0:c r="L502" s="106"/>
      <ns0:c r="M502" s="106"/>
      <ns0:c r="N502" s="106"/>
      <ns0:c r="O502" s="106"/>
      <ns0:c r="P502" s="106"/>
      <ns0:c r="Q502" s="106"/>
      <ns0:c r="R502" s="106"/>
      <ns0:c r="S502" s="106"/>
      <ns0:c r="T502" s="106"/>
      <ns0:c r="U502" s="106"/>
      <ns0:c r="V502" s="106"/>
      <ns0:c r="W502" s="106"/>
      <ns0:c r="X502" s="106"/>
      <ns0:c r="Y502" s="106"/>
      <ns0:c r="Z502" s="106"/>
      <ns0:c r="AA502" s="106"/>
      <ns0:c r="AB502" s="106"/>
      <ns0:c r="AC502" s="115"/>
    </ns0:row>
    <ns0:row r="503" spans="1:29">
      <ns0:c r="A503" s="106"/>
      <ns0:c r="B503" s="107"/>
      <ns0:c r="C503" s="108"/>
      <ns0:c r="D503" s="109"/>
      <ns0:c r="E503" s="106"/>
      <ns0:c r="F503" s="106"/>
      <ns0:c r="G503" s="106"/>
      <ns0:c r="H503" s="106"/>
      <ns0:c r="I503" s="106"/>
      <ns0:c r="J503" s="106"/>
      <ns0:c r="K503" s="106"/>
      <ns0:c r="L503" s="106"/>
      <ns0:c r="M503" s="106"/>
      <ns0:c r="N503" s="106"/>
      <ns0:c r="O503" s="106"/>
      <ns0:c r="P503" s="106"/>
      <ns0:c r="Q503" s="106"/>
      <ns0:c r="R503" s="106"/>
      <ns0:c r="S503" s="106"/>
      <ns0:c r="T503" s="106"/>
      <ns0:c r="U503" s="106"/>
      <ns0:c r="V503" s="106"/>
      <ns0:c r="W503" s="106"/>
      <ns0:c r="X503" s="106"/>
      <ns0:c r="Y503" s="106"/>
      <ns0:c r="Z503" s="106"/>
      <ns0:c r="AA503" s="106"/>
      <ns0:c r="AB503" s="106"/>
      <ns0:c r="AC503" s="115"/>
    </ns0:row>
    <ns0:row r="504" spans="1:29">
      <ns0:c r="A504" s="106"/>
      <ns0:c r="B504" s="107"/>
      <ns0:c r="C504" s="108"/>
      <ns0:c r="D504" s="109"/>
      <ns0:c r="E504" s="106"/>
      <ns0:c r="F504" s="106"/>
      <ns0:c r="G504" s="106"/>
      <ns0:c r="H504" s="106"/>
      <ns0:c r="I504" s="106"/>
      <ns0:c r="J504" s="106"/>
      <ns0:c r="K504" s="106"/>
      <ns0:c r="L504" s="106"/>
      <ns0:c r="M504" s="106"/>
      <ns0:c r="N504" s="106"/>
      <ns0:c r="O504" s="106"/>
      <ns0:c r="P504" s="106"/>
      <ns0:c r="Q504" s="106"/>
      <ns0:c r="R504" s="106"/>
      <ns0:c r="S504" s="106"/>
      <ns0:c r="T504" s="106"/>
      <ns0:c r="U504" s="106"/>
      <ns0:c r="V504" s="106"/>
      <ns0:c r="W504" s="106"/>
      <ns0:c r="X504" s="106"/>
      <ns0:c r="Y504" s="106"/>
      <ns0:c r="Z504" s="106"/>
      <ns0:c r="AA504" s="106"/>
      <ns0:c r="AB504" s="106"/>
      <ns0:c r="AC504" s="115"/>
    </ns0:row>
    <ns0:row r="505" spans="1:29">
      <ns0:c r="A505" s="106"/>
      <ns0:c r="B505" s="107"/>
      <ns0:c r="C505" s="108"/>
      <ns0:c r="D505" s="109"/>
      <ns0:c r="E505" s="106"/>
      <ns0:c r="F505" s="106"/>
      <ns0:c r="G505" s="106"/>
      <ns0:c r="H505" s="106"/>
      <ns0:c r="I505" s="106"/>
      <ns0:c r="J505" s="106"/>
      <ns0:c r="K505" s="106"/>
      <ns0:c r="L505" s="106"/>
      <ns0:c r="M505" s="106"/>
      <ns0:c r="N505" s="106"/>
      <ns0:c r="O505" s="106"/>
      <ns0:c r="P505" s="106"/>
      <ns0:c r="Q505" s="106"/>
      <ns0:c r="R505" s="106"/>
      <ns0:c r="S505" s="106"/>
      <ns0:c r="T505" s="106"/>
      <ns0:c r="U505" s="106"/>
      <ns0:c r="V505" s="106"/>
      <ns0:c r="W505" s="106"/>
      <ns0:c r="X505" s="106"/>
      <ns0:c r="Y505" s="106"/>
      <ns0:c r="Z505" s="106"/>
      <ns0:c r="AA505" s="106"/>
      <ns0:c r="AB505" s="106"/>
      <ns0:c r="AC505" s="115"/>
    </ns0:row>
    <ns0:row r="506" spans="1:29">
      <ns0:c r="A506" s="106"/>
      <ns0:c r="B506" s="110"/>
      <ns0:c r="C506" s="110"/>
      <ns0:c r="D506" s="109"/>
      <ns0:c r="E506" s="106"/>
      <ns0:c r="F506" s="106"/>
      <ns0:c r="G506" s="106"/>
      <ns0:c r="H506" s="106"/>
      <ns0:c r="I506" s="106"/>
      <ns0:c r="J506" s="106"/>
      <ns0:c r="K506" s="106"/>
      <ns0:c r="L506" s="106"/>
      <ns0:c r="M506" s="106"/>
      <ns0:c r="N506" s="106"/>
      <ns0:c r="O506" s="106"/>
      <ns0:c r="P506" s="106"/>
      <ns0:c r="Q506" s="106"/>
      <ns0:c r="R506" s="106"/>
      <ns0:c r="S506" s="106"/>
      <ns0:c r="T506" s="106"/>
      <ns0:c r="U506" s="106"/>
      <ns0:c r="V506" s="106"/>
      <ns0:c r="W506" s="106"/>
      <ns0:c r="X506" s="106"/>
      <ns0:c r="Y506" s="106"/>
      <ns0:c r="Z506" s="106"/>
      <ns0:c r="AA506" s="106"/>
      <ns0:c r="AB506" s="106"/>
      <ns0:c r="AC506" s="115"/>
    </ns0:row>
    <ns0:row r="507" spans="1:29">
      <ns0:c r="A507" s="106"/>
      <ns0:c r="B507" s="107"/>
      <ns0:c r="C507" s="108"/>
      <ns0:c r="D507" s="109"/>
      <ns0:c r="E507" s="106"/>
      <ns0:c r="F507" s="106"/>
      <ns0:c r="G507" s="106"/>
      <ns0:c r="H507" s="106"/>
      <ns0:c r="I507" s="106"/>
      <ns0:c r="J507" s="106"/>
      <ns0:c r="K507" s="106"/>
      <ns0:c r="L507" s="106"/>
      <ns0:c r="M507" s="106"/>
      <ns0:c r="N507" s="106"/>
      <ns0:c r="O507" s="106"/>
      <ns0:c r="P507" s="106"/>
      <ns0:c r="Q507" s="106"/>
      <ns0:c r="R507" s="106"/>
      <ns0:c r="S507" s="106"/>
      <ns0:c r="T507" s="106"/>
      <ns0:c r="U507" s="106"/>
      <ns0:c r="V507" s="106"/>
      <ns0:c r="W507" s="106"/>
      <ns0:c r="X507" s="106"/>
      <ns0:c r="Y507" s="106"/>
      <ns0:c r="Z507" s="106"/>
      <ns0:c r="AA507" s="106"/>
      <ns0:c r="AB507" s="106"/>
      <ns0:c r="AC507" s="115"/>
    </ns0:row>
    <ns0:row r="508" spans="1:29">
      <ns0:c r="A508" s="106"/>
      <ns0:c r="B508" s="107"/>
      <ns0:c r="C508" s="108"/>
      <ns0:c r="D508" s="109"/>
      <ns0:c r="E508" s="106"/>
      <ns0:c r="F508" s="106"/>
      <ns0:c r="G508" s="106"/>
      <ns0:c r="H508" s="106"/>
      <ns0:c r="I508" s="106"/>
      <ns0:c r="J508" s="106"/>
      <ns0:c r="K508" s="106"/>
      <ns0:c r="L508" s="106"/>
      <ns0:c r="M508" s="106"/>
      <ns0:c r="N508" s="106"/>
      <ns0:c r="O508" s="106"/>
      <ns0:c r="P508" s="106"/>
      <ns0:c r="Q508" s="106"/>
      <ns0:c r="R508" s="106"/>
      <ns0:c r="S508" s="106"/>
      <ns0:c r="T508" s="106"/>
      <ns0:c r="U508" s="106"/>
      <ns0:c r="V508" s="106"/>
      <ns0:c r="W508" s="106"/>
      <ns0:c r="X508" s="106"/>
      <ns0:c r="Y508" s="106"/>
      <ns0:c r="Z508" s="106"/>
      <ns0:c r="AA508" s="106"/>
      <ns0:c r="AB508" s="106"/>
      <ns0:c r="AC508" s="115"/>
    </ns0:row>
    <ns0:row r="509" spans="1:29">
      <ns0:c r="A509" s="106"/>
      <ns0:c r="B509" s="107"/>
      <ns0:c r="C509" s="108"/>
      <ns0:c r="D509" s="109"/>
      <ns0:c r="E509" s="112"/>
      <ns0:c r="F509" s="112"/>
      <ns0:c r="G509" s="112"/>
      <ns0:c r="H509" s="112"/>
      <ns0:c r="I509" s="112"/>
      <ns0:c r="J509" s="112"/>
      <ns0:c r="K509" s="112"/>
      <ns0:c r="L509" s="112"/>
      <ns0:c r="M509" s="112"/>
      <ns0:c r="N509" s="112"/>
      <ns0:c r="O509" s="112"/>
      <ns0:c r="P509" s="112"/>
      <ns0:c r="Q509" s="112"/>
      <ns0:c r="R509" s="112"/>
      <ns0:c r="S509" s="112"/>
      <ns0:c r="T509" s="112"/>
      <ns0:c r="U509" s="112"/>
      <ns0:c r="V509" s="112"/>
      <ns0:c r="W509" s="112"/>
      <ns0:c r="X509" s="112"/>
      <ns0:c r="Y509" s="112"/>
      <ns0:c r="Z509" s="112"/>
      <ns0:c r="AA509" s="112"/>
      <ns0:c r="AB509" s="112"/>
      <ns0:c r="AC509" s="115"/>
    </ns0:row>
    <ns0:row r="510" spans="1:29">
      <ns0:c r="A510" s="107"/>
      <ns0:c r="B510" s="107"/>
      <ns0:c r="C510" s="107"/>
      <ns0:c r="D510" s="109"/>
      <ns0:c r="E510" s="112"/>
      <ns0:c r="F510" s="112"/>
      <ns0:c r="G510" s="112"/>
      <ns0:c r="H510" s="112"/>
      <ns0:c r="I510" s="112"/>
      <ns0:c r="J510" s="112"/>
      <ns0:c r="K510" s="112"/>
      <ns0:c r="L510" s="112"/>
      <ns0:c r="M510" s="112"/>
      <ns0:c r="N510" s="112"/>
      <ns0:c r="O510" s="112"/>
      <ns0:c r="P510" s="112"/>
      <ns0:c r="Q510" s="112"/>
      <ns0:c r="R510" s="112"/>
      <ns0:c r="S510" s="112"/>
      <ns0:c r="T510" s="112"/>
      <ns0:c r="U510" s="112"/>
      <ns0:c r="V510" s="112"/>
      <ns0:c r="W510" s="112"/>
      <ns0:c r="X510" s="112"/>
      <ns0:c r="Y510" s="112"/>
      <ns0:c r="Z510" s="112"/>
      <ns0:c r="AA510" s="112"/>
      <ns0:c r="AB510" s="112"/>
      <ns0:c r="AC510" s="112"/>
    </ns0:row>
    <ns0:row r="511" spans="29:29">
      <ns0:c r="AC511" s="115"/>
    </ns0:row>
    <ns0:row r="512" spans="29:29">
      <ns0:c r="AC512" s="115"/>
    </ns0:row>
    <ns0:row r="513" spans="29:29">
      <ns0:c r="AC513" s="115"/>
    </ns0:row>
    <ns0:row r="514" spans="29:29">
      <ns0:c r="AC514" s="115"/>
    </ns0:row>
    <ns0:row r="515" spans="29:29">
      <ns0:c r="AC515" s="115"/>
    </ns0:row>
    <ns0:row r="516" spans="29:29">
      <ns0:c r="AC516" s="115"/>
    </ns0:row>
    <ns0:row r="517" spans="29:29">
      <ns0:c r="AC517" s="115"/>
    </ns0:row>
    <ns0:row r="518" spans="29:29">
      <ns0:c r="AC518" s="115"/>
    </ns0:row>
    <ns0:row r="519" spans="29:29">
      <ns0:c r="AC519" s="115"/>
    </ns0:row>
    <ns0:row r="520" spans="29:29">
      <ns0:c r="AC520" s="115"/>
    </ns0:row>
    <ns0:row r="521" spans="29:29">
      <ns0:c r="AC521" s="115"/>
    </ns0:row>
    <ns0:row r="522" spans="29:29">
      <ns0:c r="AC522" s="115"/>
    </ns0:row>
    <ns0:row r="523" spans="29:29">
      <ns0:c r="AC523" s="112"/>
    </ns0:row>
    <ns0:row r="524" spans="29:29">
      <ns0:c r="AC524" s="115"/>
    </ns0:row>
    <ns0:row r="525" spans="29:29">
      <ns0:c r="AC525" s="115"/>
    </ns0:row>
    <ns0:row r="526" spans="29:29">
      <ns0:c r="AC526" s="115"/>
    </ns0:row>
    <ns0:row r="527" spans="29:29">
      <ns0:c r="AC527" s="115"/>
    </ns0:row>
    <ns0:row r="528" spans="29:29">
      <ns0:c r="AC528" s="115"/>
    </ns0:row>
    <ns0:row r="529" spans="29:29">
      <ns0:c r="AC529" s="115"/>
    </ns0:row>
    <ns0:row r="530" spans="29:29">
      <ns0:c r="AC530" s="115"/>
    </ns0:row>
    <ns0:row r="531" spans="29:29">
      <ns0:c r="AC531" s="115"/>
    </ns0:row>
    <ns0:row r="532" spans="29:29">
      <ns0:c r="AC532" s="115"/>
    </ns0:row>
    <ns0:row r="533" spans="29:29">
      <ns0:c r="AC533" s="115"/>
    </ns0:row>
    <ns0:row r="534" spans="29:29">
      <ns0:c r="AC534" s="115"/>
    </ns0:row>
    <ns0:row r="535" spans="29:29">
      <ns0:c r="AC535" s="115"/>
    </ns0:row>
    <ns0:row r="536" spans="29:29">
      <ns0:c r="AC536" s="112"/>
    </ns0:row>
  </ns0:sheetData>
  <ns0:sheetProtection formatCells="0" formatColumns="0" formatRows="0" insertRows="0" insertColumns="0" insertHyperlinks="0" deleteColumns="0" deleteRows="0" sort="0" autoFilter="0" pivotTables="0"/>
  <ns0:conditionalFormatting sqref="C1">
    <ns0:cfRule type="cellIs" dxfId="0" priority="116" operator="lessThan">
      <ns0:formula>0</ns0:formula>
    </ns0:cfRule>
  </ns0:conditionalFormatting>
  <ns0:conditionalFormatting sqref="D1">
    <ns0:cfRule type="cellIs" dxfId="0" priority="117" operator="lessThan">
      <ns0:formula>0</ns0:formula>
    </ns0:cfRule>
  </ns0:conditionalFormatting>
  <ns0:conditionalFormatting sqref="AD1:BA1">
    <ns0:cfRule type="cellIs" dxfId="0" priority="76" operator="lessThan">
      <ns0:formula>0</ns0:formula>
    </ns0:cfRule>
  </ns0:conditionalFormatting>
  <ns0:conditionalFormatting sqref="AD7:BA7">
    <ns0:cfRule type="cellIs" dxfId="0" priority="72" operator="lessThan">
      <ns0:formula>0</ns0:formula>
    </ns0:cfRule>
  </ns0:conditionalFormatting>
  <ns0:conditionalFormatting sqref="D133">
    <ns0:cfRule type="cellIs" dxfId="0" priority="105" operator="lessThan">
      <ns0:formula>0</ns0:formula>
    </ns0:cfRule>
    <ns0:cfRule type="cellIs" dxfId="1" priority="106" operator="equal">
      <ns0:formula>0</ns0:formula>
    </ns0:cfRule>
  </ns0:conditionalFormatting>
  <ns0:conditionalFormatting sqref="D159">
    <ns0:cfRule type="cellIs" dxfId="0" priority="102" operator="lessThan">
      <ns0:formula>0</ns0:formula>
    </ns0:cfRule>
    <ns0:cfRule type="cellIs" dxfId="1" priority="103" operator="equal">
      <ns0:formula>0</ns0:formula>
    </ns0:cfRule>
  </ns0:conditionalFormatting>
  <ns0:conditionalFormatting sqref="AC172">
    <ns0:cfRule type="cellIs" dxfId="1" priority="104" operator="equal">
      <ns0:formula>0</ns0:formula>
    </ns0:cfRule>
  </ns0:conditionalFormatting>
  <ns0:conditionalFormatting sqref="AC173">
    <ns0:cfRule type="cellIs" dxfId="1" priority="100" operator="equal">
      <ns0:formula>0</ns0:formula>
    </ns0:cfRule>
  </ns0:conditionalFormatting>
  <ns0:conditionalFormatting sqref="D185">
    <ns0:cfRule type="cellIs" dxfId="0" priority="81" operator="lessThan">
      <ns0:formula>0</ns0:formula>
    </ns0:cfRule>
    <ns0:cfRule type="cellIs" dxfId="1" priority="82" operator="equal">
      <ns0:formula>0</ns0:formula>
    </ns0:cfRule>
  </ns0:conditionalFormatting>
  <ns0:conditionalFormatting sqref="AC185">
    <ns0:cfRule type="cellIs" dxfId="1" priority="101" operator="equal">
      <ns0:formula>0</ns0:formula>
    </ns0:cfRule>
  </ns0:conditionalFormatting>
  <ns0:conditionalFormatting sqref="D198">
    <ns0:cfRule type="cellIs" dxfId="0" priority="78" operator="lessThan">
      <ns0:formula>0</ns0:formula>
    </ns0:cfRule>
    <ns0:cfRule type="cellIs" dxfId="1" priority="79" operator="equal">
      <ns0:formula>0</ns0:formula>
    </ns0:cfRule>
  </ns0:conditionalFormatting>
  <ns0:conditionalFormatting sqref="AC198">
    <ns0:cfRule type="cellIs" dxfId="1" priority="83" operator="equal">
      <ns0:formula>0</ns0:formula>
    </ns0:cfRule>
  </ns0:conditionalFormatting>
  <ns0:conditionalFormatting sqref="D211">
    <ns0:cfRule type="cellIs" dxfId="0" priority="74" operator="lessThan">
      <ns0:formula>0</ns0:formula>
    </ns0:cfRule>
    <ns0:cfRule type="cellIs" dxfId="1" priority="75" operator="equal">
      <ns0:formula>0</ns0:formula>
    </ns0:cfRule>
  </ns0:conditionalFormatting>
  <ns0:conditionalFormatting sqref="AC211">
    <ns0:cfRule type="cellIs" dxfId="1" priority="80" operator="equal">
      <ns0:formula>0</ns0:formula>
    </ns0:cfRule>
  </ns0:conditionalFormatting>
  <ns0:conditionalFormatting sqref="AC212">
    <ns0:cfRule type="cellIs" dxfId="1" priority="98" operator="equal">
      <ns0:formula>0</ns0:formula>
    </ns0:cfRule>
  </ns0:conditionalFormatting>
  <ns0:conditionalFormatting sqref="AC224">
    <ns0:cfRule type="cellIs" dxfId="1" priority="77" operator="equal">
      <ns0:formula>0</ns0:formula>
    </ns0:cfRule>
  </ns0:conditionalFormatting>
  <ns0:conditionalFormatting sqref="AC225">
    <ns0:cfRule type="cellIs" dxfId="1" priority="97" operator="equal">
      <ns0:formula>0</ns0:formula>
    </ns0:cfRule>
  </ns0:conditionalFormatting>
  <ns0:conditionalFormatting sqref="D237">
    <ns0:cfRule type="cellIs" dxfId="0" priority="69" operator="lessThan">
      <ns0:formula>0</ns0:formula>
    </ns0:cfRule>
    <ns0:cfRule type="cellIs" dxfId="1" priority="70" operator="equal">
      <ns0:formula>0</ns0:formula>
    </ns0:cfRule>
  </ns0:conditionalFormatting>
  <ns0:conditionalFormatting sqref="AC237">
    <ns0:cfRule type="cellIs" dxfId="1" priority="73" operator="equal">
      <ns0:formula>0</ns0:formula>
    </ns0:cfRule>
  </ns0:conditionalFormatting>
  <ns0:conditionalFormatting sqref="AC238">
    <ns0:cfRule type="cellIs" dxfId="1" priority="96" operator="equal">
      <ns0:formula>0</ns0:formula>
    </ns0:cfRule>
  </ns0:conditionalFormatting>
  <ns0:conditionalFormatting sqref="D250">
    <ns0:cfRule type="cellIs" dxfId="0" priority="66" operator="lessThan">
      <ns0:formula>0</ns0:formula>
    </ns0:cfRule>
    <ns0:cfRule type="cellIs" dxfId="1" priority="67" operator="equal">
      <ns0:formula>0</ns0:formula>
    </ns0:cfRule>
  </ns0:conditionalFormatting>
  <ns0:conditionalFormatting sqref="AC251">
    <ns0:cfRule type="cellIs" dxfId="1" priority="95" operator="equal">
      <ns0:formula>0</ns0:formula>
    </ns0:cfRule>
  </ns0:conditionalFormatting>
  <ns0:conditionalFormatting sqref="D263">
    <ns0:cfRule type="cellIs" dxfId="0" priority="63" operator="lessThan">
      <ns0:formula>0</ns0:formula>
    </ns0:cfRule>
    <ns0:cfRule type="cellIs" dxfId="1" priority="64" operator="equal">
      <ns0:formula>0</ns0:formula>
    </ns0:cfRule>
  </ns0:conditionalFormatting>
  <ns0:conditionalFormatting sqref="AC263">
    <ns0:cfRule type="cellIs" dxfId="1" priority="71" operator="equal">
      <ns0:formula>0</ns0:formula>
    </ns0:cfRule>
  </ns0:conditionalFormatting>
  <ns0:conditionalFormatting sqref="AC264">
    <ns0:cfRule type="cellIs" dxfId="1" priority="94" operator="equal">
      <ns0:formula>0</ns0:formula>
    </ns0:cfRule>
  </ns0:conditionalFormatting>
  <ns0:conditionalFormatting sqref="D276">
    <ns0:cfRule type="cellIs" dxfId="0" priority="60" operator="lessThan">
      <ns0:formula>0</ns0:formula>
    </ns0:cfRule>
    <ns0:cfRule type="cellIs" dxfId="1" priority="61" operator="equal">
      <ns0:formula>0</ns0:formula>
    </ns0:cfRule>
  </ns0:conditionalFormatting>
  <ns0:conditionalFormatting sqref="AC276">
    <ns0:cfRule type="cellIs" dxfId="1" priority="68" operator="equal">
      <ns0:formula>0</ns0:formula>
    </ns0:cfRule>
  </ns0:conditionalFormatting>
  <ns0:conditionalFormatting sqref="AC277">
    <ns0:cfRule type="cellIs" dxfId="1" priority="93" operator="equal">
      <ns0:formula>0</ns0:formula>
    </ns0:cfRule>
  </ns0:conditionalFormatting>
  <ns0:conditionalFormatting sqref="D289">
    <ns0:cfRule type="cellIs" dxfId="0" priority="57" operator="lessThan">
      <ns0:formula>0</ns0:formula>
    </ns0:cfRule>
    <ns0:cfRule type="cellIs" dxfId="1" priority="58" operator="equal">
      <ns0:formula>0</ns0:formula>
    </ns0:cfRule>
  </ns0:conditionalFormatting>
  <ns0:conditionalFormatting sqref="AC289">
    <ns0:cfRule type="cellIs" dxfId="1" priority="65" operator="equal">
      <ns0:formula>0</ns0:formula>
    </ns0:cfRule>
  </ns0:conditionalFormatting>
  <ns0:conditionalFormatting sqref="D302">
    <ns0:cfRule type="cellIs" dxfId="0" priority="54" operator="lessThan">
      <ns0:formula>0</ns0:formula>
    </ns0:cfRule>
    <ns0:cfRule type="cellIs" dxfId="1" priority="55" operator="equal">
      <ns0:formula>0</ns0:formula>
    </ns0:cfRule>
  </ns0:conditionalFormatting>
  <ns0:conditionalFormatting sqref="AC302">
    <ns0:cfRule type="cellIs" dxfId="1" priority="62" operator="equal">
      <ns0:formula>0</ns0:formula>
    </ns0:cfRule>
  </ns0:conditionalFormatting>
  <ns0:conditionalFormatting sqref="D315">
    <ns0:cfRule type="cellIs" dxfId="0" priority="51" operator="lessThan">
      <ns0:formula>0</ns0:formula>
    </ns0:cfRule>
    <ns0:cfRule type="cellIs" dxfId="1" priority="52" operator="equal">
      <ns0:formula>0</ns0:formula>
    </ns0:cfRule>
  </ns0:conditionalFormatting>
  <ns0:conditionalFormatting sqref="AC315">
    <ns0:cfRule type="cellIs" dxfId="1" priority="59" operator="equal">
      <ns0:formula>0</ns0:formula>
    </ns0:cfRule>
  </ns0:conditionalFormatting>
  <ns0:conditionalFormatting sqref="D328">
    <ns0:cfRule type="cellIs" dxfId="0" priority="48" operator="lessThan">
      <ns0:formula>0</ns0:formula>
    </ns0:cfRule>
    <ns0:cfRule type="cellIs" dxfId="1" priority="49" operator="equal">
      <ns0:formula>0</ns0:formula>
    </ns0:cfRule>
  </ns0:conditionalFormatting>
  <ns0:conditionalFormatting sqref="AC328">
    <ns0:cfRule type="cellIs" dxfId="1" priority="56" operator="equal">
      <ns0:formula>0</ns0:formula>
    </ns0:cfRule>
  </ns0:conditionalFormatting>
  <ns0:conditionalFormatting sqref="AC329">
    <ns0:cfRule type="cellIs" dxfId="1" priority="90" operator="equal">
      <ns0:formula>0</ns0:formula>
    </ns0:cfRule>
  </ns0:conditionalFormatting>
  <ns0:conditionalFormatting sqref="D341">
    <ns0:cfRule type="cellIs" dxfId="0" priority="45" operator="lessThan">
      <ns0:formula>0</ns0:formula>
    </ns0:cfRule>
    <ns0:cfRule type="cellIs" dxfId="1" priority="46" operator="equal">
      <ns0:formula>0</ns0:formula>
    </ns0:cfRule>
  </ns0:conditionalFormatting>
  <ns0:conditionalFormatting sqref="AC341">
    <ns0:cfRule type="cellIs" dxfId="1" priority="53" operator="equal">
      <ns0:formula>0</ns0:formula>
    </ns0:cfRule>
  </ns0:conditionalFormatting>
  <ns0:conditionalFormatting sqref="AC342">
    <ns0:cfRule type="cellIs" dxfId="1" priority="89" operator="equal">
      <ns0:formula>0</ns0:formula>
    </ns0:cfRule>
  </ns0:conditionalFormatting>
  <ns0:conditionalFormatting sqref="D354">
    <ns0:cfRule type="cellIs" dxfId="0" priority="42" operator="lessThan">
      <ns0:formula>0</ns0:formula>
    </ns0:cfRule>
    <ns0:cfRule type="cellIs" dxfId="1" priority="43" operator="equal">
      <ns0:formula>0</ns0:formula>
    </ns0:cfRule>
  </ns0:conditionalFormatting>
  <ns0:conditionalFormatting sqref="AC354">
    <ns0:cfRule type="cellIs" dxfId="1" priority="50" operator="equal">
      <ns0:formula>0</ns0:formula>
    </ns0:cfRule>
  </ns0:conditionalFormatting>
  <ns0:conditionalFormatting sqref="AC355">
    <ns0:cfRule type="cellIs" dxfId="1" priority="88" operator="equal">
      <ns0:formula>0</ns0:formula>
    </ns0:cfRule>
  </ns0:conditionalFormatting>
  <ns0:conditionalFormatting sqref="D367">
    <ns0:cfRule type="cellIs" dxfId="0" priority="39" operator="lessThan">
      <ns0:formula>0</ns0:formula>
    </ns0:cfRule>
    <ns0:cfRule type="cellIs" dxfId="1" priority="40" operator="equal">
      <ns0:formula>0</ns0:formula>
    </ns0:cfRule>
  </ns0:conditionalFormatting>
  <ns0:conditionalFormatting sqref="AC367">
    <ns0:cfRule type="cellIs" dxfId="1" priority="47" operator="equal">
      <ns0:formula>0</ns0:formula>
    </ns0:cfRule>
  </ns0:conditionalFormatting>
  <ns0:conditionalFormatting sqref="AC368">
    <ns0:cfRule type="cellIs" dxfId="1" priority="87" operator="equal">
      <ns0:formula>0</ns0:formula>
    </ns0:cfRule>
  </ns0:conditionalFormatting>
  <ns0:conditionalFormatting sqref="D380">
    <ns0:cfRule type="cellIs" dxfId="0" priority="36" operator="lessThan">
      <ns0:formula>0</ns0:formula>
    </ns0:cfRule>
    <ns0:cfRule type="cellIs" dxfId="1" priority="37" operator="equal">
      <ns0:formula>0</ns0:formula>
    </ns0:cfRule>
  </ns0:conditionalFormatting>
  <ns0:conditionalFormatting sqref="AC380">
    <ns0:cfRule type="cellIs" dxfId="1" priority="44" operator="equal">
      <ns0:formula>0</ns0:formula>
    </ns0:cfRule>
  </ns0:conditionalFormatting>
  <ns0:conditionalFormatting sqref="D393">
    <ns0:cfRule type="cellIs" dxfId="0" priority="33" operator="lessThan">
      <ns0:formula>0</ns0:formula>
    </ns0:cfRule>
    <ns0:cfRule type="cellIs" dxfId="1" priority="34" operator="equal">
      <ns0:formula>0</ns0:formula>
    </ns0:cfRule>
  </ns0:conditionalFormatting>
  <ns0:conditionalFormatting sqref="AC393">
    <ns0:cfRule type="cellIs" dxfId="1" priority="41" operator="equal">
      <ns0:formula>0</ns0:formula>
    </ns0:cfRule>
  </ns0:conditionalFormatting>
  <ns0:conditionalFormatting sqref="AC394">
    <ns0:cfRule type="cellIs" dxfId="1" priority="86" operator="equal">
      <ns0:formula>0</ns0:formula>
    </ns0:cfRule>
  </ns0:conditionalFormatting>
  <ns0:conditionalFormatting sqref="D406">
    <ns0:cfRule type="cellIs" dxfId="0" priority="30" operator="lessThan">
      <ns0:formula>0</ns0:formula>
    </ns0:cfRule>
    <ns0:cfRule type="cellIs" dxfId="1" priority="31" operator="equal">
      <ns0:formula>0</ns0:formula>
    </ns0:cfRule>
  </ns0:conditionalFormatting>
  <ns0:conditionalFormatting sqref="AC406">
    <ns0:cfRule type="cellIs" dxfId="1" priority="38" operator="equal">
      <ns0:formula>0</ns0:formula>
    </ns0:cfRule>
  </ns0:conditionalFormatting>
  <ns0:conditionalFormatting sqref="AC407">
    <ns0:cfRule type="cellIs" dxfId="1" priority="85" operator="equal">
      <ns0:formula>0</ns0:formula>
    </ns0:cfRule>
  </ns0:conditionalFormatting>
  <ns0:conditionalFormatting sqref="D419">
    <ns0:cfRule type="cellIs" dxfId="0" priority="27" operator="lessThan">
      <ns0:formula>0</ns0:formula>
    </ns0:cfRule>
    <ns0:cfRule type="cellIs" dxfId="1" priority="28" operator="equal">
      <ns0:formula>0</ns0:formula>
    </ns0:cfRule>
  </ns0:conditionalFormatting>
  <ns0:conditionalFormatting sqref="AC419">
    <ns0:cfRule type="cellIs" dxfId="1" priority="35" operator="equal">
      <ns0:formula>0</ns0:formula>
    </ns0:cfRule>
  </ns0:conditionalFormatting>
  <ns0:conditionalFormatting sqref="AC420">
    <ns0:cfRule type="cellIs" dxfId="1" priority="84" operator="equal">
      <ns0:formula>0</ns0:formula>
    </ns0:cfRule>
  </ns0:conditionalFormatting>
  <ns0:conditionalFormatting sqref="D432">
    <ns0:cfRule type="cellIs" dxfId="0" priority="24" operator="lessThan">
      <ns0:formula>0</ns0:formula>
    </ns0:cfRule>
    <ns0:cfRule type="cellIs" dxfId="1" priority="25" operator="equal">
      <ns0:formula>0</ns0:formula>
    </ns0:cfRule>
  </ns0:conditionalFormatting>
  <ns0:conditionalFormatting sqref="AC432">
    <ns0:cfRule type="cellIs" dxfId="1" priority="32" operator="equal">
      <ns0:formula>0</ns0:formula>
    </ns0:cfRule>
  </ns0:conditionalFormatting>
  <ns0:conditionalFormatting sqref="D445">
    <ns0:cfRule type="cellIs" dxfId="0" priority="21" operator="lessThan">
      <ns0:formula>0</ns0:formula>
    </ns0:cfRule>
    <ns0:cfRule type="cellIs" dxfId="1" priority="22" operator="equal">
      <ns0:formula>0</ns0:formula>
    </ns0:cfRule>
  </ns0:conditionalFormatting>
  <ns0:conditionalFormatting sqref="AC445">
    <ns0:cfRule type="cellIs" dxfId="1" priority="29" operator="equal">
      <ns0:formula>0</ns0:formula>
    </ns0:cfRule>
  </ns0:conditionalFormatting>
  <ns0:conditionalFormatting sqref="D458">
    <ns0:cfRule type="cellIs" dxfId="0" priority="11" operator="lessThan">
      <ns0:formula>0</ns0:formula>
    </ns0:cfRule>
    <ns0:cfRule type="cellIs" dxfId="1" priority="12" operator="equal">
      <ns0:formula>0</ns0:formula>
    </ns0:cfRule>
  </ns0:conditionalFormatting>
  <ns0:conditionalFormatting sqref="AC458">
    <ns0:cfRule type="cellIs" dxfId="1" priority="26" operator="equal">
      <ns0:formula>0</ns0:formula>
    </ns0:cfRule>
  </ns0:conditionalFormatting>
  <ns0:conditionalFormatting sqref="D471">
    <ns0:cfRule type="cellIs" dxfId="0" priority="19" operator="lessThan">
      <ns0:formula>0</ns0:formula>
    </ns0:cfRule>
    <ns0:cfRule type="cellIs" dxfId="1" priority="20" operator="equal">
      <ns0:formula>0</ns0:formula>
    </ns0:cfRule>
  </ns0:conditionalFormatting>
  <ns0:conditionalFormatting sqref="AC471">
    <ns0:cfRule type="cellIs" dxfId="1" priority="23" operator="equal">
      <ns0:formula>0</ns0:formula>
    </ns0:cfRule>
  </ns0:conditionalFormatting>
  <ns0:conditionalFormatting sqref="D484">
    <ns0:cfRule type="cellIs" dxfId="0" priority="17" operator="lessThan">
      <ns0:formula>0</ns0:formula>
    </ns0:cfRule>
    <ns0:cfRule type="cellIs" dxfId="1" priority="18" operator="equal">
      <ns0:formula>0</ns0:formula>
    </ns0:cfRule>
  </ns0:conditionalFormatting>
  <ns0:conditionalFormatting sqref="AC484">
    <ns0:cfRule type="cellIs" dxfId="1" priority="9" operator="equal">
      <ns0:formula>0</ns0:formula>
    </ns0:cfRule>
  </ns0:conditionalFormatting>
  <ns0:conditionalFormatting sqref="D497">
    <ns0:cfRule type="cellIs" dxfId="0" priority="15" operator="lessThan">
      <ns0:formula>0</ns0:formula>
    </ns0:cfRule>
    <ns0:cfRule type="cellIs" dxfId="1" priority="16" operator="equal">
      <ns0:formula>0</ns0:formula>
    </ns0:cfRule>
  </ns0:conditionalFormatting>
  <ns0:conditionalFormatting sqref="AC497">
    <ns0:cfRule type="cellIs" dxfId="1" priority="7" operator="equal">
      <ns0:formula>0</ns0:formula>
    </ns0:cfRule>
  </ns0:conditionalFormatting>
  <ns0:conditionalFormatting sqref="D510">
    <ns0:cfRule type="cellIs" dxfId="0" priority="13" operator="lessThan">
      <ns0:formula>0</ns0:formula>
    </ns0:cfRule>
    <ns0:cfRule type="cellIs" dxfId="1" priority="14" operator="equal">
      <ns0:formula>0</ns0:formula>
    </ns0:cfRule>
  </ns0:conditionalFormatting>
  <ns0:conditionalFormatting sqref="AC510">
    <ns0:cfRule type="cellIs" dxfId="1" priority="5" operator="equal">
      <ns0:formula>0</ns0:formula>
    </ns0:cfRule>
  </ns0:conditionalFormatting>
  <ns0:conditionalFormatting sqref="AC523">
    <ns0:cfRule type="cellIs" dxfId="1" priority="3" operator="equal">
      <ns0:formula>0</ns0:formula>
    </ns0:cfRule>
  </ns0:conditionalFormatting>
  <ns0:conditionalFormatting sqref="AC536">
    <ns0:cfRule type="cellIs" dxfId="1" priority="1" operator="equal">
      <ns0:formula>0</ns0:formula>
    </ns0:cfRule>
  </ns0:conditionalFormatting>
  <ns0:conditionalFormatting sqref="A2:A93">
    <ns0:cfRule type="cellIs" dxfId="0" priority="115" operator="lessThan">
      <ns0:formula>0</ns0:formula>
    </ns0:cfRule>
  </ns0:conditionalFormatting>
  <ns0:conditionalFormatting sqref="B2:B93">
    <ns0:cfRule type="cellIs" dxfId="1" priority="110" operator="equal">
      <ns0:formula>"星期六"</ns0:formula>
    </ns0:cfRule>
    <ns0:cfRule type="containsText" dxfId="1" priority="111" operator="between" text="六">
      <ns0:formula>NOT(ISERROR(SEARCH("六",B2)))</ns0:formula>
    </ns0:cfRule>
    <ns0:cfRule type="cellIs" dxfId="0" priority="112" operator="lessThan">
      <ns0:formula>0</ns0:formula>
    </ns0:cfRule>
  </ns0:conditionalFormatting>
  <ns0:conditionalFormatting sqref="C2:C93">
    <ns0:cfRule type="cellIs" dxfId="0" priority="114" operator="lessThan">
      <ns0:formula>0</ns0:formula>
    </ns0:cfRule>
  </ns0:conditionalFormatting>
  <ns0:conditionalFormatting sqref="D2:D93">
    <ns0:cfRule type="cellIs" dxfId="0" priority="113" operator="lessThan">
      <ns0:formula>0</ns0:formula>
    </ns0:cfRule>
  </ns0:conditionalFormatting>
  <ns0:conditionalFormatting sqref="AC186:AC187">
    <ns0:cfRule type="cellIs" dxfId="1" priority="99" operator="equal">
      <ns0:formula>0</ns0:formula>
    </ns0:cfRule>
  </ns0:conditionalFormatting>
  <ns0:conditionalFormatting sqref="AC303:AC314">
    <ns0:cfRule type="cellIs" dxfId="1" priority="92" operator="equal">
      <ns0:formula>0</ns0:formula>
    </ns0:cfRule>
  </ns0:conditionalFormatting>
  <ns0:conditionalFormatting sqref="AC316:AC327">
    <ns0:cfRule type="cellIs" dxfId="1" priority="91" operator="equal">
      <ns0:formula>0</ns0:formula>
    </ns0:cfRule>
  </ns0:conditionalFormatting>
  <ns0:conditionalFormatting sqref="AC472:AC483">
    <ns0:cfRule type="cellIs" dxfId="1" priority="10" operator="equal">
      <ns0:formula>0</ns0:formula>
    </ns0:cfRule>
  </ns0:conditionalFormatting>
  <ns0:conditionalFormatting sqref="AC485:AC496">
    <ns0:cfRule type="cellIs" dxfId="1" priority="8" operator="equal">
      <ns0:formula>0</ns0:formula>
    </ns0:cfRule>
  </ns0:conditionalFormatting>
  <ns0:conditionalFormatting sqref="AC498:AC509">
    <ns0:cfRule type="cellIs" dxfId="1" priority="6" operator="equal">
      <ns0:formula>0</ns0:formula>
    </ns0:cfRule>
  </ns0:conditionalFormatting>
  <ns0:conditionalFormatting sqref="AC511:AC522">
    <ns0:cfRule type="cellIs" dxfId="1" priority="4" operator="equal">
      <ns0:formula>0</ns0:formula>
    </ns0:cfRule>
  </ns0:conditionalFormatting>
  <ns0:conditionalFormatting sqref="AC524:AC535">
    <ns0:cfRule type="cellIs" dxfId="1" priority="2" operator="equal">
      <ns0:formula>0</ns0:formula>
    </ns0:cfRule>
  </ns0:conditionalFormatting>
  <ns0:conditionalFormatting sqref="A1:B1 E1:AB1">
    <ns0:cfRule type="cellIs" dxfId="0" priority="118" operator="lessThan">
      <ns0:formula>0</ns0:formula>
    </ns0:cfRule>
  </ns0:conditionalFormatting>
  <ns0:conditionalFormatting sqref="D108:D132 D498:D509 D485:D496 D472:D483 D459:D470 D446:D457 D433:D444 D420:D431 D407:D418 D394:D405 D381:D392 D368:D379 D355:D366 D342:D353 D329:D340 D316:D327 D303:D314 D290:D301 D277:D288 D264:D275 D251:D262 D238:D249 D199:D210 D212:D236 D186:D197 D160:D184 D134:D158">
    <ns0:cfRule type="cellIs" dxfId="0" priority="107" operator="lessThan">
      <ns0:formula>0</ns0:formula>
    </ns0:cfRule>
    <ns0:cfRule type="cellIs" dxfId="1" priority="108" operator="equal">
      <ns0:formula>0</ns0:formula>
    </ns0:cfRule>
  </ns0:conditionalFormatting>
  <ns0:conditionalFormatting sqref="AC134:AC171 AC459:AC470 AC446:AC457 AC433:AC444 AC421:AC431 AC408:AC418 AC395:AC405 AC381:AC392 AC369:AC379 AC356:AC366 AC343:AC353 AC330:AC340 AC265:AC275 AC252:AC262 AC226:AC236 AC278:AC288 AC290:AC301 AC239:AC250 AC213:AC223 AC199:AC210 AC188:AC197 AC174:AC184">
    <ns0:cfRule type="cellIs" dxfId="1" priority="109" operator="equal">
      <ns0:formula>0</ns0:formula>
    </ns0:cfRule>
  </ns0:conditionalFormatting>
  <ns0:pageMargins left="0.7" right="0.7" top="0.75" bottom="0.75" header="0.3" footer="0.3"/>
  <ns0:pageSetup paperSize="9" orientation="portrait"/>
  <ns0:headerFooter/>
  <ns0:drawing ns1:id="rId1"/>
  <ns0:tableParts count="1">
    <ns0:tablePart ns1:id="rId2"/>
  </ns0:tableParts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0"/>
  <sheetViews>
    <sheetView workbookViewId="0">
      <pane xSplit="3" ySplit="1" topLeftCell="D37" activePane="bottomRight" state="frozen"/>
      <selection/>
      <selection pane="topRight"/>
      <selection pane="bottomLeft"/>
      <selection pane="bottomRight" activeCell="D160" sqref="D160"/>
    </sheetView>
  </sheetViews>
  <sheetFormatPr defaultColWidth="9" defaultRowHeight="16.8"/>
  <cols>
    <col min="1" max="1" width="18.6346153846154" style="61" customWidth="1"/>
    <col min="2" max="2" width="30.8076923076923" style="62" customWidth="1"/>
    <col min="3" max="3" width="13.75" customWidth="1"/>
    <col min="4" max="4" width="11.5096153846154" style="63" customWidth="1"/>
    <col min="5" max="5" width="8.75" style="64" customWidth="1"/>
    <col min="6" max="6" width="10.375" style="65" customWidth="1"/>
    <col min="7" max="13" width="8.50961538461539" style="65" customWidth="1"/>
    <col min="14" max="14" width="9.50961538461539" style="65" customWidth="1"/>
    <col min="15" max="28" width="8.50961538461539" style="65" customWidth="1"/>
    <col min="29" max="29" width="13.4326923076923" customWidth="1"/>
    <col min="30" max="30" width="36.7692307692308" customWidth="1"/>
  </cols>
  <sheetData>
    <row r="1" ht="15" customHeight="1" spans="1:30">
      <c r="A1" s="1"/>
      <c r="B1" s="66" t="s">
        <v>29</v>
      </c>
      <c r="C1" s="2"/>
      <c r="D1" s="3" t="s">
        <v>3</v>
      </c>
      <c r="E1" s="71">
        <v>0</v>
      </c>
      <c r="F1" s="9" t="s">
        <v>5</v>
      </c>
      <c r="G1" s="10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72" t="s">
        <v>16</v>
      </c>
      <c r="R1" s="10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t="s">
        <v>30</v>
      </c>
      <c r="AD1" s="64" t="s">
        <v>31</v>
      </c>
    </row>
    <row r="2" spans="1:29">
      <c r="A2" s="4">
        <v>45992</v>
      </c>
      <c r="B2" s="67" t="s">
        <v>32</v>
      </c>
      <c r="C2" s="2" t="s">
        <v>33</v>
      </c>
      <c r="D2" s="3">
        <f>SUM(E2:AB2)</f>
        <v>60.308264</v>
      </c>
      <c r="E2" s="73" cm="1">
        <f t="array" ref="E2">0.5*INDEX('[1]12月代理实际分时电量'!E:E,MATCH($A2-7,'[1]12月代理实际分时电量'!$C:$C,0))+0.3*INDEX('[1]12月代理实际分时电量'!E:E,MATCH($A2-14,'[1]12月代理实际分时电量'!$C:$C,0))+0.2*INDEX('[1]12月代理实际分时电量'!E:E,MATCH($A2-21,'[1]12月代理实际分时电量'!$C:$C,0))</f>
        <v>1.280795</v>
      </c>
      <c r="F2" s="73" cm="1">
        <f t="array" ref="F2">0.5*INDEX('[1]12月代理实际分时电量'!F:F,MATCH($A2-7,'[1]12月代理实际分时电量'!$C:$C,0))+0.3*INDEX('[1]12月代理实际分时电量'!F:F,MATCH($A2-14,'[1]12月代理实际分时电量'!$C:$C,0))+0.2*INDEX('[1]12月代理实际分时电量'!F:F,MATCH($A2-21,'[1]12月代理实际分时电量'!$C:$C,0))</f>
        <v>1.29726</v>
      </c>
      <c r="G2" s="73" cm="1">
        <f t="array" ref="G2">0.5*INDEX('[1]12月代理实际分时电量'!G:G,MATCH($A2-7,'[1]12月代理实际分时电量'!$C:$C,0))+0.3*INDEX('[1]12月代理实际分时电量'!G:G,MATCH($A2-14,'[1]12月代理实际分时电量'!$C:$C,0))+0.2*INDEX('[1]12月代理实际分时电量'!G:G,MATCH($A2-21,'[1]12月代理实际分时电量'!$C:$C,0))</f>
        <v>1.27868</v>
      </c>
      <c r="H2" s="73" cm="1">
        <f t="array" ref="H2">0.5*INDEX('[1]12月代理实际分时电量'!H:H,MATCH($A2-7,'[1]12月代理实际分时电量'!$C:$C,0))+0.3*INDEX('[1]12月代理实际分时电量'!H:H,MATCH($A2-14,'[1]12月代理实际分时电量'!$C:$C,0))+0.2*INDEX('[1]12月代理实际分时电量'!H:H,MATCH($A2-21,'[1]12月代理实际分时电量'!$C:$C,0))</f>
        <v>1.206897</v>
      </c>
      <c r="I2" s="73" cm="1">
        <f t="array" ref="I2">0.5*INDEX('[1]12月代理实际分时电量'!I:I,MATCH($A2-7,'[1]12月代理实际分时电量'!$C:$C,0))+0.3*INDEX('[1]12月代理实际分时电量'!I:I,MATCH($A2-14,'[1]12月代理实际分时电量'!$C:$C,0))+0.2*INDEX('[1]12月代理实际分时电量'!I:I,MATCH($A2-21,'[1]12月代理实际分时电量'!$C:$C,0))</f>
        <v>1.245865</v>
      </c>
      <c r="J2" s="73" cm="1">
        <f t="array" ref="J2">0.5*INDEX('[1]12月代理实际分时电量'!J:J,MATCH($A2-7,'[1]12月代理实际分时电量'!$C:$C,0))+0.3*INDEX('[1]12月代理实际分时电量'!J:J,MATCH($A2-14,'[1]12月代理实际分时电量'!$C:$C,0))+0.2*INDEX('[1]12月代理实际分时电量'!J:J,MATCH($A2-21,'[1]12月代理实际分时电量'!$C:$C,0))</f>
        <v>1.24115</v>
      </c>
      <c r="K2" s="73" cm="1">
        <f t="array" ref="K2">0.5*INDEX('[1]12月代理实际分时电量'!K:K,MATCH($A2-7,'[1]12月代理实际分时电量'!$C:$C,0))+0.3*INDEX('[1]12月代理实际分时电量'!K:K,MATCH($A2-14,'[1]12月代理实际分时电量'!$C:$C,0))+0.2*INDEX('[1]12月代理实际分时电量'!K:K,MATCH($A2-21,'[1]12月代理实际分时电量'!$C:$C,0))</f>
        <v>1.20989</v>
      </c>
      <c r="L2" s="73" cm="1">
        <f t="array" ref="L2">0.5*INDEX('[1]12月代理实际分时电量'!L:L,MATCH($A2-7,'[1]12月代理实际分时电量'!$C:$C,0))+0.3*INDEX('[1]12月代理实际分时电量'!L:L,MATCH($A2-14,'[1]12月代理实际分时电量'!$C:$C,0))+0.2*INDEX('[1]12月代理实际分时电量'!L:L,MATCH($A2-21,'[1]12月代理实际分时电量'!$C:$C,0))</f>
        <v>1.645532</v>
      </c>
      <c r="M2" s="73" cm="1">
        <f t="array" ref="M2">0.5*INDEX('[1]12月代理实际分时电量'!M:M,MATCH($A2-7,'[1]12月代理实际分时电量'!$C:$C,0))+0.3*INDEX('[1]12月代理实际分时电量'!M:M,MATCH($A2-14,'[1]12月代理实际分时电量'!$C:$C,0))+0.2*INDEX('[1]12月代理实际分时电量'!M:M,MATCH($A2-21,'[1]12月代理实际分时电量'!$C:$C,0))</f>
        <v>3.470289</v>
      </c>
      <c r="N2" s="73" cm="1">
        <f t="array" ref="N2">0.5*INDEX('[1]12月代理实际分时电量'!N:N,MATCH($A2-7,'[1]12月代理实际分时电量'!$C:$C,0))+0.3*INDEX('[1]12月代理实际分时电量'!N:N,MATCH($A2-14,'[1]12月代理实际分时电量'!$C:$C,0))+0.2*INDEX('[1]12月代理实际分时电量'!N:N,MATCH($A2-21,'[1]12月代理实际分时电量'!$C:$C,0))</f>
        <v>3.873756</v>
      </c>
      <c r="O2" s="73" cm="1">
        <f t="array" ref="O2">0.5*INDEX('[1]12月代理实际分时电量'!O:O,MATCH($A2-7,'[1]12月代理实际分时电量'!$C:$C,0))+0.3*INDEX('[1]12月代理实际分时电量'!O:O,MATCH($A2-14,'[1]12月代理实际分时电量'!$C:$C,0))+0.2*INDEX('[1]12月代理实际分时电量'!O:O,MATCH($A2-21,'[1]12月代理实际分时电量'!$C:$C,0))</f>
        <v>3.316415</v>
      </c>
      <c r="P2" s="73" cm="1">
        <f t="array" ref="P2">0.5*INDEX('[1]12月代理实际分时电量'!P:P,MATCH($A2-7,'[1]12月代理实际分时电量'!$C:$C,0))+0.3*INDEX('[1]12月代理实际分时电量'!P:P,MATCH($A2-14,'[1]12月代理实际分时电量'!$C:$C,0))+0.2*INDEX('[1]12月代理实际分时电量'!P:P,MATCH($A2-21,'[1]12月代理实际分时电量'!$C:$C,0))</f>
        <v>3.286468</v>
      </c>
      <c r="Q2" s="73" cm="1">
        <f t="array" ref="Q2">0.5*INDEX('[1]12月代理实际分时电量'!Q:Q,MATCH($A2-7,'[1]12月代理实际分时电量'!$C:$C,0))+0.3*INDEX('[1]12月代理实际分时电量'!Q:Q,MATCH($A2-14,'[1]12月代理实际分时电量'!$C:$C,0))+0.2*INDEX('[1]12月代理实际分时电量'!Q:Q,MATCH($A2-21,'[1]12月代理实际分时电量'!$C:$C,0))</f>
        <v>2.628076</v>
      </c>
      <c r="R2" s="73" cm="1">
        <f t="array" ref="R2">0.5*INDEX('[1]12月代理实际分时电量'!R:R,MATCH($A2-7,'[1]12月代理实际分时电量'!$C:$C,0))+0.3*INDEX('[1]12月代理实际分时电量'!R:R,MATCH($A2-14,'[1]12月代理实际分时电量'!$C:$C,0))+0.2*INDEX('[1]12月代理实际分时电量'!R:R,MATCH($A2-21,'[1]12月代理实际分时电量'!$C:$C,0))</f>
        <v>3.087604</v>
      </c>
      <c r="S2" s="73" cm="1">
        <f t="array" ref="S2">0.5*INDEX('[1]12月代理实际分时电量'!S:S,MATCH($A2-7,'[1]12月代理实际分时电量'!$C:$C,0))+0.3*INDEX('[1]12月代理实际分时电量'!S:S,MATCH($A2-14,'[1]12月代理实际分时电量'!$C:$C,0))+0.2*INDEX('[1]12月代理实际分时电量'!S:S,MATCH($A2-21,'[1]12月代理实际分时电量'!$C:$C,0))</f>
        <v>3.736916</v>
      </c>
      <c r="T2" s="73" cm="1">
        <f t="array" ref="T2">0.5*INDEX('[1]12月代理实际分时电量'!T:T,MATCH($A2-7,'[1]12月代理实际分时电量'!$C:$C,0))+0.3*INDEX('[1]12月代理实际分时电量'!T:T,MATCH($A2-14,'[1]12月代理实际分时电量'!$C:$C,0))+0.2*INDEX('[1]12月代理实际分时电量'!T:T,MATCH($A2-21,'[1]12月代理实际分时电量'!$C:$C,0))</f>
        <v>3.610097</v>
      </c>
      <c r="U2" s="73" cm="1">
        <f t="array" ref="U2">0.5*INDEX('[1]12月代理实际分时电量'!U:U,MATCH($A2-7,'[1]12月代理实际分时电量'!$C:$C,0))+0.3*INDEX('[1]12月代理实际分时电量'!U:U,MATCH($A2-14,'[1]12月代理实际分时电量'!$C:$C,0))+0.2*INDEX('[1]12月代理实际分时电量'!U:U,MATCH($A2-21,'[1]12月代理实际分时电量'!$C:$C,0))</f>
        <v>3.869157</v>
      </c>
      <c r="V2" s="73" cm="1">
        <f t="array" ref="V2">0.5*INDEX('[1]12月代理实际分时电量'!V:V,MATCH($A2-7,'[1]12月代理实际分时电量'!$C:$C,0))+0.3*INDEX('[1]12月代理实际分时电量'!V:V,MATCH($A2-14,'[1]12月代理实际分时电量'!$C:$C,0))+0.2*INDEX('[1]12月代理实际分时电量'!V:V,MATCH($A2-21,'[1]12月代理实际分时电量'!$C:$C,0))</f>
        <v>3.648103</v>
      </c>
      <c r="W2" s="73" cm="1">
        <f t="array" ref="W2">0.5*INDEX('[1]12月代理实际分时电量'!W:W,MATCH($A2-7,'[1]12月代理实际分时电量'!$C:$C,0))+0.3*INDEX('[1]12月代理实际分时电量'!W:W,MATCH($A2-14,'[1]12月代理实际分时电量'!$C:$C,0))+0.2*INDEX('[1]12月代理实际分时电量'!W:W,MATCH($A2-21,'[1]12月代理实际分时电量'!$C:$C,0))</f>
        <v>3.316104</v>
      </c>
      <c r="X2" s="73" cm="1">
        <f t="array" ref="X2">0.5*INDEX('[1]12月代理实际分时电量'!X:X,MATCH($A2-7,'[1]12月代理实际分时电量'!$C:$C,0))+0.3*INDEX('[1]12月代理实际分时电量'!X:X,MATCH($A2-14,'[1]12月代理实际分时电量'!$C:$C,0))+0.2*INDEX('[1]12月代理实际分时电量'!X:X,MATCH($A2-21,'[1]12月代理实际分时电量'!$C:$C,0))</f>
        <v>3.421685</v>
      </c>
      <c r="Y2" s="73" cm="1">
        <f t="array" ref="Y2">0.5*INDEX('[1]12月代理实际分时电量'!Y:Y,MATCH($A2-7,'[1]12月代理实际分时电量'!$C:$C,0))+0.3*INDEX('[1]12月代理实际分时电量'!Y:Y,MATCH($A2-14,'[1]12月代理实际分时电量'!$C:$C,0))+0.2*INDEX('[1]12月代理实际分时电量'!Y:Y,MATCH($A2-21,'[1]12月代理实际分时电量'!$C:$C,0))</f>
        <v>2.88989</v>
      </c>
      <c r="Z2" s="73" cm="1">
        <f t="array" ref="Z2">0.5*INDEX('[1]12月代理实际分时电量'!Z:Z,MATCH($A2-7,'[1]12月代理实际分时电量'!$C:$C,0))+0.3*INDEX('[1]12月代理实际分时电量'!Z:Z,MATCH($A2-14,'[1]12月代理实际分时电量'!$C:$C,0))+0.2*INDEX('[1]12月代理实际分时电量'!Z:Z,MATCH($A2-21,'[1]12月代理实际分时电量'!$C:$C,0))</f>
        <v>2.35654</v>
      </c>
      <c r="AA2" s="73" cm="1">
        <f t="array" ref="AA2">0.5*INDEX('[1]12月代理实际分时电量'!AA:AA,MATCH($A2-7,'[1]12月代理实际分时电量'!$C:$C,0))+0.3*INDEX('[1]12月代理实际分时电量'!AA:AA,MATCH($A2-14,'[1]12月代理实际分时电量'!$C:$C,0))+0.2*INDEX('[1]12月代理实际分时电量'!AA:AA,MATCH($A2-21,'[1]12月代理实际分时电量'!$C:$C,0))</f>
        <v>1.848535</v>
      </c>
      <c r="AB2" s="73" cm="1">
        <f t="array" ref="AB2">0.5*INDEX('[1]12月代理实际分时电量'!AB:AB,MATCH($A2-7,'[1]12月代理实际分时电量'!$C:$C,0))+0.3*INDEX('[1]12月代理实际分时电量'!AB:AB,MATCH($A2-14,'[1]12月代理实际分时电量'!$C:$C,0))+0.2*INDEX('[1]12月代理实际分时电量'!AB:AB,MATCH($A2-21,'[1]12月代理实际分时电量'!$C:$C,0))</f>
        <v>1.54256</v>
      </c>
      <c r="AC2" s="81" t="s">
        <v>34</v>
      </c>
    </row>
    <row r="3" spans="1:29">
      <c r="A3" s="4"/>
      <c r="B3" s="68"/>
      <c r="C3" s="2" t="s">
        <v>35</v>
      </c>
      <c r="D3" s="3">
        <f>D4/D2</f>
        <v>0.940285729332219</v>
      </c>
      <c r="E3" s="74">
        <v>1.1</v>
      </c>
      <c r="F3" s="75">
        <v>1</v>
      </c>
      <c r="G3" s="75">
        <v>0.8</v>
      </c>
      <c r="H3" s="75">
        <v>0.8</v>
      </c>
      <c r="I3" s="75">
        <v>0.8</v>
      </c>
      <c r="J3" s="75">
        <v>0.8</v>
      </c>
      <c r="K3" s="75">
        <v>0.8</v>
      </c>
      <c r="L3" s="75">
        <v>1</v>
      </c>
      <c r="M3" s="75">
        <v>1</v>
      </c>
      <c r="N3" s="75">
        <v>1</v>
      </c>
      <c r="O3" s="75">
        <v>0.8</v>
      </c>
      <c r="P3" s="75">
        <v>0.8</v>
      </c>
      <c r="Q3" s="75">
        <v>0.8</v>
      </c>
      <c r="R3" s="75">
        <v>0.8</v>
      </c>
      <c r="S3" s="75">
        <v>0.8</v>
      </c>
      <c r="T3" s="75">
        <v>1</v>
      </c>
      <c r="U3" s="75">
        <v>1.1</v>
      </c>
      <c r="V3" s="75">
        <v>1.1</v>
      </c>
      <c r="W3" s="75">
        <v>1.1</v>
      </c>
      <c r="X3" s="75">
        <v>1.1</v>
      </c>
      <c r="Y3" s="75">
        <v>0.9</v>
      </c>
      <c r="Z3" s="75">
        <v>0.9</v>
      </c>
      <c r="AA3" s="75">
        <v>0.9</v>
      </c>
      <c r="AB3" s="75">
        <v>1</v>
      </c>
      <c r="AC3" s="81"/>
    </row>
    <row r="4" spans="1:29">
      <c r="A4" s="4"/>
      <c r="B4" s="68"/>
      <c r="C4" s="2" t="s">
        <v>36</v>
      </c>
      <c r="D4" s="3">
        <f>SUM(E4:AB4)</f>
        <v>56.707</v>
      </c>
      <c r="E4" s="13">
        <f t="shared" ref="E4:AB4" si="0">ROUND(E2*E3,3)</f>
        <v>1.409</v>
      </c>
      <c r="F4" s="13">
        <f t="shared" si="0"/>
        <v>1.297</v>
      </c>
      <c r="G4" s="13">
        <f t="shared" si="0"/>
        <v>1.023</v>
      </c>
      <c r="H4" s="13">
        <f t="shared" si="0"/>
        <v>0.966</v>
      </c>
      <c r="I4" s="13">
        <f t="shared" si="0"/>
        <v>0.997</v>
      </c>
      <c r="J4" s="13">
        <f t="shared" si="0"/>
        <v>0.993</v>
      </c>
      <c r="K4" s="13">
        <f t="shared" si="0"/>
        <v>0.968</v>
      </c>
      <c r="L4" s="13">
        <f t="shared" si="0"/>
        <v>1.646</v>
      </c>
      <c r="M4" s="13">
        <f t="shared" si="0"/>
        <v>3.47</v>
      </c>
      <c r="N4" s="13">
        <f t="shared" si="0"/>
        <v>3.874</v>
      </c>
      <c r="O4" s="13">
        <f t="shared" si="0"/>
        <v>2.653</v>
      </c>
      <c r="P4" s="13">
        <f t="shared" si="0"/>
        <v>2.629</v>
      </c>
      <c r="Q4" s="13">
        <f t="shared" si="0"/>
        <v>2.102</v>
      </c>
      <c r="R4" s="13">
        <f t="shared" si="0"/>
        <v>2.47</v>
      </c>
      <c r="S4" s="13">
        <f t="shared" si="0"/>
        <v>2.99</v>
      </c>
      <c r="T4" s="13">
        <f t="shared" si="0"/>
        <v>3.61</v>
      </c>
      <c r="U4" s="13">
        <f t="shared" si="0"/>
        <v>4.256</v>
      </c>
      <c r="V4" s="13">
        <f t="shared" si="0"/>
        <v>4.013</v>
      </c>
      <c r="W4" s="13">
        <f t="shared" si="0"/>
        <v>3.648</v>
      </c>
      <c r="X4" s="13">
        <f t="shared" si="0"/>
        <v>3.764</v>
      </c>
      <c r="Y4" s="13">
        <f t="shared" si="0"/>
        <v>2.601</v>
      </c>
      <c r="Z4" s="13">
        <f t="shared" si="0"/>
        <v>2.121</v>
      </c>
      <c r="AA4" s="13">
        <f t="shared" si="0"/>
        <v>1.664</v>
      </c>
      <c r="AB4" s="13">
        <f t="shared" si="0"/>
        <v>1.543</v>
      </c>
      <c r="AC4" s="81"/>
    </row>
    <row r="5" ht="17" spans="1:29">
      <c r="A5" s="4"/>
      <c r="B5" s="68"/>
      <c r="C5" s="66" t="s">
        <v>37</v>
      </c>
      <c r="D5" s="3">
        <f>SUM(E5:AB5)</f>
        <v>44.4764</v>
      </c>
      <c r="E5" s="13">
        <v>0.9755</v>
      </c>
      <c r="F5" s="13">
        <v>0.9683</v>
      </c>
      <c r="G5" s="13">
        <v>0.9103</v>
      </c>
      <c r="H5" s="13">
        <v>0.7648</v>
      </c>
      <c r="I5" s="13">
        <v>0.7345</v>
      </c>
      <c r="J5" s="13">
        <v>0.7851</v>
      </c>
      <c r="K5" s="13">
        <v>0.9163</v>
      </c>
      <c r="L5" s="13">
        <v>1.2499</v>
      </c>
      <c r="M5" s="13">
        <v>2.5941</v>
      </c>
      <c r="N5" s="13">
        <v>3.0418</v>
      </c>
      <c r="O5" s="13">
        <v>2.3309</v>
      </c>
      <c r="P5" s="13">
        <v>2.1625</v>
      </c>
      <c r="Q5" s="13">
        <v>2.0026</v>
      </c>
      <c r="R5" s="13">
        <v>2.3623</v>
      </c>
      <c r="S5" s="13">
        <v>2.6797</v>
      </c>
      <c r="T5" s="13">
        <v>2.5526</v>
      </c>
      <c r="U5" s="13">
        <v>2.6743</v>
      </c>
      <c r="V5" s="13">
        <v>2.7308</v>
      </c>
      <c r="W5" s="13">
        <v>2.5227</v>
      </c>
      <c r="X5" s="13">
        <v>2.5735</v>
      </c>
      <c r="Y5" s="13">
        <v>2.2502</v>
      </c>
      <c r="Z5" s="13">
        <v>1.9423</v>
      </c>
      <c r="AA5" s="13">
        <v>1.4737</v>
      </c>
      <c r="AB5" s="13">
        <v>1.2777</v>
      </c>
      <c r="AC5" s="81"/>
    </row>
    <row r="6" spans="1:29">
      <c r="A6" s="69"/>
      <c r="B6" s="68"/>
      <c r="C6" s="64" t="s">
        <v>38</v>
      </c>
      <c r="D6" s="70">
        <f>D5/D2</f>
        <v>0.737484335480126</v>
      </c>
      <c r="E6" s="76">
        <f t="shared" ref="E6:AB6" si="1">1-ABS(E2-E5)/E5</f>
        <v>0.68703741670938</v>
      </c>
      <c r="F6" s="76">
        <f t="shared" si="1"/>
        <v>0.660270577300423</v>
      </c>
      <c r="G6" s="76">
        <f t="shared" si="1"/>
        <v>0.595320224101944</v>
      </c>
      <c r="H6" s="76">
        <f t="shared" si="1"/>
        <v>0.42194429916318</v>
      </c>
      <c r="I6" s="76">
        <f t="shared" si="1"/>
        <v>0.303791695030633</v>
      </c>
      <c r="J6" s="76">
        <f t="shared" si="1"/>
        <v>0.419118583619921</v>
      </c>
      <c r="K6" s="76">
        <f t="shared" si="1"/>
        <v>0.679591836734694</v>
      </c>
      <c r="L6" s="76">
        <f t="shared" si="1"/>
        <v>0.683469077526202</v>
      </c>
      <c r="M6" s="76">
        <f t="shared" si="1"/>
        <v>0.662237770324968</v>
      </c>
      <c r="N6" s="76">
        <f t="shared" si="1"/>
        <v>0.72649220856072</v>
      </c>
      <c r="O6" s="76">
        <f t="shared" si="1"/>
        <v>0.577195503882621</v>
      </c>
      <c r="P6" s="76">
        <f t="shared" si="1"/>
        <v>0.480246011560694</v>
      </c>
      <c r="Q6" s="76">
        <f t="shared" si="1"/>
        <v>0.687668031558973</v>
      </c>
      <c r="R6" s="76">
        <f t="shared" si="1"/>
        <v>0.692967023663379</v>
      </c>
      <c r="S6" s="76">
        <f t="shared" si="1"/>
        <v>0.605472254356831</v>
      </c>
      <c r="T6" s="76">
        <f t="shared" si="1"/>
        <v>0.585717699600408</v>
      </c>
      <c r="U6" s="76">
        <f t="shared" si="1"/>
        <v>0.553207568335639</v>
      </c>
      <c r="V6" s="76">
        <f t="shared" si="1"/>
        <v>0.664090010253406</v>
      </c>
      <c r="W6" s="76">
        <f t="shared" si="1"/>
        <v>0.685494113449875</v>
      </c>
      <c r="X6" s="76">
        <f t="shared" si="1"/>
        <v>0.670415776180299</v>
      </c>
      <c r="Y6" s="76">
        <f t="shared" si="1"/>
        <v>0.715718602790863</v>
      </c>
      <c r="Z6" s="76">
        <f t="shared" si="1"/>
        <v>0.786727076146836</v>
      </c>
      <c r="AA6" s="76">
        <f t="shared" si="1"/>
        <v>0.745650403745674</v>
      </c>
      <c r="AB6" s="76">
        <f t="shared" si="1"/>
        <v>0.79270564295218</v>
      </c>
      <c r="AC6" s="81"/>
    </row>
    <row r="7" spans="1:29">
      <c r="A7" s="4">
        <v>45993</v>
      </c>
      <c r="B7" s="67" t="s">
        <v>39</v>
      </c>
      <c r="C7" s="2" t="s">
        <v>33</v>
      </c>
      <c r="D7" s="3">
        <f>SUM(E7:AB7)</f>
        <v>61.560199</v>
      </c>
      <c r="E7" s="73" cm="1">
        <f t="array" ref="E7">0.5*INDEX('[1]12月代理实际分时电量'!E:E,MATCH($A7-7,'[1]12月代理实际分时电量'!$C:$C,0))+0.3*INDEX('[1]12月代理实际分时电量'!E:E,MATCH($A7-14,'[1]12月代理实际分时电量'!$C:$C,0))+0.2*INDEX('[1]12月代理实际分时电量'!E:E,MATCH($A7-21,'[1]12月代理实际分时电量'!$C:$C,0))</f>
        <v>1.504975</v>
      </c>
      <c r="F7" s="73" cm="1">
        <f t="array" ref="F7">0.5*INDEX('[1]12月代理实际分时电量'!F:F,MATCH($A7-7,'[1]12月代理实际分时电量'!$C:$C,0))+0.3*INDEX('[1]12月代理实际分时电量'!F:F,MATCH($A7-14,'[1]12月代理实际分时电量'!$C:$C,0))+0.2*INDEX('[1]12月代理实际分时电量'!F:F,MATCH($A7-21,'[1]12月代理实际分时电量'!$C:$C,0))</f>
        <v>1.51727</v>
      </c>
      <c r="G7" s="73" cm="1">
        <f t="array" ref="G7">0.5*INDEX('[1]12月代理实际分时电量'!G:G,MATCH($A7-7,'[1]12月代理实际分时电量'!$C:$C,0))+0.3*INDEX('[1]12月代理实际分时电量'!G:G,MATCH($A7-14,'[1]12月代理实际分时电量'!$C:$C,0))+0.2*INDEX('[1]12月代理实际分时电量'!G:G,MATCH($A7-21,'[1]12月代理实际分时电量'!$C:$C,0))</f>
        <v>1.53219</v>
      </c>
      <c r="H7" s="73" cm="1">
        <f t="array" ref="H7">0.5*INDEX('[1]12月代理实际分时电量'!H:H,MATCH($A7-7,'[1]12月代理实际分时电量'!$C:$C,0))+0.3*INDEX('[1]12月代理实际分时电量'!H:H,MATCH($A7-14,'[1]12月代理实际分时电量'!$C:$C,0))+0.2*INDEX('[1]12月代理实际分时电量'!H:H,MATCH($A7-21,'[1]12月代理实际分时电量'!$C:$C,0))</f>
        <v>1.4888</v>
      </c>
      <c r="I7" s="73" cm="1">
        <f t="array" ref="I7">0.5*INDEX('[1]12月代理实际分时电量'!I:I,MATCH($A7-7,'[1]12月代理实际分时电量'!$C:$C,0))+0.3*INDEX('[1]12月代理实际分时电量'!I:I,MATCH($A7-14,'[1]12月代理实际分时电量'!$C:$C,0))+0.2*INDEX('[1]12月代理实际分时电量'!I:I,MATCH($A7-21,'[1]12月代理实际分时电量'!$C:$C,0))</f>
        <v>1.484597</v>
      </c>
      <c r="J7" s="73" cm="1">
        <f t="array" ref="J7">0.5*INDEX('[1]12月代理实际分时电量'!J:J,MATCH($A7-7,'[1]12月代理实际分时电量'!$C:$C,0))+0.3*INDEX('[1]12月代理实际分时电量'!J:J,MATCH($A7-14,'[1]12月代理实际分时电量'!$C:$C,0))+0.2*INDEX('[1]12月代理实际分时电量'!J:J,MATCH($A7-21,'[1]12月代理实际分时电量'!$C:$C,0))</f>
        <v>1.48436</v>
      </c>
      <c r="K7" s="73" cm="1">
        <f t="array" ref="K7">0.5*INDEX('[1]12月代理实际分时电量'!K:K,MATCH($A7-7,'[1]12月代理实际分时电量'!$C:$C,0))+0.3*INDEX('[1]12月代理实际分时电量'!K:K,MATCH($A7-14,'[1]12月代理实际分时电量'!$C:$C,0))+0.2*INDEX('[1]12月代理实际分时电量'!K:K,MATCH($A7-21,'[1]12月代理实际分时电量'!$C:$C,0))</f>
        <v>1.443032</v>
      </c>
      <c r="L7" s="73" cm="1">
        <f t="array" ref="L7">0.5*INDEX('[1]12月代理实际分时电量'!L:L,MATCH($A7-7,'[1]12月代理实际分时电量'!$C:$C,0))+0.3*INDEX('[1]12月代理实际分时电量'!L:L,MATCH($A7-14,'[1]12月代理实际分时电量'!$C:$C,0))+0.2*INDEX('[1]12月代理实际分时电量'!L:L,MATCH($A7-21,'[1]12月代理实际分时电量'!$C:$C,0))</f>
        <v>1.76186</v>
      </c>
      <c r="M7" s="73" cm="1">
        <f t="array" ref="M7">0.5*INDEX('[1]12月代理实际分时电量'!M:M,MATCH($A7-7,'[1]12月代理实际分时电量'!$C:$C,0))+0.3*INDEX('[1]12月代理实际分时电量'!M:M,MATCH($A7-14,'[1]12月代理实际分时电量'!$C:$C,0))+0.2*INDEX('[1]12月代理实际分时电量'!M:M,MATCH($A7-21,'[1]12月代理实际分时电量'!$C:$C,0))</f>
        <v>3.623511</v>
      </c>
      <c r="N7" s="73" cm="1">
        <f t="array" ref="N7">0.5*INDEX('[1]12月代理实际分时电量'!N:N,MATCH($A7-7,'[1]12月代理实际分时电量'!$C:$C,0))+0.3*INDEX('[1]12月代理实际分时电量'!N:N,MATCH($A7-14,'[1]12月代理实际分时电量'!$C:$C,0))+0.2*INDEX('[1]12月代理实际分时电量'!N:N,MATCH($A7-21,'[1]12月代理实际分时电量'!$C:$C,0))</f>
        <v>3.905341</v>
      </c>
      <c r="O7" s="73" cm="1">
        <f t="array" ref="O7">0.5*INDEX('[1]12月代理实际分时电量'!O:O,MATCH($A7-7,'[1]12月代理实际分时电量'!$C:$C,0))+0.3*INDEX('[1]12月代理实际分时电量'!O:O,MATCH($A7-14,'[1]12月代理实际分时电量'!$C:$C,0))+0.2*INDEX('[1]12月代理实际分时电量'!O:O,MATCH($A7-21,'[1]12月代理实际分时电量'!$C:$C,0))</f>
        <v>3.416131</v>
      </c>
      <c r="P7" s="73" cm="1">
        <f t="array" ref="P7">0.5*INDEX('[1]12月代理实际分时电量'!P:P,MATCH($A7-7,'[1]12月代理实际分时电量'!$C:$C,0))+0.3*INDEX('[1]12月代理实际分时电量'!P:P,MATCH($A7-14,'[1]12月代理实际分时电量'!$C:$C,0))+0.2*INDEX('[1]12月代理实际分时电量'!P:P,MATCH($A7-21,'[1]12月代理实际分时电量'!$C:$C,0))</f>
        <v>3.299858</v>
      </c>
      <c r="Q7" s="73" cm="1">
        <f t="array" ref="Q7">0.5*INDEX('[1]12月代理实际分时电量'!Q:Q,MATCH($A7-7,'[1]12月代理实际分时电量'!$C:$C,0))+0.3*INDEX('[1]12月代理实际分时电量'!Q:Q,MATCH($A7-14,'[1]12月代理实际分时电量'!$C:$C,0))+0.2*INDEX('[1]12月代理实际分时电量'!Q:Q,MATCH($A7-21,'[1]12月代理实际分时电量'!$C:$C,0))</f>
        <v>2.626914</v>
      </c>
      <c r="R7" s="73" cm="1">
        <f t="array" ref="R7">0.5*INDEX('[1]12月代理实际分时电量'!R:R,MATCH($A7-7,'[1]12月代理实际分时电量'!$C:$C,0))+0.3*INDEX('[1]12月代理实际分时电量'!R:R,MATCH($A7-14,'[1]12月代理实际分时电量'!$C:$C,0))+0.2*INDEX('[1]12月代理实际分时电量'!R:R,MATCH($A7-21,'[1]12月代理实际分时电量'!$C:$C,0))</f>
        <v>3.115833</v>
      </c>
      <c r="S7" s="73" cm="1">
        <f t="array" ref="S7">0.5*INDEX('[1]12月代理实际分时电量'!S:S,MATCH($A7-7,'[1]12月代理实际分时电量'!$C:$C,0))+0.3*INDEX('[1]12月代理实际分时电量'!S:S,MATCH($A7-14,'[1]12月代理实际分时电量'!$C:$C,0))+0.2*INDEX('[1]12月代理实际分时电量'!S:S,MATCH($A7-21,'[1]12月代理实际分时电量'!$C:$C,0))</f>
        <v>3.663581</v>
      </c>
      <c r="T7" s="73" cm="1">
        <f t="array" ref="T7">0.5*INDEX('[1]12月代理实际分时电量'!T:T,MATCH($A7-7,'[1]12月代理实际分时电量'!$C:$C,0))+0.3*INDEX('[1]12月代理实际分时电量'!T:T,MATCH($A7-14,'[1]12月代理实际分时电量'!$C:$C,0))+0.2*INDEX('[1]12月代理实际分时电量'!T:T,MATCH($A7-21,'[1]12月代理实际分时电量'!$C:$C,0))</f>
        <v>3.485675</v>
      </c>
      <c r="U7" s="73" cm="1">
        <f t="array" ref="U7">0.5*INDEX('[1]12月代理实际分时电量'!U:U,MATCH($A7-7,'[1]12月代理实际分时电量'!$C:$C,0))+0.3*INDEX('[1]12月代理实际分时电量'!U:U,MATCH($A7-14,'[1]12月代理实际分时电量'!$C:$C,0))+0.2*INDEX('[1]12月代理实际分时电量'!U:U,MATCH($A7-21,'[1]12月代理实际分时电量'!$C:$C,0))</f>
        <v>3.606425</v>
      </c>
      <c r="V7" s="73" cm="1">
        <f t="array" ref="V7">0.5*INDEX('[1]12月代理实际分时电量'!V:V,MATCH($A7-7,'[1]12月代理实际分时电量'!$C:$C,0))+0.3*INDEX('[1]12月代理实际分时电量'!V:V,MATCH($A7-14,'[1]12月代理实际分时电量'!$C:$C,0))+0.2*INDEX('[1]12月代理实际分时电量'!V:V,MATCH($A7-21,'[1]12月代理实际分时电量'!$C:$C,0))</f>
        <v>3.480532</v>
      </c>
      <c r="W7" s="73" cm="1">
        <f t="array" ref="W7">0.5*INDEX('[1]12月代理实际分时电量'!W:W,MATCH($A7-7,'[1]12月代理实际分时电量'!$C:$C,0))+0.3*INDEX('[1]12月代理实际分时电量'!W:W,MATCH($A7-14,'[1]12月代理实际分时电量'!$C:$C,0))+0.2*INDEX('[1]12月代理实际分时电量'!W:W,MATCH($A7-21,'[1]12月代理实际分时电量'!$C:$C,0))</f>
        <v>3.207799</v>
      </c>
      <c r="X7" s="73" cm="1">
        <f t="array" ref="X7">0.5*INDEX('[1]12月代理实际分时电量'!X:X,MATCH($A7-7,'[1]12月代理实际分时电量'!$C:$C,0))+0.3*INDEX('[1]12月代理实际分时电量'!X:X,MATCH($A7-14,'[1]12月代理实际分时电量'!$C:$C,0))+0.2*INDEX('[1]12月代理实际分时电量'!X:X,MATCH($A7-21,'[1]12月代理实际分时电量'!$C:$C,0))</f>
        <v>3.321935</v>
      </c>
      <c r="Y7" s="73" cm="1">
        <f t="array" ref="Y7">0.5*INDEX('[1]12月代理实际分时电量'!Y:Y,MATCH($A7-7,'[1]12月代理实际分时电量'!$C:$C,0))+0.3*INDEX('[1]12月代理实际分时电量'!Y:Y,MATCH($A7-14,'[1]12月代理实际分时电量'!$C:$C,0))+0.2*INDEX('[1]12月代理实际分时电量'!Y:Y,MATCH($A7-21,'[1]12月代理实际分时电量'!$C:$C,0))</f>
        <v>2.938634</v>
      </c>
      <c r="Z7" s="73" cm="1">
        <f t="array" ref="Z7">0.5*INDEX('[1]12月代理实际分时电量'!Z:Z,MATCH($A7-7,'[1]12月代理实际分时电量'!$C:$C,0))+0.3*INDEX('[1]12月代理实际分时电量'!Z:Z,MATCH($A7-14,'[1]12月代理实际分时电量'!$C:$C,0))+0.2*INDEX('[1]12月代理实际分时电量'!Z:Z,MATCH($A7-21,'[1]12月代理实际分时电量'!$C:$C,0))</f>
        <v>2.298062</v>
      </c>
      <c r="AA7" s="73" cm="1">
        <f t="array" ref="AA7">0.5*INDEX('[1]12月代理实际分时电量'!AA:AA,MATCH($A7-7,'[1]12月代理实际分时电量'!$C:$C,0))+0.3*INDEX('[1]12月代理实际分时电量'!AA:AA,MATCH($A7-14,'[1]12月代理实际分时电量'!$C:$C,0))+0.2*INDEX('[1]12月代理实际分时电量'!AA:AA,MATCH($A7-21,'[1]12月代理实际分时电量'!$C:$C,0))</f>
        <v>1.857722</v>
      </c>
      <c r="AB7" s="73" cm="1">
        <f t="array" ref="AB7">0.5*INDEX('[1]12月代理实际分时电量'!AB:AB,MATCH($A7-7,'[1]12月代理实际分时电量'!$C:$C,0))+0.3*INDEX('[1]12月代理实际分时电量'!AB:AB,MATCH($A7-14,'[1]12月代理实际分时电量'!$C:$C,0))+0.2*INDEX('[1]12月代理实际分时电量'!AB:AB,MATCH($A7-21,'[1]12月代理实际分时电量'!$C:$C,0))</f>
        <v>1.495162</v>
      </c>
      <c r="AC7" s="81"/>
    </row>
    <row r="8" spans="1:29">
      <c r="A8" s="4"/>
      <c r="B8" s="68"/>
      <c r="C8" s="2" t="s">
        <v>35</v>
      </c>
      <c r="D8" s="3">
        <f>D9/D7</f>
        <v>0.894392820270123</v>
      </c>
      <c r="E8" s="74">
        <v>1.1</v>
      </c>
      <c r="F8" s="75">
        <v>1</v>
      </c>
      <c r="G8" s="75">
        <v>0.9</v>
      </c>
      <c r="H8" s="75">
        <v>0.9</v>
      </c>
      <c r="I8" s="75">
        <v>0.9</v>
      </c>
      <c r="J8" s="75">
        <v>0.8</v>
      </c>
      <c r="K8" s="75">
        <v>0.8</v>
      </c>
      <c r="L8" s="75">
        <v>1.1</v>
      </c>
      <c r="M8" s="75">
        <v>1.1</v>
      </c>
      <c r="N8" s="75">
        <v>1</v>
      </c>
      <c r="O8" s="75">
        <v>0.8</v>
      </c>
      <c r="P8" s="75">
        <v>0.8</v>
      </c>
      <c r="Q8" s="75">
        <v>0.8</v>
      </c>
      <c r="R8" s="75">
        <v>0.8</v>
      </c>
      <c r="S8" s="75">
        <v>0.8</v>
      </c>
      <c r="T8" s="75">
        <v>0.8</v>
      </c>
      <c r="U8" s="75">
        <v>0.8</v>
      </c>
      <c r="V8" s="75">
        <v>1</v>
      </c>
      <c r="W8" s="75">
        <v>0.9</v>
      </c>
      <c r="X8" s="75">
        <v>0.9</v>
      </c>
      <c r="Y8" s="75">
        <v>0.9</v>
      </c>
      <c r="Z8" s="75">
        <v>0.9</v>
      </c>
      <c r="AA8" s="75">
        <v>0.9</v>
      </c>
      <c r="AB8" s="75">
        <v>0.9</v>
      </c>
      <c r="AC8" s="81"/>
    </row>
    <row r="9" spans="1:29">
      <c r="A9" s="4"/>
      <c r="B9" s="68"/>
      <c r="C9" s="2" t="s">
        <v>36</v>
      </c>
      <c r="D9" s="3">
        <f>SUM(E9:AB9)</f>
        <v>55.059</v>
      </c>
      <c r="E9" s="13">
        <f t="shared" ref="E9:AB9" si="2">ROUND(E7*E8,3)</f>
        <v>1.655</v>
      </c>
      <c r="F9" s="13">
        <f t="shared" si="2"/>
        <v>1.517</v>
      </c>
      <c r="G9" s="13">
        <f t="shared" si="2"/>
        <v>1.379</v>
      </c>
      <c r="H9" s="13">
        <f t="shared" si="2"/>
        <v>1.34</v>
      </c>
      <c r="I9" s="13">
        <f t="shared" si="2"/>
        <v>1.336</v>
      </c>
      <c r="J9" s="13">
        <f t="shared" si="2"/>
        <v>1.187</v>
      </c>
      <c r="K9" s="13">
        <f t="shared" si="2"/>
        <v>1.154</v>
      </c>
      <c r="L9" s="13">
        <f t="shared" si="2"/>
        <v>1.938</v>
      </c>
      <c r="M9" s="13">
        <f t="shared" si="2"/>
        <v>3.986</v>
      </c>
      <c r="N9" s="13">
        <f t="shared" si="2"/>
        <v>3.905</v>
      </c>
      <c r="O9" s="13">
        <f t="shared" si="2"/>
        <v>2.733</v>
      </c>
      <c r="P9" s="13">
        <f t="shared" si="2"/>
        <v>2.64</v>
      </c>
      <c r="Q9" s="13">
        <f t="shared" si="2"/>
        <v>2.102</v>
      </c>
      <c r="R9" s="13">
        <f t="shared" si="2"/>
        <v>2.493</v>
      </c>
      <c r="S9" s="13">
        <f t="shared" si="2"/>
        <v>2.931</v>
      </c>
      <c r="T9" s="13">
        <f t="shared" si="2"/>
        <v>2.789</v>
      </c>
      <c r="U9" s="13">
        <f t="shared" si="2"/>
        <v>2.885</v>
      </c>
      <c r="V9" s="13">
        <f t="shared" si="2"/>
        <v>3.481</v>
      </c>
      <c r="W9" s="13">
        <f t="shared" si="2"/>
        <v>2.887</v>
      </c>
      <c r="X9" s="13">
        <f t="shared" si="2"/>
        <v>2.99</v>
      </c>
      <c r="Y9" s="13">
        <f t="shared" si="2"/>
        <v>2.645</v>
      </c>
      <c r="Z9" s="13">
        <f t="shared" si="2"/>
        <v>2.068</v>
      </c>
      <c r="AA9" s="13">
        <f t="shared" si="2"/>
        <v>1.672</v>
      </c>
      <c r="AB9" s="13">
        <f t="shared" si="2"/>
        <v>1.346</v>
      </c>
      <c r="AC9" s="81"/>
    </row>
    <row r="10" ht="17" spans="1:29">
      <c r="A10" s="4"/>
      <c r="B10" s="68"/>
      <c r="C10" s="66" t="s">
        <v>37</v>
      </c>
      <c r="D10" s="3">
        <f>SUM(E10:AB10)</f>
        <v>64.1441</v>
      </c>
      <c r="E10" s="13">
        <v>1.3738</v>
      </c>
      <c r="F10" s="13">
        <v>1.3887</v>
      </c>
      <c r="G10" s="13">
        <v>1.3377</v>
      </c>
      <c r="H10" s="13">
        <v>1.2493</v>
      </c>
      <c r="I10" s="13">
        <v>1.2389</v>
      </c>
      <c r="J10" s="13">
        <v>1.242</v>
      </c>
      <c r="K10" s="13">
        <v>1.2403</v>
      </c>
      <c r="L10" s="13">
        <v>1.7035</v>
      </c>
      <c r="M10" s="13">
        <v>3.8685</v>
      </c>
      <c r="N10" s="13">
        <v>4.1165</v>
      </c>
      <c r="O10" s="13">
        <v>3.6086</v>
      </c>
      <c r="P10" s="13">
        <v>3.4586</v>
      </c>
      <c r="Q10" s="13">
        <v>2.8528</v>
      </c>
      <c r="R10" s="13">
        <v>3.5267</v>
      </c>
      <c r="S10" s="13">
        <v>4.0565</v>
      </c>
      <c r="T10" s="13">
        <v>3.882</v>
      </c>
      <c r="U10" s="13">
        <v>3.9285</v>
      </c>
      <c r="V10" s="13">
        <v>3.8313</v>
      </c>
      <c r="W10" s="13">
        <v>3.4441</v>
      </c>
      <c r="X10" s="13">
        <v>3.4902</v>
      </c>
      <c r="Y10" s="13">
        <v>3.0839</v>
      </c>
      <c r="Z10" s="13">
        <v>2.5905</v>
      </c>
      <c r="AA10" s="13">
        <v>2.0101</v>
      </c>
      <c r="AB10" s="13">
        <v>1.6211</v>
      </c>
      <c r="AC10" s="81"/>
    </row>
    <row r="11" spans="1:29">
      <c r="A11" s="69"/>
      <c r="B11" s="68"/>
      <c r="C11" s="64" t="s">
        <v>38</v>
      </c>
      <c r="D11" s="70">
        <f>D10/D7</f>
        <v>1.04197356477032</v>
      </c>
      <c r="E11" s="76">
        <f t="shared" ref="E11:AB11" si="3">1-ABS(E7-E10)/E10</f>
        <v>0.904516669093027</v>
      </c>
      <c r="F11" s="76">
        <f t="shared" si="3"/>
        <v>0.907417008713185</v>
      </c>
      <c r="G11" s="76">
        <f t="shared" si="3"/>
        <v>0.854608656649473</v>
      </c>
      <c r="H11" s="76">
        <f t="shared" si="3"/>
        <v>0.808292643880573</v>
      </c>
      <c r="I11" s="76">
        <f t="shared" si="3"/>
        <v>0.801681330212285</v>
      </c>
      <c r="J11" s="76">
        <f t="shared" si="3"/>
        <v>0.804863123993559</v>
      </c>
      <c r="K11" s="76">
        <f t="shared" si="3"/>
        <v>0.836545996936225</v>
      </c>
      <c r="L11" s="76">
        <f t="shared" si="3"/>
        <v>0.965741121221016</v>
      </c>
      <c r="M11" s="76">
        <f t="shared" si="3"/>
        <v>0.936670802636681</v>
      </c>
      <c r="N11" s="76">
        <f t="shared" si="3"/>
        <v>0.948704239038018</v>
      </c>
      <c r="O11" s="76">
        <f t="shared" si="3"/>
        <v>0.946663803136951</v>
      </c>
      <c r="P11" s="76">
        <f t="shared" si="3"/>
        <v>0.954102237899728</v>
      </c>
      <c r="Q11" s="76">
        <f t="shared" si="3"/>
        <v>0.920819545709479</v>
      </c>
      <c r="R11" s="76">
        <f t="shared" si="3"/>
        <v>0.883498171094791</v>
      </c>
      <c r="S11" s="76">
        <f t="shared" si="3"/>
        <v>0.903138419820042</v>
      </c>
      <c r="T11" s="76">
        <f t="shared" si="3"/>
        <v>0.897907006697579</v>
      </c>
      <c r="U11" s="76">
        <f t="shared" si="3"/>
        <v>0.918015782105129</v>
      </c>
      <c r="V11" s="76">
        <f t="shared" si="3"/>
        <v>0.908446741314958</v>
      </c>
      <c r="W11" s="76">
        <f t="shared" si="3"/>
        <v>0.931389622833251</v>
      </c>
      <c r="X11" s="76">
        <f t="shared" si="3"/>
        <v>0.951789295742364</v>
      </c>
      <c r="Y11" s="76">
        <f t="shared" si="3"/>
        <v>0.952895359771718</v>
      </c>
      <c r="Z11" s="76">
        <f t="shared" si="3"/>
        <v>0.887111368461687</v>
      </c>
      <c r="AA11" s="76">
        <f t="shared" si="3"/>
        <v>0.924193821202925</v>
      </c>
      <c r="AB11" s="76">
        <f t="shared" si="3"/>
        <v>0.922313244093517</v>
      </c>
      <c r="AC11" s="81"/>
    </row>
    <row r="12" spans="1:29">
      <c r="A12" s="4">
        <v>45994</v>
      </c>
      <c r="B12" s="67" t="s">
        <v>40</v>
      </c>
      <c r="C12" s="2" t="s">
        <v>33</v>
      </c>
      <c r="D12" s="3">
        <f>SUM(E12:AB12)</f>
        <v>61.919217</v>
      </c>
      <c r="E12" s="73" cm="1">
        <f t="array" ref="E12">0.5*INDEX('[1]12月代理实际分时电量'!E:E,MATCH($A12-7,'[1]12月代理实际分时电量'!$C:$C,0))+0.3*INDEX('[1]12月代理实际分时电量'!E:E,MATCH($A12-14,'[1]12月代理实际分时电量'!$C:$C,0))+0.2*INDEX('[1]12月代理实际分时电量'!E:E,MATCH($A12-21,'[1]12月代理实际分时电量'!$C:$C,0))</f>
        <v>1.537627</v>
      </c>
      <c r="F12" s="73" cm="1">
        <f t="array" ref="F12">0.5*INDEX('[1]12月代理实际分时电量'!F:F,MATCH($A12-7,'[1]12月代理实际分时电量'!$C:$C,0))+0.3*INDEX('[1]12月代理实际分时电量'!F:F,MATCH($A12-14,'[1]12月代理实际分时电量'!$C:$C,0))+0.2*INDEX('[1]12月代理实际分时电量'!F:F,MATCH($A12-21,'[1]12月代理实际分时电量'!$C:$C,0))</f>
        <v>1.591435</v>
      </c>
      <c r="G12" s="73" cm="1">
        <f t="array" ref="G12">0.5*INDEX('[1]12月代理实际分时电量'!G:G,MATCH($A12-7,'[1]12月代理实际分时电量'!$C:$C,0))+0.3*INDEX('[1]12月代理实际分时电量'!G:G,MATCH($A12-14,'[1]12月代理实际分时电量'!$C:$C,0))+0.2*INDEX('[1]12月代理实际分时电量'!G:G,MATCH($A12-21,'[1]12月代理实际分时电量'!$C:$C,0))</f>
        <v>1.521045</v>
      </c>
      <c r="H12" s="73" cm="1">
        <f t="array" ref="H12">0.5*INDEX('[1]12月代理实际分时电量'!H:H,MATCH($A12-7,'[1]12月代理实际分时电量'!$C:$C,0))+0.3*INDEX('[1]12月代理实际分时电量'!H:H,MATCH($A12-14,'[1]12月代理实际分时电量'!$C:$C,0))+0.2*INDEX('[1]12月代理实际分时电量'!H:H,MATCH($A12-21,'[1]12月代理实际分时电量'!$C:$C,0))</f>
        <v>1.482342</v>
      </c>
      <c r="I12" s="73" cm="1">
        <f t="array" ref="I12">0.5*INDEX('[1]12月代理实际分时电量'!I:I,MATCH($A12-7,'[1]12月代理实际分时电量'!$C:$C,0))+0.3*INDEX('[1]12月代理实际分时电量'!I:I,MATCH($A12-14,'[1]12月代理实际分时电量'!$C:$C,0))+0.2*INDEX('[1]12月代理实际分时电量'!I:I,MATCH($A12-21,'[1]12月代理实际分时电量'!$C:$C,0))</f>
        <v>1.444725</v>
      </c>
      <c r="J12" s="73" cm="1">
        <f t="array" ref="J12">0.5*INDEX('[1]12月代理实际分时电量'!J:J,MATCH($A12-7,'[1]12月代理实际分时电量'!$C:$C,0))+0.3*INDEX('[1]12月代理实际分时电量'!J:J,MATCH($A12-14,'[1]12月代理实际分时电量'!$C:$C,0))+0.2*INDEX('[1]12月代理实际分时电量'!J:J,MATCH($A12-21,'[1]12月代理实际分时电量'!$C:$C,0))</f>
        <v>1.451675</v>
      </c>
      <c r="K12" s="73" cm="1">
        <f t="array" ref="K12">0.5*INDEX('[1]12月代理实际分时电量'!K:K,MATCH($A12-7,'[1]12月代理实际分时电量'!$C:$C,0))+0.3*INDEX('[1]12月代理实际分时电量'!K:K,MATCH($A12-14,'[1]12月代理实际分时电量'!$C:$C,0))+0.2*INDEX('[1]12月代理实际分时电量'!K:K,MATCH($A12-21,'[1]12月代理实际分时电量'!$C:$C,0))</f>
        <v>1.397227</v>
      </c>
      <c r="L12" s="73" cm="1">
        <f t="array" ref="L12">0.5*INDEX('[1]12月代理实际分时电量'!L:L,MATCH($A12-7,'[1]12月代理实际分时电量'!$C:$C,0))+0.3*INDEX('[1]12月代理实际分时电量'!L:L,MATCH($A12-14,'[1]12月代理实际分时电量'!$C:$C,0))+0.2*INDEX('[1]12月代理实际分时电量'!L:L,MATCH($A12-21,'[1]12月代理实际分时电量'!$C:$C,0))</f>
        <v>1.851085</v>
      </c>
      <c r="M12" s="73" cm="1">
        <f t="array" ref="M12">0.5*INDEX('[1]12月代理实际分时电量'!M:M,MATCH($A12-7,'[1]12月代理实际分时电量'!$C:$C,0))+0.3*INDEX('[1]12月代理实际分时电量'!M:M,MATCH($A12-14,'[1]12月代理实际分时电量'!$C:$C,0))+0.2*INDEX('[1]12月代理实际分时电量'!M:M,MATCH($A12-21,'[1]12月代理实际分时电量'!$C:$C,0))</f>
        <v>3.683251</v>
      </c>
      <c r="N12" s="73" cm="1">
        <f t="array" ref="N12">0.5*INDEX('[1]12月代理实际分时电量'!N:N,MATCH($A12-7,'[1]12月代理实际分时电量'!$C:$C,0))+0.3*INDEX('[1]12月代理实际分时电量'!N:N,MATCH($A12-14,'[1]12月代理实际分时电量'!$C:$C,0))+0.2*INDEX('[1]12月代理实际分时电量'!N:N,MATCH($A12-21,'[1]12月代理实际分时电量'!$C:$C,0))</f>
        <v>3.89884</v>
      </c>
      <c r="O12" s="73" cm="1">
        <f t="array" ref="O12">0.5*INDEX('[1]12月代理实际分时电量'!O:O,MATCH($A12-7,'[1]12月代理实际分时电量'!$C:$C,0))+0.3*INDEX('[1]12月代理实际分时电量'!O:O,MATCH($A12-14,'[1]12月代理实际分时电量'!$C:$C,0))+0.2*INDEX('[1]12月代理实际分时电量'!O:O,MATCH($A12-21,'[1]12月代理实际分时电量'!$C:$C,0))</f>
        <v>3.306564</v>
      </c>
      <c r="P12" s="73" cm="1">
        <f t="array" ref="P12">0.5*INDEX('[1]12月代理实际分时电量'!P:P,MATCH($A12-7,'[1]12月代理实际分时电量'!$C:$C,0))+0.3*INDEX('[1]12月代理实际分时电量'!P:P,MATCH($A12-14,'[1]12月代理实际分时电量'!$C:$C,0))+0.2*INDEX('[1]12月代理实际分时电量'!P:P,MATCH($A12-21,'[1]12月代理实际分时电量'!$C:$C,0))</f>
        <v>3.178406</v>
      </c>
      <c r="Q12" s="73" cm="1">
        <f t="array" ref="Q12">0.5*INDEX('[1]12月代理实际分时电量'!Q:Q,MATCH($A12-7,'[1]12月代理实际分时电量'!$C:$C,0))+0.3*INDEX('[1]12月代理实际分时电量'!Q:Q,MATCH($A12-14,'[1]12月代理实际分时电量'!$C:$C,0))+0.2*INDEX('[1]12月代理实际分时电量'!Q:Q,MATCH($A12-21,'[1]12月代理实际分时电量'!$C:$C,0))</f>
        <v>2.70748</v>
      </c>
      <c r="R12" s="73" cm="1">
        <f t="array" ref="R12">0.5*INDEX('[1]12月代理实际分时电量'!R:R,MATCH($A12-7,'[1]12月代理实际分时电量'!$C:$C,0))+0.3*INDEX('[1]12月代理实际分时电量'!R:R,MATCH($A12-14,'[1]12月代理实际分时电量'!$C:$C,0))+0.2*INDEX('[1]12月代理实际分时电量'!R:R,MATCH($A12-21,'[1]12月代理实际分时电量'!$C:$C,0))</f>
        <v>3.193833</v>
      </c>
      <c r="S12" s="73" cm="1">
        <f t="array" ref="S12">0.5*INDEX('[1]12月代理实际分时电量'!S:S,MATCH($A12-7,'[1]12月代理实际分时电量'!$C:$C,0))+0.3*INDEX('[1]12月代理实际分时电量'!S:S,MATCH($A12-14,'[1]12月代理实际分时电量'!$C:$C,0))+0.2*INDEX('[1]12月代理实际分时电量'!S:S,MATCH($A12-21,'[1]12月代理实际分时电量'!$C:$C,0))</f>
        <v>3.677989</v>
      </c>
      <c r="T12" s="73" cm="1">
        <f t="array" ref="T12">0.5*INDEX('[1]12月代理实际分时电量'!T:T,MATCH($A12-7,'[1]12月代理实际分时电量'!$C:$C,0))+0.3*INDEX('[1]12月代理实际分时电量'!T:T,MATCH($A12-14,'[1]12月代理实际分时电量'!$C:$C,0))+0.2*INDEX('[1]12月代理实际分时电量'!T:T,MATCH($A12-21,'[1]12月代理实际分时电量'!$C:$C,0))</f>
        <v>3.495149</v>
      </c>
      <c r="U12" s="73" cm="1">
        <f t="array" ref="U12">0.5*INDEX('[1]12月代理实际分时电量'!U:U,MATCH($A12-7,'[1]12月代理实际分时电量'!$C:$C,0))+0.3*INDEX('[1]12月代理实际分时电量'!U:U,MATCH($A12-14,'[1]12月代理实际分时电量'!$C:$C,0))+0.2*INDEX('[1]12月代理实际分时电量'!U:U,MATCH($A12-21,'[1]12月代理实际分时电量'!$C:$C,0))</f>
        <v>3.658158</v>
      </c>
      <c r="V12" s="73" cm="1">
        <f t="array" ref="V12">0.5*INDEX('[1]12月代理实际分时电量'!V:V,MATCH($A12-7,'[1]12月代理实际分时电量'!$C:$C,0))+0.3*INDEX('[1]12月代理实际分时电量'!V:V,MATCH($A12-14,'[1]12月代理实际分时电量'!$C:$C,0))+0.2*INDEX('[1]12月代理实际分时电量'!V:V,MATCH($A12-21,'[1]12月代理实际分时电量'!$C:$C,0))</f>
        <v>3.517254</v>
      </c>
      <c r="W12" s="73" cm="1">
        <f t="array" ref="W12">0.5*INDEX('[1]12月代理实际分时电量'!W:W,MATCH($A12-7,'[1]12月代理实际分时电量'!$C:$C,0))+0.3*INDEX('[1]12月代理实际分时电量'!W:W,MATCH($A12-14,'[1]12月代理实际分时电量'!$C:$C,0))+0.2*INDEX('[1]12月代理实际分时电量'!W:W,MATCH($A12-21,'[1]12月代理实际分时电量'!$C:$C,0))</f>
        <v>3.246346</v>
      </c>
      <c r="X12" s="73" cm="1">
        <f t="array" ref="X12">0.5*INDEX('[1]12月代理实际分时电量'!X:X,MATCH($A12-7,'[1]12月代理实际分时电量'!$C:$C,0))+0.3*INDEX('[1]12月代理实际分时电量'!X:X,MATCH($A12-14,'[1]12月代理实际分时电量'!$C:$C,0))+0.2*INDEX('[1]12月代理实际分时电量'!X:X,MATCH($A12-21,'[1]12月代理实际分时电量'!$C:$C,0))</f>
        <v>3.328198</v>
      </c>
      <c r="Y12" s="73" cm="1">
        <f t="array" ref="Y12">0.5*INDEX('[1]12月代理实际分时电量'!Y:Y,MATCH($A12-7,'[1]12月代理实际分时电量'!$C:$C,0))+0.3*INDEX('[1]12月代理实际分时电量'!Y:Y,MATCH($A12-14,'[1]12月代理实际分时电量'!$C:$C,0))+0.2*INDEX('[1]12月代理实际分时电量'!Y:Y,MATCH($A12-21,'[1]12月代理实际分时电量'!$C:$C,0))</f>
        <v>2.889327</v>
      </c>
      <c r="Z12" s="73" cm="1">
        <f t="array" ref="Z12">0.5*INDEX('[1]12月代理实际分时电量'!Z:Z,MATCH($A12-7,'[1]12月代理实际分时电量'!$C:$C,0))+0.3*INDEX('[1]12月代理实际分时电量'!Z:Z,MATCH($A12-14,'[1]12月代理实际分时电量'!$C:$C,0))+0.2*INDEX('[1]12月代理实际分时电量'!Z:Z,MATCH($A12-21,'[1]12月代理实际分时电量'!$C:$C,0))</f>
        <v>2.417158</v>
      </c>
      <c r="AA12" s="73" cm="1">
        <f t="array" ref="AA12">0.5*INDEX('[1]12月代理实际分时电量'!AA:AA,MATCH($A12-7,'[1]12月代理实际分时电量'!$C:$C,0))+0.3*INDEX('[1]12月代理实际分时电量'!AA:AA,MATCH($A12-14,'[1]12月代理实际分时电量'!$C:$C,0))+0.2*INDEX('[1]12月代理实际分时电量'!AA:AA,MATCH($A12-21,'[1]12月代理实际分时电量'!$C:$C,0))</f>
        <v>1.857293</v>
      </c>
      <c r="AB12" s="73" cm="1">
        <f t="array" ref="AB12">0.5*INDEX('[1]12月代理实际分时电量'!AB:AB,MATCH($A12-7,'[1]12月代理实际分时电量'!$C:$C,0))+0.3*INDEX('[1]12月代理实际分时电量'!AB:AB,MATCH($A12-14,'[1]12月代理实际分时电量'!$C:$C,0))+0.2*INDEX('[1]12月代理实际分时电量'!AB:AB,MATCH($A12-21,'[1]12月代理实际分时电量'!$C:$C,0))</f>
        <v>1.58681</v>
      </c>
      <c r="AC12" s="81"/>
    </row>
    <row r="13" spans="1:29">
      <c r="A13" s="4"/>
      <c r="B13" s="68"/>
      <c r="C13" s="2" t="s">
        <v>35</v>
      </c>
      <c r="D13" s="3">
        <f>D14/D12</f>
        <v>0.843744519572978</v>
      </c>
      <c r="E13" s="74">
        <v>1</v>
      </c>
      <c r="F13" s="75">
        <v>0.9</v>
      </c>
      <c r="G13" s="75">
        <v>0.8</v>
      </c>
      <c r="H13" s="75">
        <v>0.8</v>
      </c>
      <c r="I13" s="75">
        <v>0.8</v>
      </c>
      <c r="J13" s="75">
        <v>0.8</v>
      </c>
      <c r="K13" s="75">
        <v>0.8</v>
      </c>
      <c r="L13" s="75">
        <v>0.9</v>
      </c>
      <c r="M13" s="75">
        <v>0.9</v>
      </c>
      <c r="N13" s="75">
        <v>0.9</v>
      </c>
      <c r="O13" s="75">
        <v>0.8</v>
      </c>
      <c r="P13" s="75">
        <v>0.8</v>
      </c>
      <c r="Q13" s="75">
        <v>0.8</v>
      </c>
      <c r="R13" s="75">
        <v>0.8</v>
      </c>
      <c r="S13" s="75">
        <v>0.8</v>
      </c>
      <c r="T13" s="75">
        <v>0.8</v>
      </c>
      <c r="U13" s="75">
        <v>0.8</v>
      </c>
      <c r="V13" s="75">
        <v>0.9</v>
      </c>
      <c r="W13" s="75">
        <v>0.9</v>
      </c>
      <c r="X13" s="75">
        <v>0.9</v>
      </c>
      <c r="Y13" s="75">
        <v>0.9</v>
      </c>
      <c r="Z13" s="75">
        <v>0.8</v>
      </c>
      <c r="AA13" s="75">
        <v>0.8</v>
      </c>
      <c r="AB13" s="75">
        <v>0.8</v>
      </c>
      <c r="AC13" s="81"/>
    </row>
    <row r="14" spans="1:29">
      <c r="A14" s="4"/>
      <c r="B14" s="68"/>
      <c r="C14" s="2" t="s">
        <v>36</v>
      </c>
      <c r="D14" s="3">
        <f>SUM(E14:AB14)</f>
        <v>52.244</v>
      </c>
      <c r="E14" s="13">
        <f t="shared" ref="E14:AB14" si="4">ROUND(E12*E13,3)</f>
        <v>1.538</v>
      </c>
      <c r="F14" s="13">
        <f t="shared" si="4"/>
        <v>1.432</v>
      </c>
      <c r="G14" s="13">
        <f t="shared" si="4"/>
        <v>1.217</v>
      </c>
      <c r="H14" s="13">
        <f t="shared" si="4"/>
        <v>1.186</v>
      </c>
      <c r="I14" s="13">
        <f t="shared" si="4"/>
        <v>1.156</v>
      </c>
      <c r="J14" s="13">
        <f t="shared" si="4"/>
        <v>1.161</v>
      </c>
      <c r="K14" s="13">
        <f t="shared" si="4"/>
        <v>1.118</v>
      </c>
      <c r="L14" s="13">
        <f t="shared" si="4"/>
        <v>1.666</v>
      </c>
      <c r="M14" s="13">
        <f t="shared" si="4"/>
        <v>3.315</v>
      </c>
      <c r="N14" s="13">
        <f t="shared" si="4"/>
        <v>3.509</v>
      </c>
      <c r="O14" s="13">
        <f t="shared" si="4"/>
        <v>2.645</v>
      </c>
      <c r="P14" s="13">
        <f t="shared" si="4"/>
        <v>2.543</v>
      </c>
      <c r="Q14" s="13">
        <f t="shared" si="4"/>
        <v>2.166</v>
      </c>
      <c r="R14" s="13">
        <f t="shared" si="4"/>
        <v>2.555</v>
      </c>
      <c r="S14" s="13">
        <f t="shared" si="4"/>
        <v>2.942</v>
      </c>
      <c r="T14" s="13">
        <f t="shared" si="4"/>
        <v>2.796</v>
      </c>
      <c r="U14" s="13">
        <f t="shared" si="4"/>
        <v>2.927</v>
      </c>
      <c r="V14" s="13">
        <f t="shared" si="4"/>
        <v>3.166</v>
      </c>
      <c r="W14" s="13">
        <f t="shared" si="4"/>
        <v>2.922</v>
      </c>
      <c r="X14" s="13">
        <f t="shared" si="4"/>
        <v>2.995</v>
      </c>
      <c r="Y14" s="13">
        <f t="shared" si="4"/>
        <v>2.6</v>
      </c>
      <c r="Z14" s="13">
        <f t="shared" si="4"/>
        <v>1.934</v>
      </c>
      <c r="AA14" s="13">
        <f t="shared" si="4"/>
        <v>1.486</v>
      </c>
      <c r="AB14" s="13">
        <f t="shared" si="4"/>
        <v>1.269</v>
      </c>
      <c r="AC14" s="81"/>
    </row>
    <row r="15" ht="17" spans="1:29">
      <c r="A15" s="4"/>
      <c r="B15" s="68"/>
      <c r="C15" s="66" t="s">
        <v>37</v>
      </c>
      <c r="D15" s="3">
        <f>SUM(E15:AB15)</f>
        <v>22.4835</v>
      </c>
      <c r="E15" s="13">
        <v>0.4862</v>
      </c>
      <c r="F15" s="13">
        <v>0.5563</v>
      </c>
      <c r="G15" s="13">
        <v>0.5683</v>
      </c>
      <c r="H15" s="13">
        <v>0.5983</v>
      </c>
      <c r="I15" s="13">
        <v>0.5807</v>
      </c>
      <c r="J15" s="13">
        <v>0.6434</v>
      </c>
      <c r="K15" s="13">
        <v>0.6209</v>
      </c>
      <c r="L15" s="13">
        <v>0.8825</v>
      </c>
      <c r="M15" s="13">
        <v>1.3857</v>
      </c>
      <c r="N15" s="13">
        <v>1.3619</v>
      </c>
      <c r="O15" s="13">
        <v>1.374</v>
      </c>
      <c r="P15" s="13">
        <v>1.2689</v>
      </c>
      <c r="Q15" s="13">
        <v>0.7146</v>
      </c>
      <c r="R15" s="13">
        <v>0.8222</v>
      </c>
      <c r="S15" s="13">
        <v>1.325</v>
      </c>
      <c r="T15" s="13">
        <v>1.3777</v>
      </c>
      <c r="U15" s="13">
        <v>1.5088</v>
      </c>
      <c r="V15" s="13">
        <v>1.2497</v>
      </c>
      <c r="W15" s="13">
        <v>0.9268</v>
      </c>
      <c r="X15" s="13">
        <v>1.0345</v>
      </c>
      <c r="Y15" s="13">
        <v>0.9063</v>
      </c>
      <c r="Z15" s="13">
        <v>0.7875</v>
      </c>
      <c r="AA15" s="13">
        <v>0.81</v>
      </c>
      <c r="AB15" s="13">
        <v>0.6933</v>
      </c>
      <c r="AC15" s="81"/>
    </row>
    <row r="16" spans="1:29">
      <c r="A16" s="69"/>
      <c r="B16" s="68"/>
      <c r="C16" s="64" t="s">
        <v>38</v>
      </c>
      <c r="D16" s="70">
        <f>D15/D12</f>
        <v>0.363110211810334</v>
      </c>
      <c r="E16" s="76">
        <f t="shared" ref="E16:AB16" si="5">1-ABS(E12-E15)/E15</f>
        <v>-1.16254010695187</v>
      </c>
      <c r="F16" s="76">
        <f t="shared" si="5"/>
        <v>-0.860749595541974</v>
      </c>
      <c r="G16" s="76">
        <f t="shared" si="5"/>
        <v>-0.676482491641738</v>
      </c>
      <c r="H16" s="76">
        <f t="shared" si="5"/>
        <v>-0.477589837873976</v>
      </c>
      <c r="I16" s="76">
        <f t="shared" si="5"/>
        <v>-0.487902531427588</v>
      </c>
      <c r="J16" s="76">
        <f t="shared" si="5"/>
        <v>-0.256255828411564</v>
      </c>
      <c r="K16" s="76">
        <f t="shared" si="5"/>
        <v>-0.250325334192302</v>
      </c>
      <c r="L16" s="76">
        <f t="shared" si="5"/>
        <v>-0.0975467422096317</v>
      </c>
      <c r="M16" s="76">
        <f t="shared" si="5"/>
        <v>-0.658043588078228</v>
      </c>
      <c r="N16" s="76">
        <f t="shared" si="5"/>
        <v>-0.862794625156032</v>
      </c>
      <c r="O16" s="76">
        <f t="shared" si="5"/>
        <v>-0.406524017467249</v>
      </c>
      <c r="P16" s="76">
        <f t="shared" si="5"/>
        <v>-0.504851446134448</v>
      </c>
      <c r="Q16" s="76">
        <f t="shared" si="5"/>
        <v>-1.78880492583263</v>
      </c>
      <c r="R16" s="76">
        <f t="shared" si="5"/>
        <v>-1.88449647287765</v>
      </c>
      <c r="S16" s="76">
        <f t="shared" si="5"/>
        <v>-0.775840754716981</v>
      </c>
      <c r="T16" s="76">
        <f t="shared" si="5"/>
        <v>-0.536944908180301</v>
      </c>
      <c r="U16" s="76">
        <f t="shared" si="5"/>
        <v>-0.424547985153765</v>
      </c>
      <c r="V16" s="76">
        <f t="shared" si="5"/>
        <v>-0.814478674881971</v>
      </c>
      <c r="W16" s="76">
        <f t="shared" si="5"/>
        <v>-1.50274708675011</v>
      </c>
      <c r="X16" s="76">
        <f t="shared" si="5"/>
        <v>-1.21720444659256</v>
      </c>
      <c r="Y16" s="76">
        <f t="shared" si="5"/>
        <v>-1.18804700430321</v>
      </c>
      <c r="Z16" s="76">
        <f t="shared" si="5"/>
        <v>-1.06940698412698</v>
      </c>
      <c r="AA16" s="76">
        <f t="shared" si="5"/>
        <v>-0.292954320987654</v>
      </c>
      <c r="AB16" s="76">
        <f t="shared" si="5"/>
        <v>-0.288778306649358</v>
      </c>
      <c r="AC16" s="81"/>
    </row>
    <row r="17" spans="1:29">
      <c r="A17" s="4">
        <v>45995</v>
      </c>
      <c r="B17" s="67" t="s">
        <v>41</v>
      </c>
      <c r="C17" s="2" t="s">
        <v>33</v>
      </c>
      <c r="D17" s="3">
        <f>SUM(E17:AB17)</f>
        <v>61.982941</v>
      </c>
      <c r="E17" s="73" cm="1">
        <f t="array" ref="E17">0.5*INDEX('[1]12月代理实际分时电量'!E:E,MATCH($A17-7,'[1]12月代理实际分时电量'!$C:$C,0))+0.3*INDEX('[1]12月代理实际分时电量'!E:E,MATCH($A17-14,'[1]12月代理实际分时电量'!$C:$C,0))+0.2*INDEX('[1]12月代理实际分时电量'!E:E,MATCH($A17-21,'[1]12月代理实际分时电量'!$C:$C,0))</f>
        <v>1.533745</v>
      </c>
      <c r="F17" s="73" cm="1">
        <f t="array" ref="F17">0.5*INDEX('[1]12月代理实际分时电量'!F:F,MATCH($A17-7,'[1]12月代理实际分时电量'!$C:$C,0))+0.3*INDEX('[1]12月代理实际分时电量'!F:F,MATCH($A17-14,'[1]12月代理实际分时电量'!$C:$C,0))+0.2*INDEX('[1]12月代理实际分时电量'!F:F,MATCH($A17-21,'[1]12月代理实际分时电量'!$C:$C,0))</f>
        <v>1.58163</v>
      </c>
      <c r="G17" s="73" cm="1">
        <f t="array" ref="G17">0.5*INDEX('[1]12月代理实际分时电量'!G:G,MATCH($A17-7,'[1]12月代理实际分时电量'!$C:$C,0))+0.3*INDEX('[1]12月代理实际分时电量'!G:G,MATCH($A17-14,'[1]12月代理实际分时电量'!$C:$C,0))+0.2*INDEX('[1]12月代理实际分时电量'!G:G,MATCH($A17-21,'[1]12月代理实际分时电量'!$C:$C,0))</f>
        <v>1.518568</v>
      </c>
      <c r="H17" s="73" cm="1">
        <f t="array" ref="H17">0.5*INDEX('[1]12月代理实际分时电量'!H:H,MATCH($A17-7,'[1]12月代理实际分时电量'!$C:$C,0))+0.3*INDEX('[1]12月代理实际分时电量'!H:H,MATCH($A17-14,'[1]12月代理实际分时电量'!$C:$C,0))+0.2*INDEX('[1]12月代理实际分时电量'!H:H,MATCH($A17-21,'[1]12月代理实际分时电量'!$C:$C,0))</f>
        <v>1.523908</v>
      </c>
      <c r="I17" s="73" cm="1">
        <f t="array" ref="I17">0.5*INDEX('[1]12月代理实际分时电量'!I:I,MATCH($A17-7,'[1]12月代理实际分时电量'!$C:$C,0))+0.3*INDEX('[1]12月代理实际分时电量'!I:I,MATCH($A17-14,'[1]12月代理实际分时电量'!$C:$C,0))+0.2*INDEX('[1]12月代理实际分时电量'!I:I,MATCH($A17-21,'[1]12月代理实际分时电量'!$C:$C,0))</f>
        <v>1.524023</v>
      </c>
      <c r="J17" s="73" cm="1">
        <f t="array" ref="J17">0.5*INDEX('[1]12月代理实际分时电量'!J:J,MATCH($A17-7,'[1]12月代理实际分时电量'!$C:$C,0))+0.3*INDEX('[1]12月代理实际分时电量'!J:J,MATCH($A17-14,'[1]12月代理实际分时电量'!$C:$C,0))+0.2*INDEX('[1]12月代理实际分时电量'!J:J,MATCH($A17-21,'[1]12月代理实际分时电量'!$C:$C,0))</f>
        <v>1.508328</v>
      </c>
      <c r="K17" s="73" cm="1">
        <f t="array" ref="K17">0.5*INDEX('[1]12月代理实际分时电量'!K:K,MATCH($A17-7,'[1]12月代理实际分时电量'!$C:$C,0))+0.3*INDEX('[1]12月代理实际分时电量'!K:K,MATCH($A17-14,'[1]12月代理实际分时电量'!$C:$C,0))+0.2*INDEX('[1]12月代理实际分时电量'!K:K,MATCH($A17-21,'[1]12月代理实际分时电量'!$C:$C,0))</f>
        <v>1.454603</v>
      </c>
      <c r="L17" s="73" cm="1">
        <f t="array" ref="L17">0.5*INDEX('[1]12月代理实际分时电量'!L:L,MATCH($A17-7,'[1]12月代理实际分时电量'!$C:$C,0))+0.3*INDEX('[1]12月代理实际分时电量'!L:L,MATCH($A17-14,'[1]12月代理实际分时电量'!$C:$C,0))+0.2*INDEX('[1]12月代理实际分时电量'!L:L,MATCH($A17-21,'[1]12月代理实际分时电量'!$C:$C,0))</f>
        <v>1.847278</v>
      </c>
      <c r="M17" s="73" cm="1">
        <f t="array" ref="M17">0.5*INDEX('[1]12月代理实际分时电量'!M:M,MATCH($A17-7,'[1]12月代理实际分时电量'!$C:$C,0))+0.3*INDEX('[1]12月代理实际分时电量'!M:M,MATCH($A17-14,'[1]12月代理实际分时电量'!$C:$C,0))+0.2*INDEX('[1]12月代理实际分时电量'!M:M,MATCH($A17-21,'[1]12月代理实际分时电量'!$C:$C,0))</f>
        <v>3.695627</v>
      </c>
      <c r="N17" s="73" cm="1">
        <f t="array" ref="N17">0.5*INDEX('[1]12月代理实际分时电量'!N:N,MATCH($A17-7,'[1]12月代理实际分时电量'!$C:$C,0))+0.3*INDEX('[1]12月代理实际分时电量'!N:N,MATCH($A17-14,'[1]12月代理实际分时电量'!$C:$C,0))+0.2*INDEX('[1]12月代理实际分时电量'!N:N,MATCH($A17-21,'[1]12月代理实际分时电量'!$C:$C,0))</f>
        <v>3.933855</v>
      </c>
      <c r="O17" s="73" cm="1">
        <f t="array" ref="O17">0.5*INDEX('[1]12月代理实际分时电量'!O:O,MATCH($A17-7,'[1]12月代理实际分时电量'!$C:$C,0))+0.3*INDEX('[1]12月代理实际分时电量'!O:O,MATCH($A17-14,'[1]12月代理实际分时电量'!$C:$C,0))+0.2*INDEX('[1]12月代理实际分时电量'!O:O,MATCH($A17-21,'[1]12月代理实际分时电量'!$C:$C,0))</f>
        <v>3.394458</v>
      </c>
      <c r="P17" s="73" cm="1">
        <f t="array" ref="P17">0.5*INDEX('[1]12月代理实际分时电量'!P:P,MATCH($A17-7,'[1]12月代理实际分时电量'!$C:$C,0))+0.3*INDEX('[1]12月代理实际分时电量'!P:P,MATCH($A17-14,'[1]12月代理实际分时电量'!$C:$C,0))+0.2*INDEX('[1]12月代理实际分时电量'!P:P,MATCH($A17-21,'[1]12月代理实际分时电量'!$C:$C,0))</f>
        <v>3.23064</v>
      </c>
      <c r="Q17" s="73" cm="1">
        <f t="array" ref="Q17">0.5*INDEX('[1]12月代理实际分时电量'!Q:Q,MATCH($A17-7,'[1]12月代理实际分时电量'!$C:$C,0))+0.3*INDEX('[1]12月代理实际分时电量'!Q:Q,MATCH($A17-14,'[1]12月代理实际分时电量'!$C:$C,0))+0.2*INDEX('[1]12月代理实际分时电量'!Q:Q,MATCH($A17-21,'[1]12月代理实际分时电量'!$C:$C,0))</f>
        <v>2.715764</v>
      </c>
      <c r="R17" s="73" cm="1">
        <f t="array" ref="R17">0.5*INDEX('[1]12月代理实际分时电量'!R:R,MATCH($A17-7,'[1]12月代理实际分时电量'!$C:$C,0))+0.3*INDEX('[1]12月代理实际分时电量'!R:R,MATCH($A17-14,'[1]12月代理实际分时电量'!$C:$C,0))+0.2*INDEX('[1]12月代理实际分时电量'!R:R,MATCH($A17-21,'[1]12月代理实际分时电量'!$C:$C,0))</f>
        <v>3.152887</v>
      </c>
      <c r="S17" s="73" cm="1">
        <f t="array" ref="S17">0.5*INDEX('[1]12月代理实际分时电量'!S:S,MATCH($A17-7,'[1]12月代理实际分时电量'!$C:$C,0))+0.3*INDEX('[1]12月代理实际分时电量'!S:S,MATCH($A17-14,'[1]12月代理实际分时电量'!$C:$C,0))+0.2*INDEX('[1]12月代理实际分时电量'!S:S,MATCH($A17-21,'[1]12月代理实际分时电量'!$C:$C,0))</f>
        <v>3.749326</v>
      </c>
      <c r="T17" s="73" cm="1">
        <f t="array" ref="T17">0.5*INDEX('[1]12月代理实际分时电量'!T:T,MATCH($A17-7,'[1]12月代理实际分时电量'!$C:$C,0))+0.3*INDEX('[1]12月代理实际分时电量'!T:T,MATCH($A17-14,'[1]12月代理实际分时电量'!$C:$C,0))+0.2*INDEX('[1]12月代理实际分时电量'!T:T,MATCH($A17-21,'[1]12月代理实际分时电量'!$C:$C,0))</f>
        <v>3.600339</v>
      </c>
      <c r="U17" s="73" cm="1">
        <f t="array" ref="U17">0.5*INDEX('[1]12月代理实际分时电量'!U:U,MATCH($A17-7,'[1]12月代理实际分时电量'!$C:$C,0))+0.3*INDEX('[1]12月代理实际分时电量'!U:U,MATCH($A17-14,'[1]12月代理实际分时电量'!$C:$C,0))+0.2*INDEX('[1]12月代理实际分时电量'!U:U,MATCH($A17-21,'[1]12月代理实际分时电量'!$C:$C,0))</f>
        <v>3.673205</v>
      </c>
      <c r="V17" s="73" cm="1">
        <f t="array" ref="V17">0.5*INDEX('[1]12月代理实际分时电量'!V:V,MATCH($A17-7,'[1]12月代理实际分时电量'!$C:$C,0))+0.3*INDEX('[1]12月代理实际分时电量'!V:V,MATCH($A17-14,'[1]12月代理实际分时电量'!$C:$C,0))+0.2*INDEX('[1]12月代理实际分时电量'!V:V,MATCH($A17-21,'[1]12月代理实际分时电量'!$C:$C,0))</f>
        <v>3.509917</v>
      </c>
      <c r="W17" s="73" cm="1">
        <f t="array" ref="W17">0.5*INDEX('[1]12月代理实际分时电量'!W:W,MATCH($A17-7,'[1]12月代理实际分时电量'!$C:$C,0))+0.3*INDEX('[1]12月代理实际分时电量'!W:W,MATCH($A17-14,'[1]12月代理实际分时电量'!$C:$C,0))+0.2*INDEX('[1]12月代理实际分时电量'!W:W,MATCH($A17-21,'[1]12月代理实际分时电量'!$C:$C,0))</f>
        <v>3.177308</v>
      </c>
      <c r="X17" s="73" cm="1">
        <f t="array" ref="X17">0.5*INDEX('[1]12月代理实际分时电量'!X:X,MATCH($A17-7,'[1]12月代理实际分时电量'!$C:$C,0))+0.3*INDEX('[1]12月代理实际分时电量'!X:X,MATCH($A17-14,'[1]12月代理实际分时电量'!$C:$C,0))+0.2*INDEX('[1]12月代理实际分时电量'!X:X,MATCH($A17-21,'[1]12月代理实际分时电量'!$C:$C,0))</f>
        <v>3.216763</v>
      </c>
      <c r="Y17" s="73" cm="1">
        <f t="array" ref="Y17">0.5*INDEX('[1]12月代理实际分时电量'!Y:Y,MATCH($A17-7,'[1]12月代理实际分时电量'!$C:$C,0))+0.3*INDEX('[1]12月代理实际分时电量'!Y:Y,MATCH($A17-14,'[1]12月代理实际分时电量'!$C:$C,0))+0.2*INDEX('[1]12月代理实际分时电量'!Y:Y,MATCH($A17-21,'[1]12月代理实际分时电量'!$C:$C,0))</f>
        <v>2.718158</v>
      </c>
      <c r="Z17" s="73" cm="1">
        <f t="array" ref="Z17">0.5*INDEX('[1]12月代理实际分时电量'!Z:Z,MATCH($A17-7,'[1]12月代理实际分时电量'!$C:$C,0))+0.3*INDEX('[1]12月代理实际分时电量'!Z:Z,MATCH($A17-14,'[1]12月代理实际分时电量'!$C:$C,0))+0.2*INDEX('[1]12月代理实际分时电量'!Z:Z,MATCH($A17-21,'[1]12月代理实际分时电量'!$C:$C,0))</f>
        <v>2.201198</v>
      </c>
      <c r="AA17" s="73" cm="1">
        <f t="array" ref="AA17">0.5*INDEX('[1]12月代理实际分时电量'!AA:AA,MATCH($A17-7,'[1]12月代理实际分时电量'!$C:$C,0))+0.3*INDEX('[1]12月代理实际分时电量'!AA:AA,MATCH($A17-14,'[1]12月代理实际分时电量'!$C:$C,0))+0.2*INDEX('[1]12月代理实际分时电量'!AA:AA,MATCH($A17-21,'[1]12月代理实际分时电量'!$C:$C,0))</f>
        <v>1.852295</v>
      </c>
      <c r="AB17" s="73" cm="1">
        <f t="array" ref="AB17">0.5*INDEX('[1]12月代理实际分时电量'!AB:AB,MATCH($A17-7,'[1]12月代理实际分时电量'!$C:$C,0))+0.3*INDEX('[1]12月代理实际分时电量'!AB:AB,MATCH($A17-14,'[1]12月代理实际分时电量'!$C:$C,0))+0.2*INDEX('[1]12月代理实际分时电量'!AB:AB,MATCH($A17-21,'[1]12月代理实际分时电量'!$C:$C,0))</f>
        <v>1.669118</v>
      </c>
      <c r="AC17" s="81"/>
    </row>
    <row r="18" spans="1:29">
      <c r="A18" s="4"/>
      <c r="B18" s="68"/>
      <c r="C18" s="2" t="s">
        <v>35</v>
      </c>
      <c r="D18" s="3">
        <f>D19/D17</f>
        <v>0.895278589636461</v>
      </c>
      <c r="E18" s="74">
        <v>1</v>
      </c>
      <c r="F18" s="75">
        <v>0.9</v>
      </c>
      <c r="G18" s="75">
        <v>0.8</v>
      </c>
      <c r="H18" s="75">
        <v>0.8</v>
      </c>
      <c r="I18" s="75">
        <v>0.8</v>
      </c>
      <c r="J18" s="75">
        <v>0.8</v>
      </c>
      <c r="K18" s="75">
        <v>0.8</v>
      </c>
      <c r="L18" s="75">
        <v>0.9</v>
      </c>
      <c r="M18" s="75">
        <v>0.9</v>
      </c>
      <c r="N18" s="75">
        <v>0.9</v>
      </c>
      <c r="O18" s="75">
        <v>0.9</v>
      </c>
      <c r="P18" s="75">
        <v>0.9</v>
      </c>
      <c r="Q18" s="75">
        <v>0.9</v>
      </c>
      <c r="R18" s="75">
        <v>0.9</v>
      </c>
      <c r="S18" s="75">
        <v>0.9</v>
      </c>
      <c r="T18" s="75">
        <v>0.8</v>
      </c>
      <c r="U18" s="75">
        <v>0.9</v>
      </c>
      <c r="V18" s="75">
        <v>1.1</v>
      </c>
      <c r="W18" s="75">
        <v>1</v>
      </c>
      <c r="X18" s="75">
        <v>0.9</v>
      </c>
      <c r="Y18" s="75">
        <v>0.9</v>
      </c>
      <c r="Z18" s="75">
        <v>0.9</v>
      </c>
      <c r="AA18" s="75">
        <v>0.8</v>
      </c>
      <c r="AB18" s="75">
        <v>0.8</v>
      </c>
      <c r="AC18" s="81"/>
    </row>
    <row r="19" spans="1:29">
      <c r="A19" s="4"/>
      <c r="B19" s="68"/>
      <c r="C19" s="2" t="s">
        <v>36</v>
      </c>
      <c r="D19" s="3">
        <f>SUM(E19:AB19)</f>
        <v>55.492</v>
      </c>
      <c r="E19" s="13">
        <f t="shared" ref="E19:AB19" si="6">ROUND(E17*E18,3)</f>
        <v>1.534</v>
      </c>
      <c r="F19" s="13">
        <f t="shared" si="6"/>
        <v>1.423</v>
      </c>
      <c r="G19" s="13">
        <f t="shared" si="6"/>
        <v>1.215</v>
      </c>
      <c r="H19" s="13">
        <f t="shared" si="6"/>
        <v>1.219</v>
      </c>
      <c r="I19" s="13">
        <f t="shared" si="6"/>
        <v>1.219</v>
      </c>
      <c r="J19" s="13">
        <f t="shared" si="6"/>
        <v>1.207</v>
      </c>
      <c r="K19" s="13">
        <f t="shared" si="6"/>
        <v>1.164</v>
      </c>
      <c r="L19" s="13">
        <f t="shared" si="6"/>
        <v>1.663</v>
      </c>
      <c r="M19" s="13">
        <f t="shared" si="6"/>
        <v>3.326</v>
      </c>
      <c r="N19" s="13">
        <f t="shared" si="6"/>
        <v>3.54</v>
      </c>
      <c r="O19" s="13">
        <f t="shared" si="6"/>
        <v>3.055</v>
      </c>
      <c r="P19" s="13">
        <f t="shared" si="6"/>
        <v>2.908</v>
      </c>
      <c r="Q19" s="13">
        <f t="shared" si="6"/>
        <v>2.444</v>
      </c>
      <c r="R19" s="13">
        <f t="shared" si="6"/>
        <v>2.838</v>
      </c>
      <c r="S19" s="13">
        <f t="shared" si="6"/>
        <v>3.374</v>
      </c>
      <c r="T19" s="13">
        <f t="shared" si="6"/>
        <v>2.88</v>
      </c>
      <c r="U19" s="13">
        <f t="shared" si="6"/>
        <v>3.306</v>
      </c>
      <c r="V19" s="13">
        <f t="shared" si="6"/>
        <v>3.861</v>
      </c>
      <c r="W19" s="13">
        <f t="shared" si="6"/>
        <v>3.177</v>
      </c>
      <c r="X19" s="13">
        <f t="shared" si="6"/>
        <v>2.895</v>
      </c>
      <c r="Y19" s="13">
        <f t="shared" si="6"/>
        <v>2.446</v>
      </c>
      <c r="Z19" s="13">
        <f t="shared" si="6"/>
        <v>1.981</v>
      </c>
      <c r="AA19" s="13">
        <f t="shared" si="6"/>
        <v>1.482</v>
      </c>
      <c r="AB19" s="13">
        <f t="shared" si="6"/>
        <v>1.335</v>
      </c>
      <c r="AC19" s="81"/>
    </row>
    <row r="20" ht="17" spans="1:29">
      <c r="A20" s="4"/>
      <c r="B20" s="68"/>
      <c r="C20" s="66" t="s">
        <v>37</v>
      </c>
      <c r="D20" s="3">
        <f>SUM(E20:AB20)</f>
        <v>67.6184</v>
      </c>
      <c r="E20" s="13">
        <v>1.6721</v>
      </c>
      <c r="F20" s="13">
        <v>1.6827</v>
      </c>
      <c r="G20" s="13">
        <v>1.6365</v>
      </c>
      <c r="H20" s="13">
        <v>1.6578</v>
      </c>
      <c r="I20" s="13">
        <v>1.6379</v>
      </c>
      <c r="J20" s="13">
        <v>1.6435</v>
      </c>
      <c r="K20" s="13">
        <v>1.5995</v>
      </c>
      <c r="L20" s="13">
        <v>2.0526</v>
      </c>
      <c r="M20" s="13">
        <v>4.1684</v>
      </c>
      <c r="N20" s="13">
        <v>4.461</v>
      </c>
      <c r="O20" s="13">
        <v>3.8993</v>
      </c>
      <c r="P20" s="13">
        <v>3.5093</v>
      </c>
      <c r="Q20" s="13">
        <v>2.9045</v>
      </c>
      <c r="R20" s="13">
        <v>3.3602</v>
      </c>
      <c r="S20" s="13">
        <v>3.967</v>
      </c>
      <c r="T20" s="13">
        <v>3.6719</v>
      </c>
      <c r="U20" s="13">
        <v>3.9185</v>
      </c>
      <c r="V20" s="13">
        <v>3.7977</v>
      </c>
      <c r="W20" s="13">
        <v>3.4588</v>
      </c>
      <c r="X20" s="13">
        <v>3.4779</v>
      </c>
      <c r="Y20" s="13">
        <v>3.0514</v>
      </c>
      <c r="Z20" s="13">
        <v>2.5353</v>
      </c>
      <c r="AA20" s="13">
        <v>2.0749</v>
      </c>
      <c r="AB20" s="13">
        <v>1.7797</v>
      </c>
      <c r="AC20" s="81"/>
    </row>
    <row r="21" spans="1:29">
      <c r="A21" s="69"/>
      <c r="B21" s="68"/>
      <c r="C21" s="64" t="s">
        <v>38</v>
      </c>
      <c r="D21" s="70">
        <f>D20/D17</f>
        <v>1.09091951606491</v>
      </c>
      <c r="E21" s="76">
        <f t="shared" ref="E21:AB21" si="7">1-ABS(E17-E20)/E20</f>
        <v>0.917256743017762</v>
      </c>
      <c r="F21" s="76">
        <f t="shared" si="7"/>
        <v>0.939935817436263</v>
      </c>
      <c r="G21" s="76">
        <f t="shared" si="7"/>
        <v>0.927936449740299</v>
      </c>
      <c r="H21" s="76">
        <f t="shared" si="7"/>
        <v>0.919235130896369</v>
      </c>
      <c r="I21" s="76">
        <f t="shared" si="7"/>
        <v>0.930473777397888</v>
      </c>
      <c r="J21" s="76">
        <f t="shared" si="7"/>
        <v>0.917753574688165</v>
      </c>
      <c r="K21" s="76">
        <f t="shared" si="7"/>
        <v>0.909411065958112</v>
      </c>
      <c r="L21" s="76">
        <f t="shared" si="7"/>
        <v>0.899969794407093</v>
      </c>
      <c r="M21" s="76">
        <f t="shared" si="7"/>
        <v>0.886581662028596</v>
      </c>
      <c r="N21" s="76">
        <f t="shared" si="7"/>
        <v>0.881832548755884</v>
      </c>
      <c r="O21" s="76">
        <f t="shared" si="7"/>
        <v>0.870530095145282</v>
      </c>
      <c r="P21" s="76">
        <f t="shared" si="7"/>
        <v>0.920593850625481</v>
      </c>
      <c r="Q21" s="76">
        <f t="shared" si="7"/>
        <v>0.935019452573593</v>
      </c>
      <c r="R21" s="76">
        <f t="shared" si="7"/>
        <v>0.938303374799119</v>
      </c>
      <c r="S21" s="76">
        <f t="shared" si="7"/>
        <v>0.945128812704815</v>
      </c>
      <c r="T21" s="76">
        <f t="shared" si="7"/>
        <v>0.980511179498352</v>
      </c>
      <c r="U21" s="76">
        <f t="shared" si="7"/>
        <v>0.937400791119051</v>
      </c>
      <c r="V21" s="76">
        <f t="shared" si="7"/>
        <v>0.924221765805619</v>
      </c>
      <c r="W21" s="76">
        <f t="shared" si="7"/>
        <v>0.918615704868741</v>
      </c>
      <c r="X21" s="76">
        <f t="shared" si="7"/>
        <v>0.924915322464706</v>
      </c>
      <c r="Y21" s="76">
        <f t="shared" si="7"/>
        <v>0.890790456839483</v>
      </c>
      <c r="Z21" s="76">
        <f t="shared" si="7"/>
        <v>0.868219934524514</v>
      </c>
      <c r="AA21" s="76">
        <f t="shared" si="7"/>
        <v>0.892715311581281</v>
      </c>
      <c r="AB21" s="76">
        <f t="shared" si="7"/>
        <v>0.937864808675619</v>
      </c>
      <c r="AC21" s="81"/>
    </row>
    <row r="22" spans="1:29">
      <c r="A22" s="4">
        <v>45996</v>
      </c>
      <c r="B22" s="67"/>
      <c r="C22" s="2" t="s">
        <v>33</v>
      </c>
      <c r="D22" s="3">
        <f>SUM(E22:AB22)</f>
        <v>60.738753</v>
      </c>
      <c r="E22" s="73" cm="1">
        <f t="array" ref="E22">0.5*INDEX('[1]12月代理实际分时电量'!E:E,MATCH($A22-7,'[1]12月代理实际分时电量'!$C:$C,0))+0.3*INDEX('[1]12月代理实际分时电量'!E:E,MATCH($A22-14,'[1]12月代理实际分时电量'!$C:$C,0))+0.2*INDEX('[1]12月代理实际分时电量'!E:E,MATCH($A22-21,'[1]12月代理实际分时电量'!$C:$C,0))</f>
        <v>1.544763</v>
      </c>
      <c r="F22" s="73" cm="1">
        <f t="array" ref="F22">0.5*INDEX('[1]12月代理实际分时电量'!F:F,MATCH($A22-7,'[1]12月代理实际分时电量'!$C:$C,0))+0.3*INDEX('[1]12月代理实际分时电量'!F:F,MATCH($A22-14,'[1]12月代理实际分时电量'!$C:$C,0))+0.2*INDEX('[1]12月代理实际分时电量'!F:F,MATCH($A22-21,'[1]12月代理实际分时电量'!$C:$C,0))</f>
        <v>1.585528</v>
      </c>
      <c r="G22" s="73" cm="1">
        <f t="array" ref="G22">0.5*INDEX('[1]12月代理实际分时电量'!G:G,MATCH($A22-7,'[1]12月代理实际分时电量'!$C:$C,0))+0.3*INDEX('[1]12月代理实际分时电量'!G:G,MATCH($A22-14,'[1]12月代理实际分时电量'!$C:$C,0))+0.2*INDEX('[1]12月代理实际分时电量'!G:G,MATCH($A22-21,'[1]12月代理实际分时电量'!$C:$C,0))</f>
        <v>1.565338</v>
      </c>
      <c r="H22" s="73" cm="1">
        <f t="array" ref="H22">0.5*INDEX('[1]12月代理实际分时电量'!H:H,MATCH($A22-7,'[1]12月代理实际分时电量'!$C:$C,0))+0.3*INDEX('[1]12月代理实际分时电量'!H:H,MATCH($A22-14,'[1]12月代理实际分时电量'!$C:$C,0))+0.2*INDEX('[1]12月代理实际分时电量'!H:H,MATCH($A22-21,'[1]12月代理实际分时电量'!$C:$C,0))</f>
        <v>1.539915</v>
      </c>
      <c r="I22" s="73" cm="1">
        <f t="array" ref="I22">0.5*INDEX('[1]12月代理实际分时电量'!I:I,MATCH($A22-7,'[1]12月代理实际分时电量'!$C:$C,0))+0.3*INDEX('[1]12月代理实际分时电量'!I:I,MATCH($A22-14,'[1]12月代理实际分时电量'!$C:$C,0))+0.2*INDEX('[1]12月代理实际分时电量'!I:I,MATCH($A22-21,'[1]12月代理实际分时电量'!$C:$C,0))</f>
        <v>1.511368</v>
      </c>
      <c r="J22" s="73" cm="1">
        <f t="array" ref="J22">0.5*INDEX('[1]12月代理实际分时电量'!J:J,MATCH($A22-7,'[1]12月代理实际分时电量'!$C:$C,0))+0.3*INDEX('[1]12月代理实际分时电量'!J:J,MATCH($A22-14,'[1]12月代理实际分时电量'!$C:$C,0))+0.2*INDEX('[1]12月代理实际分时电量'!J:J,MATCH($A22-21,'[1]12月代理实际分时电量'!$C:$C,0))</f>
        <v>1.467958</v>
      </c>
      <c r="K22" s="73" cm="1">
        <f t="array" ref="K22">0.5*INDEX('[1]12月代理实际分时电量'!K:K,MATCH($A22-7,'[1]12月代理实际分时电量'!$C:$C,0))+0.3*INDEX('[1]12月代理实际分时电量'!K:K,MATCH($A22-14,'[1]12月代理实际分时电量'!$C:$C,0))+0.2*INDEX('[1]12月代理实际分时电量'!K:K,MATCH($A22-21,'[1]12月代理实际分时电量'!$C:$C,0))</f>
        <v>1.392483</v>
      </c>
      <c r="L22" s="73" cm="1">
        <f t="array" ref="L22">0.5*INDEX('[1]12月代理实际分时电量'!L:L,MATCH($A22-7,'[1]12月代理实际分时电量'!$C:$C,0))+0.3*INDEX('[1]12月代理实际分时电量'!L:L,MATCH($A22-14,'[1]12月代理实际分时电量'!$C:$C,0))+0.2*INDEX('[1]12月代理实际分时电量'!L:L,MATCH($A22-21,'[1]12月代理实际分时电量'!$C:$C,0))</f>
        <v>1.799638</v>
      </c>
      <c r="M22" s="73" cm="1">
        <f t="array" ref="M22">0.5*INDEX('[1]12月代理实际分时电量'!M:M,MATCH($A22-7,'[1]12月代理实际分时电量'!$C:$C,0))+0.3*INDEX('[1]12月代理实际分时电量'!M:M,MATCH($A22-14,'[1]12月代理实际分时电量'!$C:$C,0))+0.2*INDEX('[1]12月代理实际分时电量'!M:M,MATCH($A22-21,'[1]12月代理实际分时电量'!$C:$C,0))</f>
        <v>3.587894</v>
      </c>
      <c r="N22" s="73" cm="1">
        <f t="array" ref="N22">0.5*INDEX('[1]12月代理实际分时电量'!N:N,MATCH($A22-7,'[1]12月代理实际分时电量'!$C:$C,0))+0.3*INDEX('[1]12月代理实际分时电量'!N:N,MATCH($A22-14,'[1]12月代理实际分时电量'!$C:$C,0))+0.2*INDEX('[1]12月代理实际分时电量'!N:N,MATCH($A22-21,'[1]12月代理实际分时电量'!$C:$C,0))</f>
        <v>3.846441</v>
      </c>
      <c r="O22" s="73" cm="1">
        <f t="array" ref="O22">0.5*INDEX('[1]12月代理实际分时电量'!O:O,MATCH($A22-7,'[1]12月代理实际分时电量'!$C:$C,0))+0.3*INDEX('[1]12月代理实际分时电量'!O:O,MATCH($A22-14,'[1]12月代理实际分时电量'!$C:$C,0))+0.2*INDEX('[1]12月代理实际分时电量'!O:O,MATCH($A22-21,'[1]12月代理实际分时电量'!$C:$C,0))</f>
        <v>3.194</v>
      </c>
      <c r="P22" s="73" cm="1">
        <f t="array" ref="P22">0.5*INDEX('[1]12月代理实际分时电量'!P:P,MATCH($A22-7,'[1]12月代理实际分时电量'!$C:$C,0))+0.3*INDEX('[1]12月代理实际分时电量'!P:P,MATCH($A22-14,'[1]12月代理实际分时电量'!$C:$C,0))+0.2*INDEX('[1]12月代理实际分时电量'!P:P,MATCH($A22-21,'[1]12月代理实际分时电量'!$C:$C,0))</f>
        <v>3.069424</v>
      </c>
      <c r="Q22" s="73" cm="1">
        <f t="array" ref="Q22">0.5*INDEX('[1]12月代理实际分时电量'!Q:Q,MATCH($A22-7,'[1]12月代理实际分时电量'!$C:$C,0))+0.3*INDEX('[1]12月代理实际分时电量'!Q:Q,MATCH($A22-14,'[1]12月代理实际分时电量'!$C:$C,0))+0.2*INDEX('[1]12月代理实际分时电量'!Q:Q,MATCH($A22-21,'[1]12月代理实际分时电量'!$C:$C,0))</f>
        <v>2.597804</v>
      </c>
      <c r="R22" s="73" cm="1">
        <f t="array" ref="R22">0.5*INDEX('[1]12月代理实际分时电量'!R:R,MATCH($A22-7,'[1]12月代理实际分时电量'!$C:$C,0))+0.3*INDEX('[1]12月代理实际分时电量'!R:R,MATCH($A22-14,'[1]12月代理实际分时电量'!$C:$C,0))+0.2*INDEX('[1]12月代理实际分时电量'!R:R,MATCH($A22-21,'[1]12月代理实际分时电量'!$C:$C,0))</f>
        <v>3.022917</v>
      </c>
      <c r="S22" s="73" cm="1">
        <f t="array" ref="S22">0.5*INDEX('[1]12月代理实际分时电量'!S:S,MATCH($A22-7,'[1]12月代理实际分时电量'!$C:$C,0))+0.3*INDEX('[1]12月代理实际分时电量'!S:S,MATCH($A22-14,'[1]12月代理实际分时电量'!$C:$C,0))+0.2*INDEX('[1]12月代理实际分时电量'!S:S,MATCH($A22-21,'[1]12月代理实际分时电量'!$C:$C,0))</f>
        <v>3.57443</v>
      </c>
      <c r="T22" s="73" cm="1">
        <f t="array" ref="T22">0.5*INDEX('[1]12月代理实际分时电量'!T:T,MATCH($A22-7,'[1]12月代理实际分时电量'!$C:$C,0))+0.3*INDEX('[1]12月代理实际分时电量'!T:T,MATCH($A22-14,'[1]12月代理实际分时电量'!$C:$C,0))+0.2*INDEX('[1]12月代理实际分时电量'!T:T,MATCH($A22-21,'[1]12月代理实际分时电量'!$C:$C,0))</f>
        <v>3.475605</v>
      </c>
      <c r="U22" s="73" cm="1">
        <f t="array" ref="U22">0.5*INDEX('[1]12月代理实际分时电量'!U:U,MATCH($A22-7,'[1]12月代理实际分时电量'!$C:$C,0))+0.3*INDEX('[1]12月代理实际分时电量'!U:U,MATCH($A22-14,'[1]12月代理实际分时电量'!$C:$C,0))+0.2*INDEX('[1]12月代理实际分时电量'!U:U,MATCH($A22-21,'[1]12月代理实际分时电量'!$C:$C,0))</f>
        <v>3.630273</v>
      </c>
      <c r="V22" s="73" cm="1">
        <f t="array" ref="V22">0.5*INDEX('[1]12月代理实际分时电量'!V:V,MATCH($A22-7,'[1]12月代理实际分时电量'!$C:$C,0))+0.3*INDEX('[1]12月代理实际分时电量'!V:V,MATCH($A22-14,'[1]12月代理实际分时电量'!$C:$C,0))+0.2*INDEX('[1]12月代理实际分时电量'!V:V,MATCH($A22-21,'[1]12月代理实际分时电量'!$C:$C,0))</f>
        <v>3.456371</v>
      </c>
      <c r="W22" s="73" cm="1">
        <f t="array" ref="W22">0.5*INDEX('[1]12月代理实际分时电量'!W:W,MATCH($A22-7,'[1]12月代理实际分时电量'!$C:$C,0))+0.3*INDEX('[1]12月代理实际分时电量'!W:W,MATCH($A22-14,'[1]12月代理实际分时电量'!$C:$C,0))+0.2*INDEX('[1]12月代理实际分时电量'!W:W,MATCH($A22-21,'[1]12月代理实际分时电量'!$C:$C,0))</f>
        <v>3.138068</v>
      </c>
      <c r="X22" s="73" cm="1">
        <f t="array" ref="X22">0.5*INDEX('[1]12月代理实际分时电量'!X:X,MATCH($A22-7,'[1]12月代理实际分时电量'!$C:$C,0))+0.3*INDEX('[1]12月代理实际分时电量'!X:X,MATCH($A22-14,'[1]12月代理实际分时电量'!$C:$C,0))+0.2*INDEX('[1]12月代理实际分时电量'!X:X,MATCH($A22-21,'[1]12月代理实际分时电量'!$C:$C,0))</f>
        <v>3.28332</v>
      </c>
      <c r="Y22" s="73" cm="1">
        <f t="array" ref="Y22">0.5*INDEX('[1]12月代理实际分时电量'!Y:Y,MATCH($A22-7,'[1]12月代理实际分时电量'!$C:$C,0))+0.3*INDEX('[1]12月代理实际分时电量'!Y:Y,MATCH($A22-14,'[1]12月代理实际分时电量'!$C:$C,0))+0.2*INDEX('[1]12月代理实际分时电量'!Y:Y,MATCH($A22-21,'[1]12月代理实际分时电量'!$C:$C,0))</f>
        <v>2.72947</v>
      </c>
      <c r="Z22" s="73" cm="1">
        <f t="array" ref="Z22">0.5*INDEX('[1]12月代理实际分时电量'!Z:Z,MATCH($A22-7,'[1]12月代理实际分时电量'!$C:$C,0))+0.3*INDEX('[1]12月代理实际分时电量'!Z:Z,MATCH($A22-14,'[1]12月代理实际分时电量'!$C:$C,0))+0.2*INDEX('[1]12月代理实际分时电量'!Z:Z,MATCH($A22-21,'[1]12月代理实际分时电量'!$C:$C,0))</f>
        <v>2.221975</v>
      </c>
      <c r="AA22" s="73" cm="1">
        <f t="array" ref="AA22">0.5*INDEX('[1]12月代理实际分时电量'!AA:AA,MATCH($A22-7,'[1]12月代理实际分时电量'!$C:$C,0))+0.3*INDEX('[1]12月代理实际分时电量'!AA:AA,MATCH($A22-14,'[1]12月代理实际分时电量'!$C:$C,0))+0.2*INDEX('[1]12月代理实际分时电量'!AA:AA,MATCH($A22-21,'[1]12月代理实际分时电量'!$C:$C,0))</f>
        <v>1.89296</v>
      </c>
      <c r="AB22" s="73" cm="1">
        <f t="array" ref="AB22">0.5*INDEX('[1]12月代理实际分时电量'!AB:AB,MATCH($A22-7,'[1]12月代理实际分时电量'!$C:$C,0))+0.3*INDEX('[1]12月代理实际分时电量'!AB:AB,MATCH($A22-14,'[1]12月代理实际分时电量'!$C:$C,0))+0.2*INDEX('[1]12月代理实际分时电量'!AB:AB,MATCH($A22-21,'[1]12月代理实际分时电量'!$C:$C,0))</f>
        <v>1.61081</v>
      </c>
      <c r="AC22" s="81"/>
    </row>
    <row r="23" spans="1:29">
      <c r="A23" s="4"/>
      <c r="B23" s="68"/>
      <c r="C23" s="2" t="s">
        <v>35</v>
      </c>
      <c r="D23" s="3">
        <f>D24/D22</f>
        <v>0.956884972597314</v>
      </c>
      <c r="E23" s="74">
        <v>1</v>
      </c>
      <c r="F23" s="75">
        <v>0.9</v>
      </c>
      <c r="G23" s="75">
        <v>0.8</v>
      </c>
      <c r="H23" s="75">
        <v>0.8</v>
      </c>
      <c r="I23" s="75">
        <v>0.8</v>
      </c>
      <c r="J23" s="75">
        <v>0.8</v>
      </c>
      <c r="K23" s="75">
        <v>0.8</v>
      </c>
      <c r="L23" s="75">
        <v>0.9</v>
      </c>
      <c r="M23" s="75">
        <v>0.9</v>
      </c>
      <c r="N23" s="75">
        <v>0.9</v>
      </c>
      <c r="O23" s="75">
        <v>0.9</v>
      </c>
      <c r="P23" s="75">
        <v>0.9</v>
      </c>
      <c r="Q23" s="75">
        <v>0.9</v>
      </c>
      <c r="R23" s="75">
        <v>0.9</v>
      </c>
      <c r="S23" s="75">
        <v>0.9</v>
      </c>
      <c r="T23" s="75">
        <v>1</v>
      </c>
      <c r="U23" s="75">
        <v>1</v>
      </c>
      <c r="V23" s="75">
        <v>1.1</v>
      </c>
      <c r="W23" s="75">
        <v>1.1</v>
      </c>
      <c r="X23" s="75">
        <v>1</v>
      </c>
      <c r="Y23" s="75">
        <v>1.1</v>
      </c>
      <c r="Z23" s="75">
        <v>1.1</v>
      </c>
      <c r="AA23" s="75">
        <v>1.1</v>
      </c>
      <c r="AB23" s="75">
        <v>1.1</v>
      </c>
      <c r="AC23" s="81"/>
    </row>
    <row r="24" spans="1:29">
      <c r="A24" s="4"/>
      <c r="B24" s="68"/>
      <c r="C24" s="2" t="s">
        <v>36</v>
      </c>
      <c r="D24" s="3">
        <f>SUM(E24:AB24)</f>
        <v>58.12</v>
      </c>
      <c r="E24" s="13">
        <f t="shared" ref="E24:AB24" si="8">ROUND(E22*E23,3)</f>
        <v>1.545</v>
      </c>
      <c r="F24" s="13">
        <f t="shared" si="8"/>
        <v>1.427</v>
      </c>
      <c r="G24" s="13">
        <f t="shared" si="8"/>
        <v>1.252</v>
      </c>
      <c r="H24" s="13">
        <f t="shared" si="8"/>
        <v>1.232</v>
      </c>
      <c r="I24" s="13">
        <f t="shared" si="8"/>
        <v>1.209</v>
      </c>
      <c r="J24" s="13">
        <f t="shared" si="8"/>
        <v>1.174</v>
      </c>
      <c r="K24" s="13">
        <f t="shared" si="8"/>
        <v>1.114</v>
      </c>
      <c r="L24" s="13">
        <f t="shared" si="8"/>
        <v>1.62</v>
      </c>
      <c r="M24" s="13">
        <f t="shared" si="8"/>
        <v>3.229</v>
      </c>
      <c r="N24" s="13">
        <f t="shared" si="8"/>
        <v>3.462</v>
      </c>
      <c r="O24" s="13">
        <f t="shared" si="8"/>
        <v>2.875</v>
      </c>
      <c r="P24" s="13">
        <f t="shared" si="8"/>
        <v>2.762</v>
      </c>
      <c r="Q24" s="13">
        <f t="shared" si="8"/>
        <v>2.338</v>
      </c>
      <c r="R24" s="13">
        <f t="shared" si="8"/>
        <v>2.721</v>
      </c>
      <c r="S24" s="13">
        <f t="shared" si="8"/>
        <v>3.217</v>
      </c>
      <c r="T24" s="13">
        <f t="shared" si="8"/>
        <v>3.476</v>
      </c>
      <c r="U24" s="13">
        <f t="shared" si="8"/>
        <v>3.63</v>
      </c>
      <c r="V24" s="13">
        <f t="shared" si="8"/>
        <v>3.802</v>
      </c>
      <c r="W24" s="13">
        <f t="shared" si="8"/>
        <v>3.452</v>
      </c>
      <c r="X24" s="13">
        <f t="shared" si="8"/>
        <v>3.283</v>
      </c>
      <c r="Y24" s="13">
        <f t="shared" si="8"/>
        <v>3.002</v>
      </c>
      <c r="Z24" s="13">
        <f t="shared" si="8"/>
        <v>2.444</v>
      </c>
      <c r="AA24" s="13">
        <f t="shared" si="8"/>
        <v>2.082</v>
      </c>
      <c r="AB24" s="13">
        <f t="shared" si="8"/>
        <v>1.772</v>
      </c>
      <c r="AC24" s="81"/>
    </row>
    <row r="25" ht="17" spans="1:29">
      <c r="A25" s="4"/>
      <c r="B25" s="68"/>
      <c r="C25" s="66" t="s">
        <v>37</v>
      </c>
      <c r="D25" s="3">
        <f>SUM(E25:AB25)</f>
        <v>40.2551</v>
      </c>
      <c r="E25" s="13">
        <v>0.8671</v>
      </c>
      <c r="F25" s="13">
        <v>0.8082</v>
      </c>
      <c r="G25" s="13">
        <v>0.8039</v>
      </c>
      <c r="H25" s="13">
        <v>0.7957</v>
      </c>
      <c r="I25" s="13">
        <v>0.7997</v>
      </c>
      <c r="J25" s="13">
        <v>0.7751</v>
      </c>
      <c r="K25" s="13">
        <v>0.8158</v>
      </c>
      <c r="L25" s="13">
        <v>1.2639</v>
      </c>
      <c r="M25" s="13">
        <v>2.5169</v>
      </c>
      <c r="N25" s="13">
        <v>2.5989</v>
      </c>
      <c r="O25" s="13">
        <v>2.5363</v>
      </c>
      <c r="P25" s="13">
        <v>2.401</v>
      </c>
      <c r="Q25" s="13">
        <v>1.3629</v>
      </c>
      <c r="R25" s="13">
        <v>1.6605</v>
      </c>
      <c r="S25" s="13">
        <v>2.4638</v>
      </c>
      <c r="T25" s="13">
        <v>2.6822</v>
      </c>
      <c r="U25" s="13">
        <v>2.6321</v>
      </c>
      <c r="V25" s="13">
        <v>2.5098</v>
      </c>
      <c r="W25" s="13">
        <v>2.055</v>
      </c>
      <c r="X25" s="13">
        <v>2.1197</v>
      </c>
      <c r="Y25" s="13">
        <v>1.9892</v>
      </c>
      <c r="Z25" s="13">
        <v>1.5865</v>
      </c>
      <c r="AA25" s="13">
        <v>1.1728</v>
      </c>
      <c r="AB25" s="13">
        <v>1.0381</v>
      </c>
      <c r="AC25" s="81"/>
    </row>
    <row r="26" spans="1:29">
      <c r="A26" s="69"/>
      <c r="B26" s="68"/>
      <c r="C26" s="64" t="s">
        <v>38</v>
      </c>
      <c r="D26" s="70">
        <f>D25/D22</f>
        <v>0.662758091197559</v>
      </c>
      <c r="E26" s="76">
        <f t="shared" ref="E26:AB26" si="9">1-ABS(E22-E25)/E25</f>
        <v>0.21847191788721</v>
      </c>
      <c r="F26" s="76">
        <f t="shared" si="9"/>
        <v>0.0381984657263054</v>
      </c>
      <c r="G26" s="76">
        <f t="shared" si="9"/>
        <v>0.0528200024878713</v>
      </c>
      <c r="H26" s="76">
        <f t="shared" si="9"/>
        <v>0.0647040341837373</v>
      </c>
      <c r="I26" s="76">
        <f t="shared" si="9"/>
        <v>0.11008128048018</v>
      </c>
      <c r="J26" s="76">
        <f t="shared" si="9"/>
        <v>0.106105018707264</v>
      </c>
      <c r="K26" s="76">
        <f t="shared" si="9"/>
        <v>0.293107379259622</v>
      </c>
      <c r="L26" s="76">
        <f t="shared" si="9"/>
        <v>0.576123111005617</v>
      </c>
      <c r="M26" s="76">
        <f t="shared" si="9"/>
        <v>0.574478922484008</v>
      </c>
      <c r="N26" s="76">
        <f t="shared" si="9"/>
        <v>0.519973450305898</v>
      </c>
      <c r="O26" s="76">
        <f t="shared" si="9"/>
        <v>0.740685250167567</v>
      </c>
      <c r="P26" s="76">
        <f t="shared" si="9"/>
        <v>0.721605997501041</v>
      </c>
      <c r="Q26" s="76">
        <f t="shared" si="9"/>
        <v>0.0939144471347861</v>
      </c>
      <c r="R26" s="76">
        <f t="shared" si="9"/>
        <v>0.179514001806685</v>
      </c>
      <c r="S26" s="76">
        <f t="shared" si="9"/>
        <v>0.549220715967205</v>
      </c>
      <c r="T26" s="76">
        <f t="shared" si="9"/>
        <v>0.704196182238461</v>
      </c>
      <c r="U26" s="76">
        <f t="shared" si="9"/>
        <v>0.620769347669161</v>
      </c>
      <c r="V26" s="76">
        <f t="shared" si="9"/>
        <v>0.622850027890669</v>
      </c>
      <c r="W26" s="76">
        <f t="shared" si="9"/>
        <v>0.472959610705596</v>
      </c>
      <c r="X26" s="76">
        <f t="shared" si="9"/>
        <v>0.451044959192339</v>
      </c>
      <c r="Y26" s="76">
        <f t="shared" si="9"/>
        <v>0.627855419264026</v>
      </c>
      <c r="Z26" s="76">
        <f t="shared" si="9"/>
        <v>0.599448471478096</v>
      </c>
      <c r="AA26" s="76">
        <f t="shared" si="9"/>
        <v>0.385948158253752</v>
      </c>
      <c r="AB26" s="76">
        <f t="shared" si="9"/>
        <v>0.448309411424718</v>
      </c>
      <c r="AC26" s="81"/>
    </row>
    <row r="27" spans="1:29">
      <c r="A27" s="4">
        <v>45997</v>
      </c>
      <c r="B27" s="67" t="s">
        <v>42</v>
      </c>
      <c r="C27" s="2" t="s">
        <v>33</v>
      </c>
      <c r="D27" s="3">
        <f>SUM(E27:AB27)</f>
        <v>59.434033</v>
      </c>
      <c r="E27" s="73" cm="1">
        <f t="array" ref="E27">0.5*INDEX('[1]12月代理实际分时电量'!E:E,MATCH($A27-7,'[1]12月代理实际分时电量'!$C:$C,0))+0.3*INDEX('[1]12月代理实际分时电量'!E:E,MATCH($A27-14,'[1]12月代理实际分时电量'!$C:$C,0))+0.2*INDEX('[1]12月代理实际分时电量'!E:E,MATCH($A27-21,'[1]12月代理实际分时电量'!$C:$C,0))</f>
        <v>1.577673</v>
      </c>
      <c r="F27" s="73" cm="1">
        <f t="array" ref="F27">0.5*INDEX('[1]12月代理实际分时电量'!F:F,MATCH($A27-7,'[1]12月代理实际分时电量'!$C:$C,0))+0.3*INDEX('[1]12月代理实际分时电量'!F:F,MATCH($A27-14,'[1]12月代理实际分时电量'!$C:$C,0))+0.2*INDEX('[1]12月代理实际分时电量'!F:F,MATCH($A27-21,'[1]12月代理实际分时电量'!$C:$C,0))</f>
        <v>1.50821</v>
      </c>
      <c r="G27" s="73" cm="1">
        <f t="array" ref="G27">0.5*INDEX('[1]12月代理实际分时电量'!G:G,MATCH($A27-7,'[1]12月代理实际分时电量'!$C:$C,0))+0.3*INDEX('[1]12月代理实际分时电量'!G:G,MATCH($A27-14,'[1]12月代理实际分时电量'!$C:$C,0))+0.2*INDEX('[1]12月代理实际分时电量'!G:G,MATCH($A27-21,'[1]12月代理实际分时电量'!$C:$C,0))</f>
        <v>1.47356</v>
      </c>
      <c r="H27" s="73" cm="1">
        <f t="array" ref="H27">0.5*INDEX('[1]12月代理实际分时电量'!H:H,MATCH($A27-7,'[1]12月代理实际分时电量'!$C:$C,0))+0.3*INDEX('[1]12月代理实际分时电量'!H:H,MATCH($A27-14,'[1]12月代理实际分时电量'!$C:$C,0))+0.2*INDEX('[1]12月代理实际分时电量'!H:H,MATCH($A27-21,'[1]12月代理实际分时电量'!$C:$C,0))</f>
        <v>1.44594</v>
      </c>
      <c r="I27" s="73" cm="1">
        <f t="array" ref="I27">0.5*INDEX('[1]12月代理实际分时电量'!I:I,MATCH($A27-7,'[1]12月代理实际分时电量'!$C:$C,0))+0.3*INDEX('[1]12月代理实际分时电量'!I:I,MATCH($A27-14,'[1]12月代理实际分时电量'!$C:$C,0))+0.2*INDEX('[1]12月代理实际分时电量'!I:I,MATCH($A27-21,'[1]12月代理实际分时电量'!$C:$C,0))</f>
        <v>1.40878</v>
      </c>
      <c r="J27" s="73" cm="1">
        <f t="array" ref="J27">0.5*INDEX('[1]12月代理实际分时电量'!J:J,MATCH($A27-7,'[1]12月代理实际分时电量'!$C:$C,0))+0.3*INDEX('[1]12月代理实际分时电量'!J:J,MATCH($A27-14,'[1]12月代理实际分时电量'!$C:$C,0))+0.2*INDEX('[1]12月代理实际分时电量'!J:J,MATCH($A27-21,'[1]12月代理实际分时电量'!$C:$C,0))</f>
        <v>1.4237</v>
      </c>
      <c r="K27" s="73" cm="1">
        <f t="array" ref="K27">0.5*INDEX('[1]12月代理实际分时电量'!K:K,MATCH($A27-7,'[1]12月代理实际分时电量'!$C:$C,0))+0.3*INDEX('[1]12月代理实际分时电量'!K:K,MATCH($A27-14,'[1]12月代理实际分时电量'!$C:$C,0))+0.2*INDEX('[1]12月代理实际分时电量'!K:K,MATCH($A27-21,'[1]12月代理实际分时电量'!$C:$C,0))</f>
        <v>1.38211</v>
      </c>
      <c r="L27" s="73" cm="1">
        <f t="array" ref="L27">0.5*INDEX('[1]12月代理实际分时电量'!L:L,MATCH($A27-7,'[1]12月代理实际分时电量'!$C:$C,0))+0.3*INDEX('[1]12月代理实际分时电量'!L:L,MATCH($A27-14,'[1]12月代理实际分时电量'!$C:$C,0))+0.2*INDEX('[1]12月代理实际分时电量'!L:L,MATCH($A27-21,'[1]12月代理实际分时电量'!$C:$C,0))</f>
        <v>1.823383</v>
      </c>
      <c r="M27" s="73" cm="1">
        <f t="array" ref="M27">0.5*INDEX('[1]12月代理实际分时电量'!M:M,MATCH($A27-7,'[1]12月代理实际分时电量'!$C:$C,0))+0.3*INDEX('[1]12月代理实际分时电量'!M:M,MATCH($A27-14,'[1]12月代理实际分时电量'!$C:$C,0))+0.2*INDEX('[1]12月代理实际分时电量'!M:M,MATCH($A27-21,'[1]12月代理实际分时电量'!$C:$C,0))</f>
        <v>3.624895</v>
      </c>
      <c r="N27" s="73" cm="1">
        <f t="array" ref="N27">0.5*INDEX('[1]12月代理实际分时电量'!N:N,MATCH($A27-7,'[1]12月代理实际分时电量'!$C:$C,0))+0.3*INDEX('[1]12月代理实际分时电量'!N:N,MATCH($A27-14,'[1]12月代理实际分时电量'!$C:$C,0))+0.2*INDEX('[1]12月代理实际分时电量'!N:N,MATCH($A27-21,'[1]12月代理实际分时电量'!$C:$C,0))</f>
        <v>3.820945</v>
      </c>
      <c r="O27" s="73" cm="1">
        <f t="array" ref="O27">0.5*INDEX('[1]12月代理实际分时电量'!O:O,MATCH($A27-7,'[1]12月代理实际分时电量'!$C:$C,0))+0.3*INDEX('[1]12月代理实际分时电量'!O:O,MATCH($A27-14,'[1]12月代理实际分时电量'!$C:$C,0))+0.2*INDEX('[1]12月代理实际分时电量'!O:O,MATCH($A27-21,'[1]12月代理实际分时电量'!$C:$C,0))</f>
        <v>3.218488</v>
      </c>
      <c r="P27" s="73" cm="1">
        <f t="array" ref="P27">0.5*INDEX('[1]12月代理实际分时电量'!P:P,MATCH($A27-7,'[1]12月代理实际分时电量'!$C:$C,0))+0.3*INDEX('[1]12月代理实际分时电量'!P:P,MATCH($A27-14,'[1]12月代理实际分时电量'!$C:$C,0))+0.2*INDEX('[1]12月代理实际分时电量'!P:P,MATCH($A27-21,'[1]12月代理实际分时电量'!$C:$C,0))</f>
        <v>3.10881</v>
      </c>
      <c r="Q27" s="73" cm="1">
        <f t="array" ref="Q27">0.5*INDEX('[1]12月代理实际分时电量'!Q:Q,MATCH($A27-7,'[1]12月代理实际分时电量'!$C:$C,0))+0.3*INDEX('[1]12月代理实际分时电量'!Q:Q,MATCH($A27-14,'[1]12月代理实际分时电量'!$C:$C,0))+0.2*INDEX('[1]12月代理实际分时电量'!Q:Q,MATCH($A27-21,'[1]12月代理实际分时电量'!$C:$C,0))</f>
        <v>2.664938</v>
      </c>
      <c r="R27" s="73" cm="1">
        <f t="array" ref="R27">0.5*INDEX('[1]12月代理实际分时电量'!R:R,MATCH($A27-7,'[1]12月代理实际分时电量'!$C:$C,0))+0.3*INDEX('[1]12月代理实际分时电量'!R:R,MATCH($A27-14,'[1]12月代理实际分时电量'!$C:$C,0))+0.2*INDEX('[1]12月代理实际分时电量'!R:R,MATCH($A27-21,'[1]12月代理实际分时电量'!$C:$C,0))</f>
        <v>3.1254</v>
      </c>
      <c r="S27" s="73" cm="1">
        <f t="array" ref="S27">0.5*INDEX('[1]12月代理实际分时电量'!S:S,MATCH($A27-7,'[1]12月代理实际分时电量'!$C:$C,0))+0.3*INDEX('[1]12月代理实际分时电量'!S:S,MATCH($A27-14,'[1]12月代理实际分时电量'!$C:$C,0))+0.2*INDEX('[1]12月代理实际分时电量'!S:S,MATCH($A27-21,'[1]12月代理实际分时电量'!$C:$C,0))</f>
        <v>3.624258</v>
      </c>
      <c r="T27" s="73" cm="1">
        <f t="array" ref="T27">0.5*INDEX('[1]12月代理实际分时电量'!T:T,MATCH($A27-7,'[1]12月代理实际分时电量'!$C:$C,0))+0.3*INDEX('[1]12月代理实际分时电量'!T:T,MATCH($A27-14,'[1]12月代理实际分时电量'!$C:$C,0))+0.2*INDEX('[1]12月代理实际分时电量'!T:T,MATCH($A27-21,'[1]12月代理实际分时电量'!$C:$C,0))</f>
        <v>3.458952</v>
      </c>
      <c r="U27" s="73" cm="1">
        <f t="array" ref="U27">0.5*INDEX('[1]12月代理实际分时电量'!U:U,MATCH($A27-7,'[1]12月代理实际分时电量'!$C:$C,0))+0.3*INDEX('[1]12月代理实际分时电量'!U:U,MATCH($A27-14,'[1]12月代理实际分时电量'!$C:$C,0))+0.2*INDEX('[1]12月代理实际分时电量'!U:U,MATCH($A27-21,'[1]12月代理实际分时电量'!$C:$C,0))</f>
        <v>3.603298</v>
      </c>
      <c r="V27" s="73" cm="1">
        <f t="array" ref="V27">0.5*INDEX('[1]12月代理实际分时电量'!V:V,MATCH($A27-7,'[1]12月代理实际分时电量'!$C:$C,0))+0.3*INDEX('[1]12月代理实际分时电量'!V:V,MATCH($A27-14,'[1]12月代理实际分时电量'!$C:$C,0))+0.2*INDEX('[1]12月代理实际分时电量'!V:V,MATCH($A27-21,'[1]12月代理实际分时电量'!$C:$C,0))</f>
        <v>3.450225</v>
      </c>
      <c r="W27" s="73" cm="1">
        <f t="array" ref="W27">0.5*INDEX('[1]12月代理实际分时电量'!W:W,MATCH($A27-7,'[1]12月代理实际分时电量'!$C:$C,0))+0.3*INDEX('[1]12月代理实际分时电量'!W:W,MATCH($A27-14,'[1]12月代理实际分时电量'!$C:$C,0))+0.2*INDEX('[1]12月代理实际分时电量'!W:W,MATCH($A27-21,'[1]12月代理实际分时电量'!$C:$C,0))</f>
        <v>2.915223</v>
      </c>
      <c r="X27" s="73" cm="1">
        <f t="array" ref="X27">0.5*INDEX('[1]12月代理实际分时电量'!X:X,MATCH($A27-7,'[1]12月代理实际分时电量'!$C:$C,0))+0.3*INDEX('[1]12月代理实际分时电量'!X:X,MATCH($A27-14,'[1]12月代理实际分时电量'!$C:$C,0))+0.2*INDEX('[1]12月代理实际分时电量'!X:X,MATCH($A27-21,'[1]12月代理实际分时电量'!$C:$C,0))</f>
        <v>2.89496</v>
      </c>
      <c r="Y27" s="73" cm="1">
        <f t="array" ref="Y27">0.5*INDEX('[1]12月代理实际分时电量'!Y:Y,MATCH($A27-7,'[1]12月代理实际分时电量'!$C:$C,0))+0.3*INDEX('[1]12月代理实际分时电量'!Y:Y,MATCH($A27-14,'[1]12月代理实际分时电量'!$C:$C,0))+0.2*INDEX('[1]12月代理实际分时电量'!Y:Y,MATCH($A27-21,'[1]12月代理实际分时电量'!$C:$C,0))</f>
        <v>2.522368</v>
      </c>
      <c r="Z27" s="73" cm="1">
        <f t="array" ref="Z27">0.5*INDEX('[1]12月代理实际分时电量'!Z:Z,MATCH($A27-7,'[1]12月代理实际分时电量'!$C:$C,0))+0.3*INDEX('[1]12月代理实际分时电量'!Z:Z,MATCH($A27-14,'[1]12月代理实际分时电量'!$C:$C,0))+0.2*INDEX('[1]12月代理实际分时电量'!Z:Z,MATCH($A27-21,'[1]12月代理实际分时电量'!$C:$C,0))</f>
        <v>2.083637</v>
      </c>
      <c r="AA27" s="73" cm="1">
        <f t="array" ref="AA27">0.5*INDEX('[1]12月代理实际分时电量'!AA:AA,MATCH($A27-7,'[1]12月代理实际分时电量'!$C:$C,0))+0.3*INDEX('[1]12月代理实际分时电量'!AA:AA,MATCH($A27-14,'[1]12月代理实际分时电量'!$C:$C,0))+0.2*INDEX('[1]12月代理实际分时电量'!AA:AA,MATCH($A27-21,'[1]12月代理实际分时电量'!$C:$C,0))</f>
        <v>1.763483</v>
      </c>
      <c r="AB27" s="73" cm="1">
        <f t="array" ref="AB27">0.5*INDEX('[1]12月代理实际分时电量'!AB:AB,MATCH($A27-7,'[1]12月代理实际分时电量'!$C:$C,0))+0.3*INDEX('[1]12月代理实际分时电量'!AB:AB,MATCH($A27-14,'[1]12月代理实际分时电量'!$C:$C,0))+0.2*INDEX('[1]12月代理实际分时电量'!AB:AB,MATCH($A27-21,'[1]12月代理实际分时电量'!$C:$C,0))</f>
        <v>1.510797</v>
      </c>
      <c r="AC27" s="81"/>
    </row>
    <row r="28" spans="1:29">
      <c r="A28" s="4"/>
      <c r="B28" s="68"/>
      <c r="C28" s="2" t="s">
        <v>35</v>
      </c>
      <c r="D28" s="3">
        <f>D29/D27</f>
        <v>0.91021923415495</v>
      </c>
      <c r="E28" s="74">
        <v>1.1</v>
      </c>
      <c r="F28" s="75">
        <v>1.1</v>
      </c>
      <c r="G28" s="75">
        <v>1</v>
      </c>
      <c r="H28" s="75">
        <v>1</v>
      </c>
      <c r="I28" s="75">
        <v>0.9</v>
      </c>
      <c r="J28" s="75">
        <v>0.9</v>
      </c>
      <c r="K28" s="75">
        <v>0.9</v>
      </c>
      <c r="L28" s="75">
        <v>1</v>
      </c>
      <c r="M28" s="75">
        <v>0.9</v>
      </c>
      <c r="N28" s="75">
        <v>0.8</v>
      </c>
      <c r="O28" s="75">
        <v>0.8</v>
      </c>
      <c r="P28" s="75">
        <v>0.8</v>
      </c>
      <c r="Q28" s="75">
        <v>0.9</v>
      </c>
      <c r="R28" s="75">
        <v>0.8</v>
      </c>
      <c r="S28" s="75">
        <v>0.8</v>
      </c>
      <c r="T28" s="75">
        <v>0.8</v>
      </c>
      <c r="U28" s="75">
        <v>0.9</v>
      </c>
      <c r="V28" s="75">
        <v>1.1</v>
      </c>
      <c r="W28" s="75">
        <v>0.9</v>
      </c>
      <c r="X28" s="75">
        <v>0.9</v>
      </c>
      <c r="Y28" s="75">
        <v>0.9</v>
      </c>
      <c r="Z28" s="75">
        <v>1</v>
      </c>
      <c r="AA28" s="75">
        <v>1.1</v>
      </c>
      <c r="AB28" s="75">
        <v>1.1</v>
      </c>
      <c r="AC28" s="81"/>
    </row>
    <row r="29" spans="1:29">
      <c r="A29" s="4"/>
      <c r="B29" s="68"/>
      <c r="C29" s="2" t="s">
        <v>36</v>
      </c>
      <c r="D29" s="3">
        <f>SUM(E29:AB29)</f>
        <v>54.098</v>
      </c>
      <c r="E29" s="13">
        <f t="shared" ref="E29:AB29" si="10">ROUND(E27*E28,3)</f>
        <v>1.735</v>
      </c>
      <c r="F29" s="13">
        <f t="shared" si="10"/>
        <v>1.659</v>
      </c>
      <c r="G29" s="13">
        <f t="shared" si="10"/>
        <v>1.474</v>
      </c>
      <c r="H29" s="13">
        <f t="shared" si="10"/>
        <v>1.446</v>
      </c>
      <c r="I29" s="13">
        <f t="shared" si="10"/>
        <v>1.268</v>
      </c>
      <c r="J29" s="13">
        <f t="shared" si="10"/>
        <v>1.281</v>
      </c>
      <c r="K29" s="13">
        <f t="shared" si="10"/>
        <v>1.244</v>
      </c>
      <c r="L29" s="13">
        <f t="shared" si="10"/>
        <v>1.823</v>
      </c>
      <c r="M29" s="13">
        <f t="shared" si="10"/>
        <v>3.262</v>
      </c>
      <c r="N29" s="13">
        <f t="shared" si="10"/>
        <v>3.057</v>
      </c>
      <c r="O29" s="13">
        <f t="shared" si="10"/>
        <v>2.575</v>
      </c>
      <c r="P29" s="13">
        <f t="shared" si="10"/>
        <v>2.487</v>
      </c>
      <c r="Q29" s="13">
        <f t="shared" si="10"/>
        <v>2.398</v>
      </c>
      <c r="R29" s="13">
        <f t="shared" si="10"/>
        <v>2.5</v>
      </c>
      <c r="S29" s="13">
        <f t="shared" si="10"/>
        <v>2.899</v>
      </c>
      <c r="T29" s="13">
        <f t="shared" si="10"/>
        <v>2.767</v>
      </c>
      <c r="U29" s="13">
        <f t="shared" si="10"/>
        <v>3.243</v>
      </c>
      <c r="V29" s="13">
        <f t="shared" si="10"/>
        <v>3.795</v>
      </c>
      <c r="W29" s="13">
        <f t="shared" si="10"/>
        <v>2.624</v>
      </c>
      <c r="X29" s="13">
        <f t="shared" si="10"/>
        <v>2.605</v>
      </c>
      <c r="Y29" s="13">
        <f t="shared" si="10"/>
        <v>2.27</v>
      </c>
      <c r="Z29" s="13">
        <f t="shared" si="10"/>
        <v>2.084</v>
      </c>
      <c r="AA29" s="13">
        <f t="shared" si="10"/>
        <v>1.94</v>
      </c>
      <c r="AB29" s="13">
        <f t="shared" si="10"/>
        <v>1.662</v>
      </c>
      <c r="AC29" s="81"/>
    </row>
    <row r="30" ht="17" spans="1:29">
      <c r="A30" s="4"/>
      <c r="B30" s="68"/>
      <c r="C30" s="66" t="s">
        <v>37</v>
      </c>
      <c r="D30" s="3">
        <f>SUM(E30:AB30)</f>
        <v>64.1786</v>
      </c>
      <c r="E30" s="13">
        <v>1.6009</v>
      </c>
      <c r="F30" s="13">
        <v>1.6434</v>
      </c>
      <c r="G30" s="13">
        <v>1.5929</v>
      </c>
      <c r="H30" s="13">
        <v>1.5742</v>
      </c>
      <c r="I30" s="13">
        <v>1.5469</v>
      </c>
      <c r="J30" s="13">
        <v>1.5796</v>
      </c>
      <c r="K30" s="13">
        <v>1.5791</v>
      </c>
      <c r="L30" s="13">
        <v>1.9618</v>
      </c>
      <c r="M30" s="13">
        <v>3.8489</v>
      </c>
      <c r="N30" s="13">
        <v>4.1829</v>
      </c>
      <c r="O30" s="13">
        <v>3.5776</v>
      </c>
      <c r="P30" s="13">
        <v>3.4861</v>
      </c>
      <c r="Q30" s="13">
        <v>2.844</v>
      </c>
      <c r="R30" s="13">
        <v>3.349</v>
      </c>
      <c r="S30" s="13">
        <v>3.9564</v>
      </c>
      <c r="T30" s="13">
        <v>3.7387</v>
      </c>
      <c r="U30" s="13">
        <v>3.6861</v>
      </c>
      <c r="V30" s="13">
        <v>3.541</v>
      </c>
      <c r="W30" s="13">
        <v>3.1089</v>
      </c>
      <c r="X30" s="13">
        <v>3.1309</v>
      </c>
      <c r="Y30" s="13">
        <v>2.8077</v>
      </c>
      <c r="Z30" s="13">
        <v>2.3265</v>
      </c>
      <c r="AA30" s="13">
        <v>1.907</v>
      </c>
      <c r="AB30" s="13">
        <v>1.6081</v>
      </c>
      <c r="AC30" s="81"/>
    </row>
    <row r="31" spans="1:29">
      <c r="A31" s="69"/>
      <c r="B31" s="68"/>
      <c r="C31" s="64" t="s">
        <v>38</v>
      </c>
      <c r="D31" s="70">
        <f>D30/D27</f>
        <v>1.07982912753035</v>
      </c>
      <c r="E31" s="76">
        <f t="shared" ref="E31:AB31" si="11">1-ABS(E27-E30)/E30</f>
        <v>0.98549128615154</v>
      </c>
      <c r="F31" s="76">
        <f t="shared" si="11"/>
        <v>0.917737617135208</v>
      </c>
      <c r="G31" s="76">
        <f t="shared" si="11"/>
        <v>0.925080042689434</v>
      </c>
      <c r="H31" s="76">
        <f t="shared" si="11"/>
        <v>0.918523694575022</v>
      </c>
      <c r="I31" s="76">
        <f t="shared" si="11"/>
        <v>0.910711746072791</v>
      </c>
      <c r="J31" s="76">
        <f t="shared" si="11"/>
        <v>0.901304127627247</v>
      </c>
      <c r="K31" s="76">
        <f t="shared" si="11"/>
        <v>0.875251725666519</v>
      </c>
      <c r="L31" s="76">
        <f t="shared" si="11"/>
        <v>0.929443878071159</v>
      </c>
      <c r="M31" s="76">
        <f t="shared" si="11"/>
        <v>0.941800254618203</v>
      </c>
      <c r="N31" s="76">
        <f t="shared" si="11"/>
        <v>0.913467928948815</v>
      </c>
      <c r="O31" s="76">
        <f t="shared" si="11"/>
        <v>0.899622093023256</v>
      </c>
      <c r="P31" s="76">
        <f t="shared" si="11"/>
        <v>0.891773041507702</v>
      </c>
      <c r="Q31" s="76">
        <f t="shared" si="11"/>
        <v>0.937038677918425</v>
      </c>
      <c r="R31" s="76">
        <f t="shared" si="11"/>
        <v>0.933233801134667</v>
      </c>
      <c r="S31" s="76">
        <f t="shared" si="11"/>
        <v>0.916049438883834</v>
      </c>
      <c r="T31" s="76">
        <f t="shared" si="11"/>
        <v>0.925175060850028</v>
      </c>
      <c r="U31" s="76">
        <f t="shared" si="11"/>
        <v>0.977536691896584</v>
      </c>
      <c r="V31" s="76">
        <f t="shared" si="11"/>
        <v>0.974364586275064</v>
      </c>
      <c r="W31" s="76">
        <f t="shared" si="11"/>
        <v>0.937702402779118</v>
      </c>
      <c r="X31" s="76">
        <f t="shared" si="11"/>
        <v>0.924641476891629</v>
      </c>
      <c r="Y31" s="76">
        <f t="shared" si="11"/>
        <v>0.898375182533746</v>
      </c>
      <c r="Z31" s="76">
        <f t="shared" si="11"/>
        <v>0.895610143993123</v>
      </c>
      <c r="AA31" s="76">
        <f t="shared" si="11"/>
        <v>0.924742003146303</v>
      </c>
      <c r="AB31" s="76">
        <f t="shared" si="11"/>
        <v>0.93949194701822</v>
      </c>
      <c r="AC31" s="81"/>
    </row>
    <row r="32" spans="1:29">
      <c r="A32" s="4">
        <v>45998</v>
      </c>
      <c r="B32" s="67" t="s">
        <v>43</v>
      </c>
      <c r="C32" s="2" t="s">
        <v>33</v>
      </c>
      <c r="D32" s="3">
        <f>SUM(E32:AB32)</f>
        <v>45.348494</v>
      </c>
      <c r="E32" s="73" cm="1">
        <f t="array" ref="E32">0.5*INDEX('[1]12月代理实际分时电量'!E:E,MATCH($A32-7,'[1]12月代理实际分时电量'!$C:$C,0))+0.3*INDEX('[1]12月代理实际分时电量'!E:E,MATCH($A32-14,'[1]12月代理实际分时电量'!$C:$C,0))+0.2*INDEX('[1]12月代理实际分时电量'!E:E,MATCH($A32-21,'[1]12月代理实际分时电量'!$C:$C,0))</f>
        <v>1.721528</v>
      </c>
      <c r="F32" s="73" cm="1">
        <f t="array" ref="F32">0.5*INDEX('[1]12月代理实际分时电量'!F:F,MATCH($A32-7,'[1]12月代理实际分时电量'!$C:$C,0))+0.3*INDEX('[1]12月代理实际分时电量'!F:F,MATCH($A32-14,'[1]12月代理实际分时电量'!$C:$C,0))+0.2*INDEX('[1]12月代理实际分时电量'!F:F,MATCH($A32-21,'[1]12月代理实际分时电量'!$C:$C,0))</f>
        <v>1.604673</v>
      </c>
      <c r="G32" s="73" cm="1">
        <f t="array" ref="G32">0.5*INDEX('[1]12月代理实际分时电量'!G:G,MATCH($A32-7,'[1]12月代理实际分时电量'!$C:$C,0))+0.3*INDEX('[1]12月代理实际分时电量'!G:G,MATCH($A32-14,'[1]12月代理实际分时电量'!$C:$C,0))+0.2*INDEX('[1]12月代理实际分时电量'!G:G,MATCH($A32-21,'[1]12月代理实际分时电量'!$C:$C,0))</f>
        <v>1.590782</v>
      </c>
      <c r="H32" s="73" cm="1">
        <f t="array" ref="H32">0.5*INDEX('[1]12月代理实际分时电量'!H:H,MATCH($A32-7,'[1]12月代理实际分时电量'!$C:$C,0))+0.3*INDEX('[1]12月代理实际分时电量'!H:H,MATCH($A32-14,'[1]12月代理实际分时电量'!$C:$C,0))+0.2*INDEX('[1]12月代理实际分时电量'!H:H,MATCH($A32-21,'[1]12月代理实际分时电量'!$C:$C,0))</f>
        <v>1.564108</v>
      </c>
      <c r="I32" s="73" cm="1">
        <f t="array" ref="I32">0.5*INDEX('[1]12月代理实际分时电量'!I:I,MATCH($A32-7,'[1]12月代理实际分时电量'!$C:$C,0))+0.3*INDEX('[1]12月代理实际分时电量'!I:I,MATCH($A32-14,'[1]12月代理实际分时电量'!$C:$C,0))+0.2*INDEX('[1]12月代理实际分时电量'!I:I,MATCH($A32-21,'[1]12月代理实际分时电量'!$C:$C,0))</f>
        <v>1.518085</v>
      </c>
      <c r="J32" s="73" cm="1">
        <f t="array" ref="J32">0.5*INDEX('[1]12月代理实际分时电量'!J:J,MATCH($A32-7,'[1]12月代理实际分时电量'!$C:$C,0))+0.3*INDEX('[1]12月代理实际分时电量'!J:J,MATCH($A32-14,'[1]12月代理实际分时电量'!$C:$C,0))+0.2*INDEX('[1]12月代理实际分时电量'!J:J,MATCH($A32-21,'[1]12月代理实际分时电量'!$C:$C,0))</f>
        <v>1.39986</v>
      </c>
      <c r="K32" s="73" cm="1">
        <f t="array" ref="K32">0.5*INDEX('[1]12月代理实际分时电量'!K:K,MATCH($A32-7,'[1]12月代理实际分时电量'!$C:$C,0))+0.3*INDEX('[1]12月代理实际分时电量'!K:K,MATCH($A32-14,'[1]12月代理实际分时电量'!$C:$C,0))+0.2*INDEX('[1]12月代理实际分时电量'!K:K,MATCH($A32-21,'[1]12月代理实际分时电量'!$C:$C,0))</f>
        <v>1.35084</v>
      </c>
      <c r="L32" s="73" cm="1">
        <f t="array" ref="L32">0.5*INDEX('[1]12月代理实际分时电量'!L:L,MATCH($A32-7,'[1]12月代理实际分时电量'!$C:$C,0))+0.3*INDEX('[1]12月代理实际分时电量'!L:L,MATCH($A32-14,'[1]12月代理实际分时电量'!$C:$C,0))+0.2*INDEX('[1]12月代理实际分时电量'!L:L,MATCH($A32-21,'[1]12月代理实际分时电量'!$C:$C,0))</f>
        <v>1.411235</v>
      </c>
      <c r="M32" s="73" cm="1">
        <f t="array" ref="M32">0.5*INDEX('[1]12月代理实际分时电量'!M:M,MATCH($A32-7,'[1]12月代理实际分时电量'!$C:$C,0))+0.3*INDEX('[1]12月代理实际分时电量'!M:M,MATCH($A32-14,'[1]12月代理实际分时电量'!$C:$C,0))+0.2*INDEX('[1]12月代理实际分时电量'!M:M,MATCH($A32-21,'[1]12月代理实际分时电量'!$C:$C,0))</f>
        <v>2.507627</v>
      </c>
      <c r="N32" s="73" cm="1">
        <f t="array" ref="N32">0.5*INDEX('[1]12月代理实际分时电量'!N:N,MATCH($A32-7,'[1]12月代理实际分时电量'!$C:$C,0))+0.3*INDEX('[1]12月代理实际分时电量'!N:N,MATCH($A32-14,'[1]12月代理实际分时电量'!$C:$C,0))+0.2*INDEX('[1]12月代理实际分时电量'!N:N,MATCH($A32-21,'[1]12月代理实际分时电量'!$C:$C,0))</f>
        <v>2.800683</v>
      </c>
      <c r="O32" s="73" cm="1">
        <f t="array" ref="O32">0.5*INDEX('[1]12月代理实际分时电量'!O:O,MATCH($A32-7,'[1]12月代理实际分时电量'!$C:$C,0))+0.3*INDEX('[1]12月代理实际分时电量'!O:O,MATCH($A32-14,'[1]12月代理实际分时电量'!$C:$C,0))+0.2*INDEX('[1]12月代理实际分时电量'!O:O,MATCH($A32-21,'[1]12月代理实际分时电量'!$C:$C,0))</f>
        <v>2.58961</v>
      </c>
      <c r="P32" s="73" cm="1">
        <f t="array" ref="P32">0.5*INDEX('[1]12月代理实际分时电量'!P:P,MATCH($A32-7,'[1]12月代理实际分时电量'!$C:$C,0))+0.3*INDEX('[1]12月代理实际分时电量'!P:P,MATCH($A32-14,'[1]12月代理实际分时电量'!$C:$C,0))+0.2*INDEX('[1]12月代理实际分时电量'!P:P,MATCH($A32-21,'[1]12月代理实际分时电量'!$C:$C,0))</f>
        <v>2.47389</v>
      </c>
      <c r="Q32" s="73" cm="1">
        <f t="array" ref="Q32">0.5*INDEX('[1]12月代理实际分时电量'!Q:Q,MATCH($A32-7,'[1]12月代理实际分时电量'!$C:$C,0))+0.3*INDEX('[1]12月代理实际分时电量'!Q:Q,MATCH($A32-14,'[1]12月代理实际分时电量'!$C:$C,0))+0.2*INDEX('[1]12月代理实际分时电量'!Q:Q,MATCH($A32-21,'[1]12月代理实际分时电量'!$C:$C,0))</f>
        <v>1.930703</v>
      </c>
      <c r="R32" s="73" cm="1">
        <f t="array" ref="R32">0.5*INDEX('[1]12月代理实际分时电量'!R:R,MATCH($A32-7,'[1]12月代理实际分时电量'!$C:$C,0))+0.3*INDEX('[1]12月代理实际分时电量'!R:R,MATCH($A32-14,'[1]12月代理实际分时电量'!$C:$C,0))+0.2*INDEX('[1]12月代理实际分时电量'!R:R,MATCH($A32-21,'[1]12月代理实际分时电量'!$C:$C,0))</f>
        <v>2.063377</v>
      </c>
      <c r="S32" s="73" cm="1">
        <f t="array" ref="S32">0.5*INDEX('[1]12月代理实际分时电量'!S:S,MATCH($A32-7,'[1]12月代理实际分时电量'!$C:$C,0))+0.3*INDEX('[1]12月代理实际分时电量'!S:S,MATCH($A32-14,'[1]12月代理实际分时电量'!$C:$C,0))+0.2*INDEX('[1]12月代理实际分时电量'!S:S,MATCH($A32-21,'[1]12月代理实际分时电量'!$C:$C,0))</f>
        <v>2.665065</v>
      </c>
      <c r="T32" s="73" cm="1">
        <f t="array" ref="T32">0.5*INDEX('[1]12月代理实际分时电量'!T:T,MATCH($A32-7,'[1]12月代理实际分时电量'!$C:$C,0))+0.3*INDEX('[1]12月代理实际分时电量'!T:T,MATCH($A32-14,'[1]12月代理实际分时电量'!$C:$C,0))+0.2*INDEX('[1]12月代理实际分时电量'!T:T,MATCH($A32-21,'[1]12月代理实际分时电量'!$C:$C,0))</f>
        <v>2.63557</v>
      </c>
      <c r="U32" s="73" cm="1">
        <f t="array" ref="U32">0.5*INDEX('[1]12月代理实际分时电量'!U:U,MATCH($A32-7,'[1]12月代理实际分时电量'!$C:$C,0))+0.3*INDEX('[1]12月代理实际分时电量'!U:U,MATCH($A32-14,'[1]12月代理实际分时电量'!$C:$C,0))+0.2*INDEX('[1]12月代理实际分时电量'!U:U,MATCH($A32-21,'[1]12月代理实际分时电量'!$C:$C,0))</f>
        <v>2.70755</v>
      </c>
      <c r="V32" s="73" cm="1">
        <f t="array" ref="V32">0.5*INDEX('[1]12月代理实际分时电量'!V:V,MATCH($A32-7,'[1]12月代理实际分时电量'!$C:$C,0))+0.3*INDEX('[1]12月代理实际分时电量'!V:V,MATCH($A32-14,'[1]12月代理实际分时电量'!$C:$C,0))+0.2*INDEX('[1]12月代理实际分时电量'!V:V,MATCH($A32-21,'[1]12月代理实际分时电量'!$C:$C,0))</f>
        <v>2.45588</v>
      </c>
      <c r="W32" s="73" cm="1">
        <f t="array" ref="W32">0.5*INDEX('[1]12月代理实际分时电量'!W:W,MATCH($A32-7,'[1]12月代理实际分时电量'!$C:$C,0))+0.3*INDEX('[1]12月代理实际分时电量'!W:W,MATCH($A32-14,'[1]12月代理实际分时电量'!$C:$C,0))+0.2*INDEX('[1]12月代理实际分时电量'!W:W,MATCH($A32-21,'[1]12月代理实际分时电量'!$C:$C,0))</f>
        <v>1.691875</v>
      </c>
      <c r="X32" s="73" cm="1">
        <f t="array" ref="X32">0.5*INDEX('[1]12月代理实际分时电量'!X:X,MATCH($A32-7,'[1]12月代理实际分时电量'!$C:$C,0))+0.3*INDEX('[1]12月代理实际分时电量'!X:X,MATCH($A32-14,'[1]12月代理实际分时电量'!$C:$C,0))+0.2*INDEX('[1]12月代理实际分时电量'!X:X,MATCH($A32-21,'[1]12月代理实际分时电量'!$C:$C,0))</f>
        <v>1.559515</v>
      </c>
      <c r="Y32" s="73" cm="1">
        <f t="array" ref="Y32">0.5*INDEX('[1]12月代理实际分时电量'!Y:Y,MATCH($A32-7,'[1]12月代理实际分时电量'!$C:$C,0))+0.3*INDEX('[1]12月代理实际分时电量'!Y:Y,MATCH($A32-14,'[1]12月代理实际分时电量'!$C:$C,0))+0.2*INDEX('[1]12月代理实际分时电量'!Y:Y,MATCH($A32-21,'[1]12月代理实际分时电量'!$C:$C,0))</f>
        <v>1.42071</v>
      </c>
      <c r="Z32" s="73" cm="1">
        <f t="array" ref="Z32">0.5*INDEX('[1]12月代理实际分时电量'!Z:Z,MATCH($A32-7,'[1]12月代理实际分时电量'!$C:$C,0))+0.3*INDEX('[1]12月代理实际分时电量'!Z:Z,MATCH($A32-14,'[1]12月代理实际分时电量'!$C:$C,0))+0.2*INDEX('[1]12月代理实际分时电量'!Z:Z,MATCH($A32-21,'[1]12月代理实际分时电量'!$C:$C,0))</f>
        <v>1.27589</v>
      </c>
      <c r="AA32" s="73" cm="1">
        <f t="array" ref="AA32">0.5*INDEX('[1]12月代理实际分时电量'!AA:AA,MATCH($A32-7,'[1]12月代理实际分时电量'!$C:$C,0))+0.3*INDEX('[1]12月代理实际分时电量'!AA:AA,MATCH($A32-14,'[1]12月代理实际分时电量'!$C:$C,0))+0.2*INDEX('[1]12月代理实际分时电量'!AA:AA,MATCH($A32-21,'[1]12月代理实际分时电量'!$C:$C,0))</f>
        <v>1.256658</v>
      </c>
      <c r="AB32" s="73" cm="1">
        <f t="array" ref="AB32">0.5*INDEX('[1]12月代理实际分时电量'!AB:AB,MATCH($A32-7,'[1]12月代理实际分时电量'!$C:$C,0))+0.3*INDEX('[1]12月代理实际分时电量'!AB:AB,MATCH($A32-14,'[1]12月代理实际分时电量'!$C:$C,0))+0.2*INDEX('[1]12月代理实际分时电量'!AB:AB,MATCH($A32-21,'[1]12月代理实际分时电量'!$C:$C,0))</f>
        <v>1.15278</v>
      </c>
      <c r="AC32" s="81"/>
    </row>
    <row r="33" spans="1:29">
      <c r="A33" s="4"/>
      <c r="B33" s="68"/>
      <c r="C33" s="2" t="s">
        <v>35</v>
      </c>
      <c r="D33" s="3">
        <f>D34/D32</f>
        <v>0.892179572710838</v>
      </c>
      <c r="E33" s="77">
        <v>1</v>
      </c>
      <c r="F33" s="77">
        <v>1</v>
      </c>
      <c r="G33" s="77">
        <v>0.9</v>
      </c>
      <c r="H33" s="77">
        <v>0.9</v>
      </c>
      <c r="I33" s="77">
        <v>0.8</v>
      </c>
      <c r="J33" s="77">
        <v>0.8</v>
      </c>
      <c r="K33" s="77">
        <v>0.8</v>
      </c>
      <c r="L33" s="77">
        <v>0.8</v>
      </c>
      <c r="M33" s="77">
        <v>0.8</v>
      </c>
      <c r="N33" s="75">
        <v>0.8</v>
      </c>
      <c r="O33" s="75">
        <v>0.8</v>
      </c>
      <c r="P33" s="75">
        <v>1</v>
      </c>
      <c r="Q33" s="75">
        <v>1</v>
      </c>
      <c r="R33" s="75">
        <v>1</v>
      </c>
      <c r="S33" s="75">
        <v>0.9</v>
      </c>
      <c r="T33" s="77">
        <v>0.8</v>
      </c>
      <c r="U33" s="75">
        <v>0.9</v>
      </c>
      <c r="V33" s="75">
        <v>0.9</v>
      </c>
      <c r="W33" s="75">
        <v>1</v>
      </c>
      <c r="X33" s="77">
        <v>0.9</v>
      </c>
      <c r="Y33" s="77">
        <v>0.9</v>
      </c>
      <c r="Z33" s="77">
        <v>0.9</v>
      </c>
      <c r="AA33" s="77">
        <v>0.9</v>
      </c>
      <c r="AB33" s="77">
        <v>1</v>
      </c>
      <c r="AC33" s="81"/>
    </row>
    <row r="34" spans="1:29">
      <c r="A34" s="4"/>
      <c r="B34" s="68"/>
      <c r="C34" s="2" t="s">
        <v>36</v>
      </c>
      <c r="D34" s="3">
        <f>SUM(E34:AB34)</f>
        <v>40.459</v>
      </c>
      <c r="E34" s="13">
        <f t="shared" ref="E34:AB34" si="12">ROUND(E32*E33,3)</f>
        <v>1.722</v>
      </c>
      <c r="F34" s="13">
        <f t="shared" si="12"/>
        <v>1.605</v>
      </c>
      <c r="G34" s="13">
        <f t="shared" si="12"/>
        <v>1.432</v>
      </c>
      <c r="H34" s="13">
        <f t="shared" si="12"/>
        <v>1.408</v>
      </c>
      <c r="I34" s="13">
        <f t="shared" si="12"/>
        <v>1.214</v>
      </c>
      <c r="J34" s="13">
        <f t="shared" si="12"/>
        <v>1.12</v>
      </c>
      <c r="K34" s="13">
        <f t="shared" si="12"/>
        <v>1.081</v>
      </c>
      <c r="L34" s="13">
        <f t="shared" si="12"/>
        <v>1.129</v>
      </c>
      <c r="M34" s="13">
        <f t="shared" si="12"/>
        <v>2.006</v>
      </c>
      <c r="N34" s="13">
        <f t="shared" si="12"/>
        <v>2.241</v>
      </c>
      <c r="O34" s="13">
        <f t="shared" si="12"/>
        <v>2.072</v>
      </c>
      <c r="P34" s="13">
        <f t="shared" si="12"/>
        <v>2.474</v>
      </c>
      <c r="Q34" s="13">
        <f t="shared" si="12"/>
        <v>1.931</v>
      </c>
      <c r="R34" s="13">
        <f t="shared" si="12"/>
        <v>2.063</v>
      </c>
      <c r="S34" s="13">
        <f t="shared" si="12"/>
        <v>2.399</v>
      </c>
      <c r="T34" s="13">
        <f t="shared" si="12"/>
        <v>2.108</v>
      </c>
      <c r="U34" s="13">
        <f t="shared" si="12"/>
        <v>2.437</v>
      </c>
      <c r="V34" s="13">
        <f t="shared" si="12"/>
        <v>2.21</v>
      </c>
      <c r="W34" s="13">
        <f t="shared" si="12"/>
        <v>1.692</v>
      </c>
      <c r="X34" s="13">
        <f t="shared" si="12"/>
        <v>1.404</v>
      </c>
      <c r="Y34" s="13">
        <f t="shared" si="12"/>
        <v>1.279</v>
      </c>
      <c r="Z34" s="13">
        <f t="shared" si="12"/>
        <v>1.148</v>
      </c>
      <c r="AA34" s="13">
        <f t="shared" si="12"/>
        <v>1.131</v>
      </c>
      <c r="AB34" s="13">
        <f t="shared" si="12"/>
        <v>1.153</v>
      </c>
      <c r="AC34" s="81"/>
    </row>
    <row r="35" ht="17" spans="1:29">
      <c r="A35" s="4"/>
      <c r="B35" s="68"/>
      <c r="C35" s="66" t="s">
        <v>37</v>
      </c>
      <c r="D35" s="3">
        <f>SUM(E35:AB35)</f>
        <v>44.3809</v>
      </c>
      <c r="E35" s="13">
        <v>1.7321</v>
      </c>
      <c r="F35" s="13">
        <v>1.6177</v>
      </c>
      <c r="G35" s="13">
        <v>1.5739</v>
      </c>
      <c r="H35" s="13">
        <v>1.4314</v>
      </c>
      <c r="I35" s="13">
        <v>1.4519</v>
      </c>
      <c r="J35" s="13">
        <v>1.4465</v>
      </c>
      <c r="K35" s="13">
        <v>1.4011</v>
      </c>
      <c r="L35" s="13">
        <v>1.4195</v>
      </c>
      <c r="M35" s="13">
        <v>2.5322</v>
      </c>
      <c r="N35" s="13">
        <v>2.7341</v>
      </c>
      <c r="O35" s="13">
        <v>2.4575</v>
      </c>
      <c r="P35" s="13">
        <v>2.3773</v>
      </c>
      <c r="Q35" s="13">
        <v>2.2551</v>
      </c>
      <c r="R35" s="13">
        <v>1.9725</v>
      </c>
      <c r="S35" s="13">
        <v>2.4729</v>
      </c>
      <c r="T35" s="13">
        <v>2.4527</v>
      </c>
      <c r="U35" s="13">
        <v>2.4651</v>
      </c>
      <c r="V35" s="13">
        <v>2.2881</v>
      </c>
      <c r="W35" s="13">
        <v>1.5153</v>
      </c>
      <c r="X35" s="13">
        <v>1.4533</v>
      </c>
      <c r="Y35" s="13">
        <v>1.4713</v>
      </c>
      <c r="Z35" s="13">
        <v>1.3649</v>
      </c>
      <c r="AA35" s="13">
        <v>1.2837</v>
      </c>
      <c r="AB35" s="13">
        <v>1.2108</v>
      </c>
      <c r="AC35" s="81"/>
    </row>
    <row r="36" spans="1:29">
      <c r="A36" s="69"/>
      <c r="B36" s="68"/>
      <c r="C36" s="64" t="s">
        <v>38</v>
      </c>
      <c r="D36" s="70">
        <f>D35/D32</f>
        <v>0.978663150313216</v>
      </c>
      <c r="E36" s="76">
        <f t="shared" ref="E36:AB36" si="13">1-ABS(E32-E35)/E35</f>
        <v>0.993896426303331</v>
      </c>
      <c r="F36" s="76">
        <f t="shared" si="13"/>
        <v>0.991947209000433</v>
      </c>
      <c r="G36" s="76">
        <f t="shared" si="13"/>
        <v>0.989273778511977</v>
      </c>
      <c r="H36" s="76">
        <f t="shared" si="13"/>
        <v>0.907287969819757</v>
      </c>
      <c r="I36" s="76">
        <f t="shared" si="13"/>
        <v>0.954414904607755</v>
      </c>
      <c r="J36" s="76">
        <f t="shared" si="13"/>
        <v>0.967756653992396</v>
      </c>
      <c r="K36" s="76">
        <f t="shared" si="13"/>
        <v>0.964128184997502</v>
      </c>
      <c r="L36" s="76">
        <f t="shared" si="13"/>
        <v>0.994177527298345</v>
      </c>
      <c r="M36" s="76">
        <f t="shared" si="13"/>
        <v>0.990295790221941</v>
      </c>
      <c r="N36" s="76">
        <f t="shared" si="13"/>
        <v>0.97564719651805</v>
      </c>
      <c r="O36" s="76">
        <f t="shared" si="13"/>
        <v>0.946242115971516</v>
      </c>
      <c r="P36" s="76">
        <f t="shared" si="13"/>
        <v>0.959369873385774</v>
      </c>
      <c r="Q36" s="76">
        <f t="shared" si="13"/>
        <v>0.856149616424992</v>
      </c>
      <c r="R36" s="76">
        <f t="shared" si="13"/>
        <v>0.953928010139417</v>
      </c>
      <c r="S36" s="76">
        <f t="shared" si="13"/>
        <v>0.922291641392697</v>
      </c>
      <c r="T36" s="76">
        <f t="shared" si="13"/>
        <v>0.925441350348595</v>
      </c>
      <c r="U36" s="76">
        <f t="shared" si="13"/>
        <v>0.901646992008438</v>
      </c>
      <c r="V36" s="76">
        <f t="shared" si="13"/>
        <v>0.926672785280364</v>
      </c>
      <c r="W36" s="76">
        <f t="shared" si="13"/>
        <v>0.883471919751864</v>
      </c>
      <c r="X36" s="76">
        <f t="shared" si="13"/>
        <v>0.926914608133214</v>
      </c>
      <c r="Y36" s="76">
        <f t="shared" si="13"/>
        <v>0.965615442126011</v>
      </c>
      <c r="Z36" s="76">
        <f t="shared" si="13"/>
        <v>0.934786431240384</v>
      </c>
      <c r="AA36" s="76">
        <f t="shared" si="13"/>
        <v>0.97893433045104</v>
      </c>
      <c r="AB36" s="76">
        <f t="shared" si="13"/>
        <v>0.952081268582755</v>
      </c>
      <c r="AC36" s="81"/>
    </row>
    <row r="37" spans="1:29">
      <c r="A37" s="4">
        <v>45999</v>
      </c>
      <c r="B37" s="67" t="s">
        <v>44</v>
      </c>
      <c r="C37" s="2" t="s">
        <v>33</v>
      </c>
      <c r="D37" s="3">
        <f>SUM(E37:AB37)</f>
        <v>52.179421</v>
      </c>
      <c r="E37" s="73" cm="1">
        <f t="array" ref="E37">0.5*INDEX('[1]12月代理实际分时电量'!E:E,MATCH($A37-7,'[1]12月代理实际分时电量'!$C:$C,0))+0.3*INDEX('[1]12月代理实际分时电量'!E:E,MATCH($A37-14,'[1]12月代理实际分时电量'!$C:$C,0))+0.2*INDEX('[1]12月代理实际分时电量'!E:E,MATCH($A37-21,'[1]12月代理实际分时电量'!$C:$C,0))</f>
        <v>1.096778</v>
      </c>
      <c r="F37" s="73" cm="1">
        <f t="array" ref="F37">0.5*INDEX('[1]12月代理实际分时电量'!F:F,MATCH($A37-7,'[1]12月代理实际分时电量'!$C:$C,0))+0.3*INDEX('[1]12月代理实际分时电量'!F:F,MATCH($A37-14,'[1]12月代理实际分时电量'!$C:$C,0))+0.2*INDEX('[1]12月代理实际分时电量'!F:F,MATCH($A37-21,'[1]12月代理实际分时电量'!$C:$C,0))</f>
        <v>1.11505</v>
      </c>
      <c r="G37" s="73" cm="1">
        <f t="array" ref="G37">0.5*INDEX('[1]12月代理实际分时电量'!G:G,MATCH($A37-7,'[1]12月代理实际分时电量'!$C:$C,0))+0.3*INDEX('[1]12月代理实际分时电量'!G:G,MATCH($A37-14,'[1]12月代理实际分时电量'!$C:$C,0))+0.2*INDEX('[1]12月代理实际分时电量'!G:G,MATCH($A37-21,'[1]12月代理实际分时电量'!$C:$C,0))</f>
        <v>1.07824</v>
      </c>
      <c r="H37" s="73" cm="1">
        <f t="array" ref="H37">0.5*INDEX('[1]12月代理实际分时电量'!H:H,MATCH($A37-7,'[1]12月代理实际分时电量'!$C:$C,0))+0.3*INDEX('[1]12月代理实际分时电量'!H:H,MATCH($A37-14,'[1]12月代理实际分时电量'!$C:$C,0))+0.2*INDEX('[1]12月代理实际分时电量'!H:H,MATCH($A37-21,'[1]12月代理实际分时电量'!$C:$C,0))</f>
        <v>0.968008</v>
      </c>
      <c r="I37" s="73" cm="1">
        <f t="array" ref="I37">0.5*INDEX('[1]12月代理实际分时电量'!I:I,MATCH($A37-7,'[1]12月代理实际分时电量'!$C:$C,0))+0.3*INDEX('[1]12月代理实际分时电量'!I:I,MATCH($A37-14,'[1]12月代理实际分时电量'!$C:$C,0))+0.2*INDEX('[1]12月代理实际分时电量'!I:I,MATCH($A37-21,'[1]12月代理实际分时电量'!$C:$C,0))</f>
        <v>0.980817</v>
      </c>
      <c r="J37" s="73" cm="1">
        <f t="array" ref="J37">0.5*INDEX('[1]12月代理实际分时电量'!J:J,MATCH($A37-7,'[1]12月代理实际分时电量'!$C:$C,0))+0.3*INDEX('[1]12月代理实际分时电量'!J:J,MATCH($A37-14,'[1]12月代理实际分时电量'!$C:$C,0))+0.2*INDEX('[1]12月代理实际分时电量'!J:J,MATCH($A37-21,'[1]12月代理实际分时电量'!$C:$C,0))</f>
        <v>1.00796</v>
      </c>
      <c r="K37" s="73" cm="1">
        <f t="array" ref="K37">0.5*INDEX('[1]12月代理实际分时电量'!K:K,MATCH($A37-7,'[1]12月代理实际分时电量'!$C:$C,0))+0.3*INDEX('[1]12月代理实际分时电量'!K:K,MATCH($A37-14,'[1]12月代理实际分时电量'!$C:$C,0))+0.2*INDEX('[1]12月代理实际分时电量'!K:K,MATCH($A37-21,'[1]12月代理实际分时电量'!$C:$C,0))</f>
        <v>1.05417</v>
      </c>
      <c r="L37" s="73" cm="1">
        <f t="array" ref="L37">0.5*INDEX('[1]12月代理实际分时电量'!L:L,MATCH($A37-7,'[1]12月代理实际分时电量'!$C:$C,0))+0.3*INDEX('[1]12月代理实际分时电量'!L:L,MATCH($A37-14,'[1]12月代理实际分时电量'!$C:$C,0))+0.2*INDEX('[1]12月代理实际分时电量'!L:L,MATCH($A37-21,'[1]12月代理实际分时电量'!$C:$C,0))</f>
        <v>1.44956</v>
      </c>
      <c r="M37" s="73" cm="1">
        <f t="array" ref="M37">0.5*INDEX('[1]12月代理实际分时电量'!M:M,MATCH($A37-7,'[1]12月代理实际分时电量'!$C:$C,0))+0.3*INDEX('[1]12月代理实际分时电量'!M:M,MATCH($A37-14,'[1]12月代理实际分时电量'!$C:$C,0))+0.2*INDEX('[1]12月代理实际分时电量'!M:M,MATCH($A37-21,'[1]12月代理实际分时电量'!$C:$C,0))</f>
        <v>3.016103</v>
      </c>
      <c r="N37" s="73" cm="1">
        <f t="array" ref="N37">0.5*INDEX('[1]12月代理实际分时电量'!N:N,MATCH($A37-7,'[1]12月代理实际分时电量'!$C:$C,0))+0.3*INDEX('[1]12月代理实际分时电量'!N:N,MATCH($A37-14,'[1]12月代理实际分时电量'!$C:$C,0))+0.2*INDEX('[1]12月代理实际分时电量'!N:N,MATCH($A37-21,'[1]12月代理实际分时电量'!$C:$C,0))</f>
        <v>3.450236</v>
      </c>
      <c r="O37" s="73" cm="1">
        <f t="array" ref="O37">0.5*INDEX('[1]12月代理实际分时电量'!O:O,MATCH($A37-7,'[1]12月代理实际分时电量'!$C:$C,0))+0.3*INDEX('[1]12月代理实际分时电量'!O:O,MATCH($A37-14,'[1]12月代理实际分时电量'!$C:$C,0))+0.2*INDEX('[1]12月代理实际分时电量'!O:O,MATCH($A37-21,'[1]12月代理实际分时电量'!$C:$C,0))</f>
        <v>2.810253</v>
      </c>
      <c r="P37" s="73" cm="1">
        <f t="array" ref="P37">0.5*INDEX('[1]12月代理实际分时电量'!P:P,MATCH($A37-7,'[1]12月代理实际分时电量'!$C:$C,0))+0.3*INDEX('[1]12月代理实际分时电量'!P:P,MATCH($A37-14,'[1]12月代理实际分时电量'!$C:$C,0))+0.2*INDEX('[1]12月代理实际分时电量'!P:P,MATCH($A37-21,'[1]12月代理实际分时电量'!$C:$C,0))</f>
        <v>2.706662</v>
      </c>
      <c r="Q37" s="73" cm="1">
        <f t="array" ref="Q37">0.5*INDEX('[1]12月代理实际分时电量'!Q:Q,MATCH($A37-7,'[1]12月代理实际分时电量'!$C:$C,0))+0.3*INDEX('[1]12月代理实际分时电量'!Q:Q,MATCH($A37-14,'[1]12月代理实际分时电量'!$C:$C,0))+0.2*INDEX('[1]12月代理实际分时电量'!Q:Q,MATCH($A37-21,'[1]12月代理实际分时电量'!$C:$C,0))</f>
        <v>2.312714</v>
      </c>
      <c r="R37" s="73" cm="1">
        <f t="array" ref="R37">0.5*INDEX('[1]12月代理实际分时电量'!R:R,MATCH($A37-7,'[1]12月代理实际分时电量'!$C:$C,0))+0.3*INDEX('[1]12月代理实际分时电量'!R:R,MATCH($A37-14,'[1]12月代理实际分时电量'!$C:$C,0))+0.2*INDEX('[1]12月代理实际分时电量'!R:R,MATCH($A37-21,'[1]12月代理实际分时电量'!$C:$C,0))</f>
        <v>2.714926</v>
      </c>
      <c r="S37" s="73" cm="1">
        <f t="array" ref="S37">0.5*INDEX('[1]12月代理实际分时电量'!S:S,MATCH($A37-7,'[1]12月代理实际分时电量'!$C:$C,0))+0.3*INDEX('[1]12月代理实际分时电量'!S:S,MATCH($A37-14,'[1]12月代理实际分时电量'!$C:$C,0))+0.2*INDEX('[1]12月代理实际分时电量'!S:S,MATCH($A37-21,'[1]12月代理实际分时电量'!$C:$C,0))</f>
        <v>3.202676</v>
      </c>
      <c r="T37" s="73" cm="1">
        <f t="array" ref="T37">0.5*INDEX('[1]12月代理实际分时电量'!T:T,MATCH($A37-7,'[1]12月代理实际分时电量'!$C:$C,0))+0.3*INDEX('[1]12月代理实际分时电量'!T:T,MATCH($A37-14,'[1]12月代理实际分时电量'!$C:$C,0))+0.2*INDEX('[1]12月代理实际分时电量'!T:T,MATCH($A37-21,'[1]12月代理实际分时电量'!$C:$C,0))</f>
        <v>3.064268</v>
      </c>
      <c r="U37" s="73" cm="1">
        <f t="array" ref="U37">0.5*INDEX('[1]12月代理实际分时电量'!U:U,MATCH($A37-7,'[1]12月代理实际分时电量'!$C:$C,0))+0.3*INDEX('[1]12月代理实际分时电量'!U:U,MATCH($A37-14,'[1]12月代理实际分时电量'!$C:$C,0))+0.2*INDEX('[1]12月代理实际分时电量'!U:U,MATCH($A37-21,'[1]12月代理实际分时电量'!$C:$C,0))</f>
        <v>3.273478</v>
      </c>
      <c r="V37" s="73" cm="1">
        <f t="array" ref="V37">0.5*INDEX('[1]12月代理实际分时电量'!V:V,MATCH($A37-7,'[1]12月代理实际分时电量'!$C:$C,0))+0.3*INDEX('[1]12月代理实际分时电量'!V:V,MATCH($A37-14,'[1]12月代理实际分时电量'!$C:$C,0))+0.2*INDEX('[1]12月代理实际分时电量'!V:V,MATCH($A37-21,'[1]12月代理实际分时电量'!$C:$C,0))</f>
        <v>3.184587</v>
      </c>
      <c r="W37" s="73" cm="1">
        <f t="array" ref="W37">0.5*INDEX('[1]12月代理实际分时电量'!W:W,MATCH($A37-7,'[1]12月代理实际分时电量'!$C:$C,0))+0.3*INDEX('[1]12月代理实际分时电量'!W:W,MATCH($A37-14,'[1]12月代理实际分时电量'!$C:$C,0))+0.2*INDEX('[1]12月代理实际分时电量'!W:W,MATCH($A37-21,'[1]12月代理实际分时电量'!$C:$C,0))</f>
        <v>2.932275</v>
      </c>
      <c r="X37" s="73" cm="1">
        <f t="array" ref="X37">0.5*INDEX('[1]12月代理实际分时电量'!X:X,MATCH($A37-7,'[1]12月代理实际分时电量'!$C:$C,0))+0.3*INDEX('[1]12月代理实际分时电量'!X:X,MATCH($A37-14,'[1]12月代理实际分时电量'!$C:$C,0))+0.2*INDEX('[1]12月代理实际分时电量'!X:X,MATCH($A37-21,'[1]12月代理实际分时电量'!$C:$C,0))</f>
        <v>3.017078</v>
      </c>
      <c r="Y37" s="73" cm="1">
        <f t="array" ref="Y37">0.5*INDEX('[1]12月代理实际分时电量'!Y:Y,MATCH($A37-7,'[1]12月代理实际分时电量'!$C:$C,0))+0.3*INDEX('[1]12月代理实际分时电量'!Y:Y,MATCH($A37-14,'[1]12月代理实际分时电量'!$C:$C,0))+0.2*INDEX('[1]12月代理实际分时电量'!Y:Y,MATCH($A37-21,'[1]12月代理实际分时电量'!$C:$C,0))</f>
        <v>2.56967</v>
      </c>
      <c r="Z37" s="73" cm="1">
        <f t="array" ref="Z37">0.5*INDEX('[1]12月代理实际分时电量'!Z:Z,MATCH($A37-7,'[1]12月代理实际分时电量'!$C:$C,0))+0.3*INDEX('[1]12月代理实际分时电量'!Z:Z,MATCH($A37-14,'[1]12月代理实际分时电量'!$C:$C,0))+0.2*INDEX('[1]12月代理实际分时电量'!Z:Z,MATCH($A37-21,'[1]12月代理实际分时电量'!$C:$C,0))</f>
        <v>2.13988</v>
      </c>
      <c r="AA37" s="73" cm="1">
        <f t="array" ref="AA37">0.5*INDEX('[1]12月代理实际分时电量'!AA:AA,MATCH($A37-7,'[1]12月代理实际分时电量'!$C:$C,0))+0.3*INDEX('[1]12月代理实际分时电量'!AA:AA,MATCH($A37-14,'[1]12月代理实际分时电量'!$C:$C,0))+0.2*INDEX('[1]12月代理实际分时电量'!AA:AA,MATCH($A37-21,'[1]12月代理实际分时电量'!$C:$C,0))</f>
        <v>1.646492</v>
      </c>
      <c r="AB37" s="73" cm="1">
        <f t="array" ref="AB37">0.5*INDEX('[1]12月代理实际分时电量'!AB:AB,MATCH($A37-7,'[1]12月代理实际分时电量'!$C:$C,0))+0.3*INDEX('[1]12月代理实际分时电量'!AB:AB,MATCH($A37-14,'[1]12月代理实际分时电量'!$C:$C,0))+0.2*INDEX('[1]12月代理实际分时电量'!AB:AB,MATCH($A37-21,'[1]12月代理实际分时电量'!$C:$C,0))</f>
        <v>1.38754</v>
      </c>
      <c r="AC37" s="81"/>
    </row>
    <row r="38" spans="1:29">
      <c r="A38" s="4"/>
      <c r="B38" s="68"/>
      <c r="C38" s="2" t="s">
        <v>35</v>
      </c>
      <c r="D38" s="3">
        <f>D39/D37</f>
        <v>0.901044877443159</v>
      </c>
      <c r="E38" s="74">
        <v>1</v>
      </c>
      <c r="F38" s="75">
        <v>1</v>
      </c>
      <c r="G38" s="75">
        <v>1</v>
      </c>
      <c r="H38" s="75">
        <v>1</v>
      </c>
      <c r="I38" s="75">
        <v>0.9</v>
      </c>
      <c r="J38" s="75">
        <v>0.9</v>
      </c>
      <c r="K38" s="75">
        <v>1</v>
      </c>
      <c r="L38" s="75">
        <v>0.9</v>
      </c>
      <c r="M38" s="75">
        <v>0.9</v>
      </c>
      <c r="N38" s="75">
        <v>0.8</v>
      </c>
      <c r="O38" s="75">
        <v>0.8</v>
      </c>
      <c r="P38" s="75">
        <v>0.9</v>
      </c>
      <c r="Q38" s="75">
        <v>0.9</v>
      </c>
      <c r="R38" s="75">
        <v>0.9</v>
      </c>
      <c r="S38" s="75">
        <v>0.8</v>
      </c>
      <c r="T38" s="75">
        <v>0.9</v>
      </c>
      <c r="U38" s="75">
        <v>0.9</v>
      </c>
      <c r="V38" s="75">
        <v>0.9</v>
      </c>
      <c r="W38" s="75">
        <v>0.9</v>
      </c>
      <c r="X38" s="75">
        <v>0.9</v>
      </c>
      <c r="Y38" s="75">
        <v>1</v>
      </c>
      <c r="Z38" s="75">
        <v>1</v>
      </c>
      <c r="AA38" s="75">
        <v>0.9</v>
      </c>
      <c r="AB38" s="75">
        <v>0.9</v>
      </c>
      <c r="AC38" s="81"/>
    </row>
    <row r="39" spans="1:29">
      <c r="A39" s="4"/>
      <c r="B39" s="68"/>
      <c r="C39" s="2" t="s">
        <v>36</v>
      </c>
      <c r="D39" s="3">
        <f>SUM(E39:AB39)</f>
        <v>47.016</v>
      </c>
      <c r="E39" s="13">
        <f t="shared" ref="E39:AB39" si="14">ROUND(E37*E38,3)</f>
        <v>1.097</v>
      </c>
      <c r="F39" s="13">
        <f t="shared" si="14"/>
        <v>1.115</v>
      </c>
      <c r="G39" s="13">
        <f t="shared" si="14"/>
        <v>1.078</v>
      </c>
      <c r="H39" s="13">
        <f t="shared" si="14"/>
        <v>0.968</v>
      </c>
      <c r="I39" s="13">
        <f t="shared" si="14"/>
        <v>0.883</v>
      </c>
      <c r="J39" s="13">
        <f t="shared" si="14"/>
        <v>0.907</v>
      </c>
      <c r="K39" s="13">
        <f t="shared" si="14"/>
        <v>1.054</v>
      </c>
      <c r="L39" s="13">
        <f t="shared" si="14"/>
        <v>1.305</v>
      </c>
      <c r="M39" s="13">
        <f t="shared" si="14"/>
        <v>2.714</v>
      </c>
      <c r="N39" s="13">
        <f t="shared" si="14"/>
        <v>2.76</v>
      </c>
      <c r="O39" s="13">
        <f t="shared" si="14"/>
        <v>2.248</v>
      </c>
      <c r="P39" s="13">
        <f t="shared" si="14"/>
        <v>2.436</v>
      </c>
      <c r="Q39" s="13">
        <f t="shared" si="14"/>
        <v>2.081</v>
      </c>
      <c r="R39" s="13">
        <f t="shared" si="14"/>
        <v>2.443</v>
      </c>
      <c r="S39" s="13">
        <f t="shared" si="14"/>
        <v>2.562</v>
      </c>
      <c r="T39" s="13">
        <f t="shared" si="14"/>
        <v>2.758</v>
      </c>
      <c r="U39" s="13">
        <f t="shared" si="14"/>
        <v>2.946</v>
      </c>
      <c r="V39" s="13">
        <f t="shared" si="14"/>
        <v>2.866</v>
      </c>
      <c r="W39" s="13">
        <f t="shared" si="14"/>
        <v>2.639</v>
      </c>
      <c r="X39" s="13">
        <f t="shared" si="14"/>
        <v>2.715</v>
      </c>
      <c r="Y39" s="13">
        <f t="shared" si="14"/>
        <v>2.57</v>
      </c>
      <c r="Z39" s="13">
        <f t="shared" si="14"/>
        <v>2.14</v>
      </c>
      <c r="AA39" s="13">
        <f t="shared" si="14"/>
        <v>1.482</v>
      </c>
      <c r="AB39" s="13">
        <f t="shared" si="14"/>
        <v>1.249</v>
      </c>
      <c r="AC39" s="81"/>
    </row>
    <row r="40" ht="17" spans="1:29">
      <c r="A40" s="4"/>
      <c r="B40" s="68"/>
      <c r="C40" s="66" t="s">
        <v>37</v>
      </c>
      <c r="D40" s="3">
        <f>SUM(E40:AB40)</f>
        <v>60.637</v>
      </c>
      <c r="E40" s="13">
        <v>1.2914</v>
      </c>
      <c r="F40" s="13">
        <v>1.3249</v>
      </c>
      <c r="G40" s="13">
        <v>1.3515</v>
      </c>
      <c r="H40" s="13">
        <v>1.38</v>
      </c>
      <c r="I40" s="13">
        <v>1.3235</v>
      </c>
      <c r="J40" s="13">
        <v>1.3294</v>
      </c>
      <c r="K40" s="13">
        <v>1.2722</v>
      </c>
      <c r="L40" s="13">
        <v>1.7535</v>
      </c>
      <c r="M40" s="13">
        <v>3.451</v>
      </c>
      <c r="N40" s="13">
        <v>3.8818</v>
      </c>
      <c r="O40" s="13">
        <v>3.2538</v>
      </c>
      <c r="P40" s="13">
        <v>3.1688</v>
      </c>
      <c r="Q40" s="13">
        <v>2.6775</v>
      </c>
      <c r="R40" s="13">
        <v>3.1968</v>
      </c>
      <c r="S40" s="13">
        <v>3.7112</v>
      </c>
      <c r="T40" s="13">
        <v>3.5804</v>
      </c>
      <c r="U40" s="13">
        <v>3.7694</v>
      </c>
      <c r="V40" s="13">
        <v>3.6423</v>
      </c>
      <c r="W40" s="13">
        <v>3.2426</v>
      </c>
      <c r="X40" s="13">
        <v>3.2346</v>
      </c>
      <c r="Y40" s="13">
        <v>2.8762</v>
      </c>
      <c r="Z40" s="13">
        <v>2.434</v>
      </c>
      <c r="AA40" s="13">
        <v>1.8826</v>
      </c>
      <c r="AB40" s="13">
        <v>1.6076</v>
      </c>
      <c r="AC40" s="81"/>
    </row>
    <row r="41" spans="1:29">
      <c r="A41" s="69"/>
      <c r="B41" s="68"/>
      <c r="C41" s="64" t="s">
        <v>38</v>
      </c>
      <c r="D41" s="70">
        <f>D40/D37</f>
        <v>1.16208648616473</v>
      </c>
      <c r="E41" s="76">
        <f t="shared" ref="E41:AB41" si="15">1-ABS(E37-E40)/E40</f>
        <v>0.849293789685613</v>
      </c>
      <c r="F41" s="76">
        <f t="shared" si="15"/>
        <v>0.841610687599064</v>
      </c>
      <c r="G41" s="76">
        <f t="shared" si="15"/>
        <v>0.797809840917499</v>
      </c>
      <c r="H41" s="76">
        <f t="shared" si="15"/>
        <v>0.701455072463768</v>
      </c>
      <c r="I41" s="76">
        <f t="shared" si="15"/>
        <v>0.741078201737816</v>
      </c>
      <c r="J41" s="76">
        <f t="shared" si="15"/>
        <v>0.758206709793892</v>
      </c>
      <c r="K41" s="76">
        <f t="shared" si="15"/>
        <v>0.828619713881465</v>
      </c>
      <c r="L41" s="76">
        <f t="shared" si="15"/>
        <v>0.826666666666667</v>
      </c>
      <c r="M41" s="76">
        <f t="shared" si="15"/>
        <v>0.87397942625326</v>
      </c>
      <c r="N41" s="76">
        <f t="shared" si="15"/>
        <v>0.888823741563192</v>
      </c>
      <c r="O41" s="76">
        <f t="shared" si="15"/>
        <v>0.863683385579937</v>
      </c>
      <c r="P41" s="76">
        <f t="shared" si="15"/>
        <v>0.85415993436001</v>
      </c>
      <c r="Q41" s="76">
        <f t="shared" si="15"/>
        <v>0.86375873015873</v>
      </c>
      <c r="R41" s="76">
        <f t="shared" si="15"/>
        <v>0.849263638638639</v>
      </c>
      <c r="S41" s="76">
        <f t="shared" si="15"/>
        <v>0.862975856865704</v>
      </c>
      <c r="T41" s="76">
        <f t="shared" si="15"/>
        <v>0.855845156965702</v>
      </c>
      <c r="U41" s="76">
        <f t="shared" si="15"/>
        <v>0.868434764153446</v>
      </c>
      <c r="V41" s="76">
        <f t="shared" si="15"/>
        <v>0.874334074623178</v>
      </c>
      <c r="W41" s="76">
        <f t="shared" si="15"/>
        <v>0.904297477333004</v>
      </c>
      <c r="X41" s="76">
        <f t="shared" si="15"/>
        <v>0.932751499412601</v>
      </c>
      <c r="Y41" s="76">
        <f t="shared" si="15"/>
        <v>0.893425352896182</v>
      </c>
      <c r="Z41" s="76">
        <f t="shared" si="15"/>
        <v>0.879161873459326</v>
      </c>
      <c r="AA41" s="76">
        <f t="shared" si="15"/>
        <v>0.874584085838734</v>
      </c>
      <c r="AB41" s="76">
        <f t="shared" si="15"/>
        <v>0.863112714605623</v>
      </c>
      <c r="AC41" s="81"/>
    </row>
    <row r="42" spans="1:29">
      <c r="A42" s="4">
        <v>46000</v>
      </c>
      <c r="B42" s="67"/>
      <c r="C42" s="2" t="s">
        <v>33</v>
      </c>
      <c r="D42" s="3">
        <f>SUM(E42:AB42)</f>
        <v>62.777267</v>
      </c>
      <c r="E42" s="73" cm="1">
        <f t="array" ref="E42">0.5*INDEX('[1]12月代理实际分时电量'!E:E,MATCH($A42-7,'[1]12月代理实际分时电量'!$C:$C,0))+0.3*INDEX('[1]12月代理实际分时电量'!E:E,MATCH($A42-14,'[1]12月代理实际分时电量'!$C:$C,0))+0.2*INDEX('[1]12月代理实际分时电量'!E:E,MATCH($A42-21,'[1]12月代理实际分时电量'!$C:$C,0))</f>
        <v>1.429588</v>
      </c>
      <c r="F42" s="73" cm="1">
        <f t="array" ref="F42">0.5*INDEX('[1]12月代理实际分时电量'!F:F,MATCH($A42-7,'[1]12月代理实际分时电量'!$C:$C,0))+0.3*INDEX('[1]12月代理实际分时电量'!F:F,MATCH($A42-14,'[1]12月代理实际分时电量'!$C:$C,0))+0.2*INDEX('[1]12月代理实际分时电量'!F:F,MATCH($A42-21,'[1]12月代理实际分时电量'!$C:$C,0))</f>
        <v>1.43378</v>
      </c>
      <c r="G42" s="73" cm="1">
        <f t="array" ref="G42">0.5*INDEX('[1]12月代理实际分时电量'!G:G,MATCH($A42-7,'[1]12月代理实际分时电量'!$C:$C,0))+0.3*INDEX('[1]12月代理实际分时电量'!G:G,MATCH($A42-14,'[1]12月代理实际分时电量'!$C:$C,0))+0.2*INDEX('[1]12月代理实际分时电量'!G:G,MATCH($A42-21,'[1]12月代理实际分时电量'!$C:$C,0))</f>
        <v>1.42731</v>
      </c>
      <c r="H42" s="73" cm="1">
        <f t="array" ref="H42">0.5*INDEX('[1]12月代理实际分时电量'!H:H,MATCH($A42-7,'[1]12月代理实际分时电量'!$C:$C,0))+0.3*INDEX('[1]12月代理实际分时电量'!H:H,MATCH($A42-14,'[1]12月代理实际分时电量'!$C:$C,0))+0.2*INDEX('[1]12月代理实际分时电量'!H:H,MATCH($A42-21,'[1]12月代理实际分时电量'!$C:$C,0))</f>
        <v>1.35986</v>
      </c>
      <c r="I42" s="73" cm="1">
        <f t="array" ref="I42">0.5*INDEX('[1]12月代理实际分时电量'!I:I,MATCH($A42-7,'[1]12月代理实际分时电量'!$C:$C,0))+0.3*INDEX('[1]12月代理实际分时电量'!I:I,MATCH($A42-14,'[1]12月代理实际分时电量'!$C:$C,0))+0.2*INDEX('[1]12月代理实际分时电量'!I:I,MATCH($A42-21,'[1]12月代理实际分时电量'!$C:$C,0))</f>
        <v>1.357533</v>
      </c>
      <c r="J42" s="73" cm="1">
        <f t="array" ref="J42">0.5*INDEX('[1]12月代理实际分时电量'!J:J,MATCH($A42-7,'[1]12月代理实际分时电量'!$C:$C,0))+0.3*INDEX('[1]12月代理实际分时电量'!J:J,MATCH($A42-14,'[1]12月代理实际分时电量'!$C:$C,0))+0.2*INDEX('[1]12月代理实际分时电量'!J:J,MATCH($A42-21,'[1]12月代理实际分时电量'!$C:$C,0))</f>
        <v>1.37025</v>
      </c>
      <c r="K42" s="73" cm="1">
        <f t="array" ref="K42">0.5*INDEX('[1]12月代理实际分时电量'!K:K,MATCH($A42-7,'[1]12月代理实际分时电量'!$C:$C,0))+0.3*INDEX('[1]12月代理实际分时电量'!K:K,MATCH($A42-14,'[1]12月代理实际分时电量'!$C:$C,0))+0.2*INDEX('[1]12月代理实际分时电量'!K:K,MATCH($A42-21,'[1]12月代理实际分时电量'!$C:$C,0))</f>
        <v>1.341</v>
      </c>
      <c r="L42" s="73" cm="1">
        <f t="array" ref="L42">0.5*INDEX('[1]12月代理实际分时电量'!L:L,MATCH($A42-7,'[1]12月代理实际分时电量'!$C:$C,0))+0.3*INDEX('[1]12月代理实际分时电量'!L:L,MATCH($A42-14,'[1]12月代理实际分时电量'!$C:$C,0))+0.2*INDEX('[1]12月代理实际分时电量'!L:L,MATCH($A42-21,'[1]12月代理实际分时电量'!$C:$C,0))</f>
        <v>1.73602</v>
      </c>
      <c r="M42" s="73" cm="1">
        <f t="array" ref="M42">0.5*INDEX('[1]12月代理实际分时电量'!M:M,MATCH($A42-7,'[1]12月代理实际分时电量'!$C:$C,0))+0.3*INDEX('[1]12月代理实际分时电量'!M:M,MATCH($A42-14,'[1]12月代理实际分时电量'!$C:$C,0))+0.2*INDEX('[1]12月代理实际分时电量'!M:M,MATCH($A42-21,'[1]12月代理实际分时电量'!$C:$C,0))</f>
        <v>3.743779</v>
      </c>
      <c r="N42" s="73" cm="1">
        <f t="array" ref="N42">0.5*INDEX('[1]12月代理实际分时电量'!N:N,MATCH($A42-7,'[1]12月代理实际分时电量'!$C:$C,0))+0.3*INDEX('[1]12月代理实际分时电量'!N:N,MATCH($A42-14,'[1]12月代理实际分时电量'!$C:$C,0))+0.2*INDEX('[1]12月代理实际分时电量'!N:N,MATCH($A42-21,'[1]12月代理实际分时电量'!$C:$C,0))</f>
        <v>4.006626</v>
      </c>
      <c r="O42" s="73" cm="1">
        <f t="array" ref="O42">0.5*INDEX('[1]12月代理实际分时电量'!O:O,MATCH($A42-7,'[1]12月代理实际分时电量'!$C:$C,0))+0.3*INDEX('[1]12月代理实际分时电量'!O:O,MATCH($A42-14,'[1]12月代理实际分时电量'!$C:$C,0))+0.2*INDEX('[1]12月代理实际分时电量'!O:O,MATCH($A42-21,'[1]12月代理实际分时电量'!$C:$C,0))</f>
        <v>3.516249</v>
      </c>
      <c r="P42" s="73" cm="1">
        <f t="array" ref="P42">0.5*INDEX('[1]12月代理实际分时电量'!P:P,MATCH($A42-7,'[1]12月代理实际分时电量'!$C:$C,0))+0.3*INDEX('[1]12月代理实际分时电量'!P:P,MATCH($A42-14,'[1]12月代理实际分时电量'!$C:$C,0))+0.2*INDEX('[1]12月代理实际分时电量'!P:P,MATCH($A42-21,'[1]12月代理实际分时电量'!$C:$C,0))</f>
        <v>3.376926</v>
      </c>
      <c r="Q42" s="73" cm="1">
        <f t="array" ref="Q42">0.5*INDEX('[1]12月代理实际分时电量'!Q:Q,MATCH($A42-7,'[1]12月代理实际分时电量'!$C:$C,0))+0.3*INDEX('[1]12月代理实际分时电量'!Q:Q,MATCH($A42-14,'[1]12月代理实际分时电量'!$C:$C,0))+0.2*INDEX('[1]12月代理实际分时电量'!Q:Q,MATCH($A42-21,'[1]12月代理实际分时电量'!$C:$C,0))</f>
        <v>2.732996</v>
      </c>
      <c r="R42" s="73" cm="1">
        <f t="array" ref="R42">0.5*INDEX('[1]12月代理实际分时电量'!R:R,MATCH($A42-7,'[1]12月代理实际分时电量'!$C:$C,0))+0.3*INDEX('[1]12月代理实际分时电量'!R:R,MATCH($A42-14,'[1]12月代理实际分时电量'!$C:$C,0))+0.2*INDEX('[1]12月代理实际分时电量'!R:R,MATCH($A42-21,'[1]12月代理实际分时电量'!$C:$C,0))</f>
        <v>3.304681</v>
      </c>
      <c r="S42" s="73" cm="1">
        <f t="array" ref="S42">0.5*INDEX('[1]12月代理实际分时电量'!S:S,MATCH($A42-7,'[1]12月代理实际分时电量'!$C:$C,0))+0.3*INDEX('[1]12月代理实际分时电量'!S:S,MATCH($A42-14,'[1]12月代理实际分时电量'!$C:$C,0))+0.2*INDEX('[1]12月代理实际分时电量'!S:S,MATCH($A42-21,'[1]12月代理实际分时电量'!$C:$C,0))</f>
        <v>3.846168</v>
      </c>
      <c r="T42" s="73" cm="1">
        <f t="array" ref="T42">0.5*INDEX('[1]12月代理实际分时电量'!T:T,MATCH($A42-7,'[1]12月代理实际分时电量'!$C:$C,0))+0.3*INDEX('[1]12月代理实际分时电量'!T:T,MATCH($A42-14,'[1]12月代理实际分时电量'!$C:$C,0))+0.2*INDEX('[1]12月代理实际分时电量'!T:T,MATCH($A42-21,'[1]12月代理实际分时电量'!$C:$C,0))</f>
        <v>3.678504</v>
      </c>
      <c r="U42" s="73" cm="1">
        <f t="array" ref="U42">0.5*INDEX('[1]12月代理实际分时电量'!U:U,MATCH($A42-7,'[1]12月代理实际分时电量'!$C:$C,0))+0.3*INDEX('[1]12月代理实际分时电量'!U:U,MATCH($A42-14,'[1]12月代理实际分时电量'!$C:$C,0))+0.2*INDEX('[1]12月代理实际分时电量'!U:U,MATCH($A42-21,'[1]12月代理实际分时电量'!$C:$C,0))</f>
        <v>3.756078</v>
      </c>
      <c r="V42" s="73" cm="1">
        <f t="array" ref="V42">0.5*INDEX('[1]12月代理实际分时电量'!V:V,MATCH($A42-7,'[1]12月代理实际分时电量'!$C:$C,0))+0.3*INDEX('[1]12月代理实际分时电量'!V:V,MATCH($A42-14,'[1]12月代理实际分时电量'!$C:$C,0))+0.2*INDEX('[1]12月代理实际分时电量'!V:V,MATCH($A42-21,'[1]12月代理实际分时电量'!$C:$C,0))</f>
        <v>3.654025</v>
      </c>
      <c r="W42" s="73" cm="1">
        <f t="array" ref="W42">0.5*INDEX('[1]12月代理实际分时电量'!W:W,MATCH($A42-7,'[1]12月代理实际分时电量'!$C:$C,0))+0.3*INDEX('[1]12月代理实际分时电量'!W:W,MATCH($A42-14,'[1]12月代理实际分时电量'!$C:$C,0))+0.2*INDEX('[1]12月代理实际分时电量'!W:W,MATCH($A42-21,'[1]12月代理实际分时电量'!$C:$C,0))</f>
        <v>3.341552</v>
      </c>
      <c r="X42" s="73" cm="1">
        <f t="array" ref="X42">0.5*INDEX('[1]12月代理实际分时电量'!X:X,MATCH($A42-7,'[1]12月代理实际分时电量'!$C:$C,0))+0.3*INDEX('[1]12月代理实际分时电量'!X:X,MATCH($A42-14,'[1]12月代理实际分时电量'!$C:$C,0))+0.2*INDEX('[1]12月代理实际分时电量'!X:X,MATCH($A42-21,'[1]12月代理实际分时电量'!$C:$C,0))</f>
        <v>3.411641</v>
      </c>
      <c r="Y42" s="73" cm="1">
        <f t="array" ref="Y42">0.5*INDEX('[1]12月代理实际分时电量'!Y:Y,MATCH($A42-7,'[1]12月代理实际分时电量'!$C:$C,0))+0.3*INDEX('[1]12月代理实际分时电量'!Y:Y,MATCH($A42-14,'[1]12月代理实际分时电量'!$C:$C,0))+0.2*INDEX('[1]12月代理实际分时电量'!Y:Y,MATCH($A42-21,'[1]12月代理实际分时电量'!$C:$C,0))</f>
        <v>3.027939</v>
      </c>
      <c r="Z42" s="73" cm="1">
        <f t="array" ref="Z42">0.5*INDEX('[1]12月代理实际分时电量'!Z:Z,MATCH($A42-7,'[1]12月代理实际分时电量'!$C:$C,0))+0.3*INDEX('[1]12月代理实际分时电量'!Z:Z,MATCH($A42-14,'[1]12月代理实际分时电量'!$C:$C,0))+0.2*INDEX('[1]12月代理实际分时电量'!Z:Z,MATCH($A42-21,'[1]12月代理实际分时电量'!$C:$C,0))</f>
        <v>2.440669</v>
      </c>
      <c r="AA42" s="73" cm="1">
        <f t="array" ref="AA42">0.5*INDEX('[1]12月代理实际分时电量'!AA:AA,MATCH($A42-7,'[1]12月代理实际分时电量'!$C:$C,0))+0.3*INDEX('[1]12月代理实际分时电量'!AA:AA,MATCH($A42-14,'[1]12月代理实际分时电量'!$C:$C,0))+0.2*INDEX('[1]12月代理实际分时电量'!AA:AA,MATCH($A42-21,'[1]12月代理实际分时电量'!$C:$C,0))</f>
        <v>1.925064</v>
      </c>
      <c r="AB42" s="73" cm="1">
        <f t="array" ref="AB42">0.5*INDEX('[1]12月代理实际分时电量'!AB:AB,MATCH($A42-7,'[1]12月代理实际分时电量'!$C:$C,0))+0.3*INDEX('[1]12月代理实际分时电量'!AB:AB,MATCH($A42-14,'[1]12月代理实际分时电量'!$C:$C,0))+0.2*INDEX('[1]12月代理实际分时电量'!AB:AB,MATCH($A42-21,'[1]12月代理实际分时电量'!$C:$C,0))</f>
        <v>1.559029</v>
      </c>
      <c r="AC42" s="81"/>
    </row>
    <row r="43" spans="1:29">
      <c r="A43" s="4"/>
      <c r="B43" s="68"/>
      <c r="C43" s="2" t="s">
        <v>35</v>
      </c>
      <c r="D43" s="3">
        <f>D44/D42</f>
        <v>1.01567021068311</v>
      </c>
      <c r="E43" s="78">
        <v>0.9</v>
      </c>
      <c r="F43" s="78">
        <v>0.9</v>
      </c>
      <c r="G43" s="78">
        <v>0.9</v>
      </c>
      <c r="H43" s="78">
        <v>0.9</v>
      </c>
      <c r="I43" s="78">
        <v>0.9</v>
      </c>
      <c r="J43" s="78">
        <v>0.9</v>
      </c>
      <c r="K43" s="78">
        <v>0.9</v>
      </c>
      <c r="L43" s="78">
        <v>1.1</v>
      </c>
      <c r="M43" s="78">
        <v>1.1</v>
      </c>
      <c r="N43" s="78">
        <v>1.1</v>
      </c>
      <c r="O43" s="78">
        <v>1.1</v>
      </c>
      <c r="P43" s="78">
        <v>1.1</v>
      </c>
      <c r="Q43" s="78">
        <v>1.1</v>
      </c>
      <c r="R43" s="78">
        <v>1.1</v>
      </c>
      <c r="S43" s="78">
        <v>1.1</v>
      </c>
      <c r="T43" s="78">
        <v>1.1</v>
      </c>
      <c r="U43" s="78">
        <v>1.1</v>
      </c>
      <c r="V43" s="78">
        <v>1</v>
      </c>
      <c r="W43" s="78">
        <v>0.9</v>
      </c>
      <c r="X43" s="78">
        <v>0.9</v>
      </c>
      <c r="Y43" s="78">
        <v>0.9</v>
      </c>
      <c r="Z43" s="78">
        <v>0.9</v>
      </c>
      <c r="AA43" s="78">
        <v>0.9</v>
      </c>
      <c r="AB43" s="78">
        <v>1</v>
      </c>
      <c r="AC43" s="81"/>
    </row>
    <row r="44" spans="1:29">
      <c r="A44" s="4"/>
      <c r="B44" s="68"/>
      <c r="C44" s="2" t="s">
        <v>36</v>
      </c>
      <c r="D44" s="3">
        <f>SUM(E44:AB44)</f>
        <v>63.761</v>
      </c>
      <c r="E44" s="13">
        <f t="shared" ref="E44:AB44" si="16">ROUND(E42*E43,3)</f>
        <v>1.287</v>
      </c>
      <c r="F44" s="13">
        <f t="shared" si="16"/>
        <v>1.29</v>
      </c>
      <c r="G44" s="13">
        <f t="shared" si="16"/>
        <v>1.285</v>
      </c>
      <c r="H44" s="13">
        <f t="shared" si="16"/>
        <v>1.224</v>
      </c>
      <c r="I44" s="13">
        <f t="shared" si="16"/>
        <v>1.222</v>
      </c>
      <c r="J44" s="13">
        <f t="shared" si="16"/>
        <v>1.233</v>
      </c>
      <c r="K44" s="13">
        <f t="shared" si="16"/>
        <v>1.207</v>
      </c>
      <c r="L44" s="13">
        <f t="shared" si="16"/>
        <v>1.91</v>
      </c>
      <c r="M44" s="13">
        <f t="shared" si="16"/>
        <v>4.118</v>
      </c>
      <c r="N44" s="13">
        <f t="shared" si="16"/>
        <v>4.407</v>
      </c>
      <c r="O44" s="13">
        <f t="shared" si="16"/>
        <v>3.868</v>
      </c>
      <c r="P44" s="13">
        <f t="shared" si="16"/>
        <v>3.715</v>
      </c>
      <c r="Q44" s="13">
        <f t="shared" si="16"/>
        <v>3.006</v>
      </c>
      <c r="R44" s="13">
        <f t="shared" si="16"/>
        <v>3.635</v>
      </c>
      <c r="S44" s="13">
        <f t="shared" si="16"/>
        <v>4.231</v>
      </c>
      <c r="T44" s="13">
        <f t="shared" si="16"/>
        <v>4.046</v>
      </c>
      <c r="U44" s="13">
        <f t="shared" si="16"/>
        <v>4.132</v>
      </c>
      <c r="V44" s="13">
        <f t="shared" si="16"/>
        <v>3.654</v>
      </c>
      <c r="W44" s="13">
        <f t="shared" si="16"/>
        <v>3.007</v>
      </c>
      <c r="X44" s="13">
        <f t="shared" si="16"/>
        <v>3.07</v>
      </c>
      <c r="Y44" s="13">
        <f t="shared" si="16"/>
        <v>2.725</v>
      </c>
      <c r="Z44" s="13">
        <f t="shared" si="16"/>
        <v>2.197</v>
      </c>
      <c r="AA44" s="13">
        <f t="shared" si="16"/>
        <v>1.733</v>
      </c>
      <c r="AB44" s="13">
        <f t="shared" si="16"/>
        <v>1.559</v>
      </c>
      <c r="AC44" s="81"/>
    </row>
    <row r="45" ht="17" spans="1:29">
      <c r="A45" s="4"/>
      <c r="B45" s="68"/>
      <c r="C45" s="66" t="s">
        <v>37</v>
      </c>
      <c r="D45" s="3">
        <f>SUM(E45:AB45)</f>
        <v>53.5628</v>
      </c>
      <c r="E45" s="13">
        <v>1.3846</v>
      </c>
      <c r="F45" s="13">
        <v>1.4598</v>
      </c>
      <c r="G45" s="13">
        <v>1.3953</v>
      </c>
      <c r="H45" s="13">
        <v>1.3946</v>
      </c>
      <c r="I45" s="13">
        <v>1.424</v>
      </c>
      <c r="J45" s="13">
        <v>1.4562</v>
      </c>
      <c r="K45" s="13">
        <v>1.3574</v>
      </c>
      <c r="L45" s="13">
        <v>1.7168</v>
      </c>
      <c r="M45" s="13">
        <v>3.1592</v>
      </c>
      <c r="N45" s="13">
        <v>3.3323</v>
      </c>
      <c r="O45" s="13">
        <v>2.9329</v>
      </c>
      <c r="P45" s="13">
        <v>2.7</v>
      </c>
      <c r="Q45" s="13">
        <v>2.1209</v>
      </c>
      <c r="R45" s="13">
        <v>2.4985</v>
      </c>
      <c r="S45" s="13">
        <v>3.1199</v>
      </c>
      <c r="T45" s="13">
        <v>3.0137</v>
      </c>
      <c r="U45" s="13">
        <v>3.1632</v>
      </c>
      <c r="V45" s="13">
        <v>3.1023</v>
      </c>
      <c r="W45" s="13">
        <v>2.707</v>
      </c>
      <c r="X45" s="13">
        <v>2.7553</v>
      </c>
      <c r="Y45" s="13">
        <v>2.3561</v>
      </c>
      <c r="Z45" s="13">
        <v>1.997</v>
      </c>
      <c r="AA45" s="13">
        <v>1.5627</v>
      </c>
      <c r="AB45" s="13">
        <v>1.4531</v>
      </c>
      <c r="AC45" s="81"/>
    </row>
    <row r="46" spans="1:29">
      <c r="A46" s="69"/>
      <c r="B46" s="68"/>
      <c r="C46" s="64" t="s">
        <v>38</v>
      </c>
      <c r="D46" s="70">
        <f>D45/D42</f>
        <v>0.853219685399812</v>
      </c>
      <c r="E46" s="76">
        <f t="shared" ref="E46:AB46" si="17">1-ABS(E42-E45)/E45</f>
        <v>0.967508305647841</v>
      </c>
      <c r="F46" s="76">
        <f t="shared" si="17"/>
        <v>0.982175640498699</v>
      </c>
      <c r="G46" s="76">
        <f t="shared" si="17"/>
        <v>0.977058697054397</v>
      </c>
      <c r="H46" s="76">
        <f t="shared" si="17"/>
        <v>0.975089631435537</v>
      </c>
      <c r="I46" s="76">
        <f t="shared" si="17"/>
        <v>0.953323735955056</v>
      </c>
      <c r="J46" s="76">
        <f t="shared" si="17"/>
        <v>0.94097651421508</v>
      </c>
      <c r="K46" s="76">
        <f t="shared" si="17"/>
        <v>0.987918078679829</v>
      </c>
      <c r="L46" s="76">
        <f t="shared" si="17"/>
        <v>0.988804753028891</v>
      </c>
      <c r="M46" s="76">
        <f t="shared" si="17"/>
        <v>0.814959799949354</v>
      </c>
      <c r="N46" s="76">
        <f t="shared" si="17"/>
        <v>0.797639468235153</v>
      </c>
      <c r="O46" s="76">
        <f t="shared" si="17"/>
        <v>0.801101640015002</v>
      </c>
      <c r="P46" s="76">
        <f t="shared" si="17"/>
        <v>0.749286666666667</v>
      </c>
      <c r="Q46" s="76">
        <f t="shared" si="17"/>
        <v>0.711397991418737</v>
      </c>
      <c r="R46" s="76">
        <f t="shared" si="17"/>
        <v>0.67733400040024</v>
      </c>
      <c r="S46" s="76">
        <f t="shared" si="17"/>
        <v>0.76721433379275</v>
      </c>
      <c r="T46" s="76">
        <f t="shared" si="17"/>
        <v>0.779406045724525</v>
      </c>
      <c r="U46" s="76">
        <f t="shared" si="17"/>
        <v>0.812570182094082</v>
      </c>
      <c r="V46" s="76">
        <f t="shared" si="17"/>
        <v>0.822156142217065</v>
      </c>
      <c r="W46" s="76">
        <f t="shared" si="17"/>
        <v>0.765588474325822</v>
      </c>
      <c r="X46" s="76">
        <f t="shared" si="17"/>
        <v>0.761789641781294</v>
      </c>
      <c r="Y46" s="76">
        <f t="shared" si="17"/>
        <v>0.71485123721404</v>
      </c>
      <c r="Z46" s="76">
        <f t="shared" si="17"/>
        <v>0.777832248372559</v>
      </c>
      <c r="AA46" s="76">
        <f t="shared" si="17"/>
        <v>0.768116721059704</v>
      </c>
      <c r="AB46" s="76">
        <f t="shared" si="17"/>
        <v>0.927101369485926</v>
      </c>
      <c r="AC46" s="81"/>
    </row>
    <row r="47" spans="1:29">
      <c r="A47" s="4">
        <v>46001</v>
      </c>
      <c r="B47" s="67"/>
      <c r="C47" s="2" t="s">
        <v>33</v>
      </c>
      <c r="D47" s="3">
        <f>SUM(E47:AB47)</f>
        <v>42.393044</v>
      </c>
      <c r="E47" s="73" cm="1">
        <f t="array" ref="E47">0.5*INDEX('[1]12月代理实际分时电量'!E:E,MATCH($A47-7,'[1]12月代理实际分时电量'!$C:$C,0))+0.3*INDEX('[1]12月代理实际分时电量'!E:E,MATCH($A47-14,'[1]12月代理实际分时电量'!$C:$C,0))+0.2*INDEX('[1]12月代理实际分时电量'!E:E,MATCH($A47-21,'[1]12月代理实际分时电量'!$C:$C,0))</f>
        <v>1.017456</v>
      </c>
      <c r="F47" s="73" cm="1">
        <f t="array" ref="F47">0.5*INDEX('[1]12月代理实际分时电量'!F:F,MATCH($A47-7,'[1]12月代理实际分时电量'!$C:$C,0))+0.3*INDEX('[1]12月代理实际分时电量'!F:F,MATCH($A47-14,'[1]12月代理实际分时电量'!$C:$C,0))+0.2*INDEX('[1]12月代理实际分时电量'!F:F,MATCH($A47-21,'[1]12月代理实际分时电量'!$C:$C,0))</f>
        <v>1.082301</v>
      </c>
      <c r="G47" s="73" cm="1">
        <f t="array" ref="G47">0.5*INDEX('[1]12月代理实际分时电量'!G:G,MATCH($A47-7,'[1]12月代理实际分时电量'!$C:$C,0))+0.3*INDEX('[1]12月代理实际分时电量'!G:G,MATCH($A47-14,'[1]12月代理实际分时电量'!$C:$C,0))+0.2*INDEX('[1]12月代理实际分时电量'!G:G,MATCH($A47-21,'[1]12月代理实际分时电量'!$C:$C,0))</f>
        <v>1.045551</v>
      </c>
      <c r="H47" s="73" cm="1">
        <f t="array" ref="H47">0.5*INDEX('[1]12月代理实际分时电量'!H:H,MATCH($A47-7,'[1]12月代理实际分时电量'!$C:$C,0))+0.3*INDEX('[1]12月代理实际分时电量'!H:H,MATCH($A47-14,'[1]12月代理实际分时电量'!$C:$C,0))+0.2*INDEX('[1]12月代理实际分时电量'!H:H,MATCH($A47-21,'[1]12月代理实际分时电量'!$C:$C,0))</f>
        <v>1.046084</v>
      </c>
      <c r="I47" s="73" cm="1">
        <f t="array" ref="I47">0.5*INDEX('[1]12月代理实际分时电量'!I:I,MATCH($A47-7,'[1]12月代理实际分时电量'!$C:$C,0))+0.3*INDEX('[1]12月代理实际分时电量'!I:I,MATCH($A47-14,'[1]12月代理实际分时电量'!$C:$C,0))+0.2*INDEX('[1]12月代理实际分时电量'!I:I,MATCH($A47-21,'[1]12月代理实际分时电量'!$C:$C,0))</f>
        <v>1.016231</v>
      </c>
      <c r="J47" s="73" cm="1">
        <f t="array" ref="J47">0.5*INDEX('[1]12月代理实际分时电量'!J:J,MATCH($A47-7,'[1]12月代理实际分时电量'!$C:$C,0))+0.3*INDEX('[1]12月代理实际分时电量'!J:J,MATCH($A47-14,'[1]12月代理实际分时电量'!$C:$C,0))+0.2*INDEX('[1]12月代理实际分时电量'!J:J,MATCH($A47-21,'[1]12月代理实际分时电量'!$C:$C,0))</f>
        <v>1.057881</v>
      </c>
      <c r="K47" s="73" cm="1">
        <f t="array" ref="K47">0.5*INDEX('[1]12月代理实际分时电量'!K:K,MATCH($A47-7,'[1]12月代理实际分时电量'!$C:$C,0))+0.3*INDEX('[1]12月代理实际分时电量'!K:K,MATCH($A47-14,'[1]12月代理实际分时电量'!$C:$C,0))+0.2*INDEX('[1]12月代理实际分时电量'!K:K,MATCH($A47-21,'[1]12月代理实际分时电量'!$C:$C,0))</f>
        <v>1.017511</v>
      </c>
      <c r="L47" s="73" cm="1">
        <f t="array" ref="L47">0.5*INDEX('[1]12月代理实际分时电量'!L:L,MATCH($A47-7,'[1]12月代理实际分时电量'!$C:$C,0))+0.3*INDEX('[1]12月代理实际分时电量'!L:L,MATCH($A47-14,'[1]12月代理实际分时电量'!$C:$C,0))+0.2*INDEX('[1]12月代理实际分时电量'!L:L,MATCH($A47-21,'[1]12月代理实际分时电量'!$C:$C,0))</f>
        <v>1.387591</v>
      </c>
      <c r="M47" s="73" cm="1">
        <f t="array" ref="M47">0.5*INDEX('[1]12月代理实际分时电量'!M:M,MATCH($A47-7,'[1]12月代理实际分时电量'!$C:$C,0))+0.3*INDEX('[1]12月代理实际分时电量'!M:M,MATCH($A47-14,'[1]12月代理实际分时电量'!$C:$C,0))+0.2*INDEX('[1]12月代理实际分时电量'!M:M,MATCH($A47-21,'[1]12月代理实际分时电量'!$C:$C,0))</f>
        <v>2.55891</v>
      </c>
      <c r="N47" s="73" cm="1">
        <f t="array" ref="N47">0.5*INDEX('[1]12月代理实际分时电量'!N:N,MATCH($A47-7,'[1]12月代理实际分时电量'!$C:$C,0))+0.3*INDEX('[1]12月代理实际分时电量'!N:N,MATCH($A47-14,'[1]12月代理实际分时电量'!$C:$C,0))+0.2*INDEX('[1]12月代理实际分时电量'!N:N,MATCH($A47-21,'[1]12月代理实际分时电量'!$C:$C,0))</f>
        <v>2.650687</v>
      </c>
      <c r="O47" s="73" cm="1">
        <f t="array" ref="O47">0.5*INDEX('[1]12月代理实际分时电量'!O:O,MATCH($A47-7,'[1]12月代理实际分时电量'!$C:$C,0))+0.3*INDEX('[1]12月代理实际分时电量'!O:O,MATCH($A47-14,'[1]12月代理实际分时电量'!$C:$C,0))+0.2*INDEX('[1]12月代理实际分时电量'!O:O,MATCH($A47-21,'[1]12月代理实际分时电量'!$C:$C,0))</f>
        <v>2.336925</v>
      </c>
      <c r="P47" s="73" cm="1">
        <f t="array" ref="P47">0.5*INDEX('[1]12月代理实际分时电量'!P:P,MATCH($A47-7,'[1]12月代理实际分时电量'!$C:$C,0))+0.3*INDEX('[1]12月代理实际分时电量'!P:P,MATCH($A47-14,'[1]12月代理实际分时电量'!$C:$C,0))+0.2*INDEX('[1]12月代理实际分时电量'!P:P,MATCH($A47-21,'[1]12月代理实际分时电量'!$C:$C,0))</f>
        <v>2.224878</v>
      </c>
      <c r="Q47" s="73" cm="1">
        <f t="array" ref="Q47">0.5*INDEX('[1]12月代理实际分时电量'!Q:Q,MATCH($A47-7,'[1]12月代理实际分时电量'!$C:$C,0))+0.3*INDEX('[1]12月代理实际分时电量'!Q:Q,MATCH($A47-14,'[1]12月代理实际分时电量'!$C:$C,0))+0.2*INDEX('[1]12月代理实际分时电量'!Q:Q,MATCH($A47-21,'[1]12月代理实际分时电量'!$C:$C,0))</f>
        <v>1.716011</v>
      </c>
      <c r="R47" s="73" cm="1">
        <f t="array" ref="R47">0.5*INDEX('[1]12月代理实际分时电量'!R:R,MATCH($A47-7,'[1]12月代理实际分时电量'!$C:$C,0))+0.3*INDEX('[1]12月代理实际分时电量'!R:R,MATCH($A47-14,'[1]12月代理实际分时电量'!$C:$C,0))+0.2*INDEX('[1]12月代理实际分时电量'!R:R,MATCH($A47-21,'[1]12月代理实际分时电量'!$C:$C,0))</f>
        <v>2.019474</v>
      </c>
      <c r="S47" s="73" cm="1">
        <f t="array" ref="S47">0.5*INDEX('[1]12月代理实际分时电量'!S:S,MATCH($A47-7,'[1]12月代理实际分时电量'!$C:$C,0))+0.3*INDEX('[1]12月代理实际分时电量'!S:S,MATCH($A47-14,'[1]12月代理实际分时电量'!$C:$C,0))+0.2*INDEX('[1]12月代理实际分时电量'!S:S,MATCH($A47-21,'[1]12月代理实际分时电量'!$C:$C,0))</f>
        <v>2.510729</v>
      </c>
      <c r="T47" s="73" cm="1">
        <f t="array" ref="T47">0.5*INDEX('[1]12月代理实际分时电量'!T:T,MATCH($A47-7,'[1]12月代理实际分时电量'!$C:$C,0))+0.3*INDEX('[1]12月代理实际分时电量'!T:T,MATCH($A47-14,'[1]12月代理实际分时电量'!$C:$C,0))+0.2*INDEX('[1]12月代理实际分时电量'!T:T,MATCH($A47-21,'[1]12月代理实际分时电量'!$C:$C,0))</f>
        <v>2.436805</v>
      </c>
      <c r="U47" s="73" cm="1">
        <f t="array" ref="U47">0.5*INDEX('[1]12月代理实际分时电量'!U:U,MATCH($A47-7,'[1]12月代理实际分时电量'!$C:$C,0))+0.3*INDEX('[1]12月代理实际分时电量'!U:U,MATCH($A47-14,'[1]12月代理实际分时电量'!$C:$C,0))+0.2*INDEX('[1]12月代理实际分时电量'!U:U,MATCH($A47-21,'[1]12月代理实际分时电量'!$C:$C,0))</f>
        <v>2.589016</v>
      </c>
      <c r="V47" s="73" cm="1">
        <f t="array" ref="V47">0.5*INDEX('[1]12月代理实际分时电量'!V:V,MATCH($A47-7,'[1]12月代理实际分时电量'!$C:$C,0))+0.3*INDEX('[1]12月代理实际分时电量'!V:V,MATCH($A47-14,'[1]12月代理实际分时电量'!$C:$C,0))+0.2*INDEX('[1]12月代理实际分时电量'!V:V,MATCH($A47-21,'[1]12月代理实际分时电量'!$C:$C,0))</f>
        <v>2.393508</v>
      </c>
      <c r="W47" s="73" cm="1">
        <f t="array" ref="W47">0.5*INDEX('[1]12月代理实际分时电量'!W:W,MATCH($A47-7,'[1]12月代理实际分时电量'!$C:$C,0))+0.3*INDEX('[1]12月代理实际分时电量'!W:W,MATCH($A47-14,'[1]12月代理实际分时电量'!$C:$C,0))+0.2*INDEX('[1]12月代理实际分时电量'!W:W,MATCH($A47-21,'[1]12月代理实际分时电量'!$C:$C,0))</f>
        <v>2.106615</v>
      </c>
      <c r="X47" s="73" cm="1">
        <f t="array" ref="X47">0.5*INDEX('[1]12月代理实际分时电量'!X:X,MATCH($A47-7,'[1]12月代理实际分时电量'!$C:$C,0))+0.3*INDEX('[1]12月代理实际分时电量'!X:X,MATCH($A47-14,'[1]12月代理实际分时电量'!$C:$C,0))+0.2*INDEX('[1]12月代理实际分时电量'!X:X,MATCH($A47-21,'[1]12月代理实际分时电量'!$C:$C,0))</f>
        <v>2.20017</v>
      </c>
      <c r="Y47" s="73" cm="1">
        <f t="array" ref="Y47">0.5*INDEX('[1]12月代理实际分时电量'!Y:Y,MATCH($A47-7,'[1]12月代理实际分时电量'!$C:$C,0))+0.3*INDEX('[1]12月代理实际分时电量'!Y:Y,MATCH($A47-14,'[1]12月代理实际分时电量'!$C:$C,0))+0.2*INDEX('[1]12月代理实际分时电量'!Y:Y,MATCH($A47-21,'[1]12月代理实际分时电量'!$C:$C,0))</f>
        <v>1.896378</v>
      </c>
      <c r="Z47" s="73" cm="1">
        <f t="array" ref="Z47">0.5*INDEX('[1]12月代理实际分时电量'!Z:Z,MATCH($A47-7,'[1]12月代理实际分时电量'!$C:$C,0))+0.3*INDEX('[1]12月代理实际分时电量'!Z:Z,MATCH($A47-14,'[1]12月代理实际分时电量'!$C:$C,0))+0.2*INDEX('[1]12月代理实际分时电量'!Z:Z,MATCH($A47-21,'[1]12月代理实际分时电量'!$C:$C,0))</f>
        <v>1.60737</v>
      </c>
      <c r="AA47" s="73" cm="1">
        <f t="array" ref="AA47">0.5*INDEX('[1]12月代理实际分时电量'!AA:AA,MATCH($A47-7,'[1]12月代理实际分时电量'!$C:$C,0))+0.3*INDEX('[1]12月代理实际分时电量'!AA:AA,MATCH($A47-14,'[1]12月代理实际分时电量'!$C:$C,0))+0.2*INDEX('[1]12月代理实际分时电量'!AA:AA,MATCH($A47-21,'[1]12月代理实际分时电量'!$C:$C,0))</f>
        <v>1.318942</v>
      </c>
      <c r="AB47" s="73" cm="1">
        <f t="array" ref="AB47">0.5*INDEX('[1]12月代理实际分时电量'!AB:AB,MATCH($A47-7,'[1]12月代理实际分时电量'!$C:$C,0))+0.3*INDEX('[1]12月代理实际分时电量'!AB:AB,MATCH($A47-14,'[1]12月代理实际分时电量'!$C:$C,0))+0.2*INDEX('[1]12月代理实际分时电量'!AB:AB,MATCH($A47-21,'[1]12月代理实际分时电量'!$C:$C,0))</f>
        <v>1.15602</v>
      </c>
      <c r="AC47" s="81"/>
    </row>
    <row r="48" spans="1:29">
      <c r="A48" s="4"/>
      <c r="B48" s="68"/>
      <c r="C48" s="2" t="s">
        <v>35</v>
      </c>
      <c r="D48" s="3">
        <f>D49/D47</f>
        <v>0.838392260768064</v>
      </c>
      <c r="E48" s="79">
        <v>0.9</v>
      </c>
      <c r="F48" s="80">
        <v>0.9</v>
      </c>
      <c r="G48" s="80">
        <v>0.9</v>
      </c>
      <c r="H48" s="80">
        <v>0.9</v>
      </c>
      <c r="I48" s="80">
        <v>0.9</v>
      </c>
      <c r="J48" s="80">
        <v>0.9</v>
      </c>
      <c r="K48" s="80">
        <v>0.9</v>
      </c>
      <c r="L48" s="80">
        <v>0.9</v>
      </c>
      <c r="M48" s="80">
        <v>0.9</v>
      </c>
      <c r="N48" s="80">
        <v>0.8</v>
      </c>
      <c r="O48" s="80">
        <v>0.8</v>
      </c>
      <c r="P48" s="80">
        <v>0.8</v>
      </c>
      <c r="Q48" s="80">
        <v>0.8</v>
      </c>
      <c r="R48" s="80">
        <v>0.8</v>
      </c>
      <c r="S48" s="80">
        <v>0.8</v>
      </c>
      <c r="T48" s="80">
        <v>0.9</v>
      </c>
      <c r="U48" s="80">
        <v>0.9</v>
      </c>
      <c r="V48" s="80">
        <v>0.8</v>
      </c>
      <c r="W48" s="80">
        <v>0.8</v>
      </c>
      <c r="X48" s="80">
        <v>0.8</v>
      </c>
      <c r="Y48" s="80">
        <v>0.8</v>
      </c>
      <c r="Z48" s="80">
        <v>0.8</v>
      </c>
      <c r="AA48" s="80">
        <v>0.8</v>
      </c>
      <c r="AB48" s="80">
        <v>0.8</v>
      </c>
      <c r="AC48" s="81"/>
    </row>
    <row r="49" spans="1:29">
      <c r="A49" s="4"/>
      <c r="B49" s="68"/>
      <c r="C49" s="2" t="s">
        <v>36</v>
      </c>
      <c r="D49" s="3">
        <f>SUM(E49:AB49)</f>
        <v>35.542</v>
      </c>
      <c r="E49" s="13">
        <f t="shared" ref="E49:AB49" si="18">ROUND(E47*E48,3)</f>
        <v>0.916</v>
      </c>
      <c r="F49" s="13">
        <f t="shared" si="18"/>
        <v>0.974</v>
      </c>
      <c r="G49" s="13">
        <f t="shared" si="18"/>
        <v>0.941</v>
      </c>
      <c r="H49" s="13">
        <f t="shared" si="18"/>
        <v>0.941</v>
      </c>
      <c r="I49" s="13">
        <f t="shared" si="18"/>
        <v>0.915</v>
      </c>
      <c r="J49" s="13">
        <f t="shared" si="18"/>
        <v>0.952</v>
      </c>
      <c r="K49" s="13">
        <f t="shared" si="18"/>
        <v>0.916</v>
      </c>
      <c r="L49" s="13">
        <f t="shared" si="18"/>
        <v>1.249</v>
      </c>
      <c r="M49" s="13">
        <f t="shared" si="18"/>
        <v>2.303</v>
      </c>
      <c r="N49" s="13">
        <f t="shared" si="18"/>
        <v>2.121</v>
      </c>
      <c r="O49" s="13">
        <f t="shared" si="18"/>
        <v>1.87</v>
      </c>
      <c r="P49" s="13">
        <f t="shared" si="18"/>
        <v>1.78</v>
      </c>
      <c r="Q49" s="13">
        <f t="shared" si="18"/>
        <v>1.373</v>
      </c>
      <c r="R49" s="13">
        <f t="shared" si="18"/>
        <v>1.616</v>
      </c>
      <c r="S49" s="13">
        <f t="shared" si="18"/>
        <v>2.009</v>
      </c>
      <c r="T49" s="13">
        <f t="shared" si="18"/>
        <v>2.193</v>
      </c>
      <c r="U49" s="13">
        <f t="shared" si="18"/>
        <v>2.33</v>
      </c>
      <c r="V49" s="13">
        <f t="shared" si="18"/>
        <v>1.915</v>
      </c>
      <c r="W49" s="13">
        <f t="shared" si="18"/>
        <v>1.685</v>
      </c>
      <c r="X49" s="13">
        <f t="shared" si="18"/>
        <v>1.76</v>
      </c>
      <c r="Y49" s="13">
        <f t="shared" si="18"/>
        <v>1.517</v>
      </c>
      <c r="Z49" s="13">
        <f t="shared" si="18"/>
        <v>1.286</v>
      </c>
      <c r="AA49" s="13">
        <f t="shared" si="18"/>
        <v>1.055</v>
      </c>
      <c r="AB49" s="13">
        <f t="shared" si="18"/>
        <v>0.925</v>
      </c>
      <c r="AC49" s="81"/>
    </row>
    <row r="50" ht="17" spans="1:29">
      <c r="A50" s="4"/>
      <c r="B50" s="68"/>
      <c r="C50" s="66" t="s">
        <v>37</v>
      </c>
      <c r="D50" s="3">
        <f>SUM(E50:AB50)</f>
        <v>66.8091</v>
      </c>
      <c r="E50" s="13">
        <v>1.6446</v>
      </c>
      <c r="F50" s="13">
        <v>1.6273</v>
      </c>
      <c r="G50" s="13">
        <v>1.6159</v>
      </c>
      <c r="H50" s="13">
        <v>1.5548</v>
      </c>
      <c r="I50" s="13">
        <v>1.634</v>
      </c>
      <c r="J50" s="13">
        <v>1.6853</v>
      </c>
      <c r="K50" s="13">
        <v>1.614</v>
      </c>
      <c r="L50" s="13">
        <v>2.0254</v>
      </c>
      <c r="M50" s="13">
        <v>3.9278</v>
      </c>
      <c r="N50" s="13">
        <v>4.2892</v>
      </c>
      <c r="O50" s="13">
        <v>3.6067</v>
      </c>
      <c r="P50" s="13">
        <v>3.619</v>
      </c>
      <c r="Q50" s="13">
        <v>2.9539</v>
      </c>
      <c r="R50" s="13">
        <v>3.5061</v>
      </c>
      <c r="S50" s="13">
        <v>4.0664</v>
      </c>
      <c r="T50" s="13">
        <v>3.9457</v>
      </c>
      <c r="U50" s="13">
        <v>3.9824</v>
      </c>
      <c r="V50" s="13">
        <v>3.7209</v>
      </c>
      <c r="W50" s="13">
        <v>3.2885</v>
      </c>
      <c r="X50" s="13">
        <v>3.4812</v>
      </c>
      <c r="Y50" s="13">
        <v>2.9759</v>
      </c>
      <c r="Z50" s="13">
        <v>2.4938</v>
      </c>
      <c r="AA50" s="13">
        <v>1.9705</v>
      </c>
      <c r="AB50" s="13">
        <v>1.5798</v>
      </c>
      <c r="AC50" s="81"/>
    </row>
    <row r="51" spans="1:29">
      <c r="A51" s="69"/>
      <c r="B51" s="68"/>
      <c r="C51" s="64" t="s">
        <v>38</v>
      </c>
      <c r="D51" s="70">
        <f>D50/D47</f>
        <v>1.57594486491699</v>
      </c>
      <c r="E51" s="76">
        <f t="shared" ref="E51:AB51" si="19">1-ABS(E47-E50)/E50</f>
        <v>0.618664720904779</v>
      </c>
      <c r="F51" s="76">
        <f t="shared" si="19"/>
        <v>0.665090026424138</v>
      </c>
      <c r="G51" s="76">
        <f t="shared" si="19"/>
        <v>0.647039420756235</v>
      </c>
      <c r="H51" s="76">
        <f t="shared" si="19"/>
        <v>0.672809364548495</v>
      </c>
      <c r="I51" s="76">
        <f t="shared" si="19"/>
        <v>0.621928396572827</v>
      </c>
      <c r="J51" s="76">
        <f t="shared" si="19"/>
        <v>0.627710793330564</v>
      </c>
      <c r="K51" s="76">
        <f t="shared" si="19"/>
        <v>0.630428128872367</v>
      </c>
      <c r="L51" s="76">
        <f t="shared" si="19"/>
        <v>0.685094796089661</v>
      </c>
      <c r="M51" s="76">
        <f t="shared" si="19"/>
        <v>0.651486837415347</v>
      </c>
      <c r="N51" s="76">
        <f t="shared" si="19"/>
        <v>0.617991000652802</v>
      </c>
      <c r="O51" s="76">
        <f t="shared" si="19"/>
        <v>0.647939945102171</v>
      </c>
      <c r="P51" s="76">
        <f t="shared" si="19"/>
        <v>0.614777010223819</v>
      </c>
      <c r="Q51" s="76">
        <f t="shared" si="19"/>
        <v>0.580930634076983</v>
      </c>
      <c r="R51" s="76">
        <f t="shared" si="19"/>
        <v>0.575988705399161</v>
      </c>
      <c r="S51" s="76">
        <f t="shared" si="19"/>
        <v>0.617432864450128</v>
      </c>
      <c r="T51" s="76">
        <f t="shared" si="19"/>
        <v>0.617584965912259</v>
      </c>
      <c r="U51" s="76">
        <f t="shared" si="19"/>
        <v>0.650114503816794</v>
      </c>
      <c r="V51" s="76">
        <f t="shared" si="19"/>
        <v>0.643260501491575</v>
      </c>
      <c r="W51" s="76">
        <f t="shared" si="19"/>
        <v>0.64060057777102</v>
      </c>
      <c r="X51" s="76">
        <f t="shared" si="19"/>
        <v>0.632014822475009</v>
      </c>
      <c r="Y51" s="76">
        <f t="shared" si="19"/>
        <v>0.637245203131826</v>
      </c>
      <c r="Z51" s="76">
        <f t="shared" si="19"/>
        <v>0.644546475258641</v>
      </c>
      <c r="AA51" s="76">
        <f t="shared" si="19"/>
        <v>0.669343821365136</v>
      </c>
      <c r="AB51" s="76">
        <f t="shared" si="19"/>
        <v>0.731750854538549</v>
      </c>
      <c r="AC51" s="81"/>
    </row>
    <row r="52" spans="1:29">
      <c r="A52" s="4">
        <v>46002</v>
      </c>
      <c r="B52" s="67"/>
      <c r="C52" s="2" t="s">
        <v>33</v>
      </c>
      <c r="D52" s="3">
        <f>SUM(E52:AB52)</f>
        <v>64.91835</v>
      </c>
      <c r="E52" s="73" cm="1">
        <f t="array" ref="E52">0.5*INDEX('[1]12月代理实际分时电量'!E:E,MATCH($A52-7,'[1]12月代理实际分时电量'!$C:$C,0))+0.3*INDEX('[1]12月代理实际分时电量'!E:E,MATCH($A52-14,'[1]12月代理实际分时电量'!$C:$C,0))+0.2*INDEX('[1]12月代理实际分时电量'!E:E,MATCH($A52-21,'[1]12月代理实际分时电量'!$C:$C,0))</f>
        <v>1.610438</v>
      </c>
      <c r="F52" s="73" cm="1">
        <f t="array" ref="F52">0.5*INDEX('[1]12月代理实际分时电量'!F:F,MATCH($A52-7,'[1]12月代理实际分时电量'!$C:$C,0))+0.3*INDEX('[1]12月代理实际分时电量'!F:F,MATCH($A52-14,'[1]12月代理实际分时电量'!$C:$C,0))+0.2*INDEX('[1]12月代理实际分时电量'!F:F,MATCH($A52-21,'[1]12月代理实际分时电量'!$C:$C,0))</f>
        <v>1.642075</v>
      </c>
      <c r="G52" s="73" cm="1">
        <f t="array" ref="G52">0.5*INDEX('[1]12月代理实际分时电量'!G:G,MATCH($A52-7,'[1]12月代理实际分时电量'!$C:$C,0))+0.3*INDEX('[1]12月代理实际分时电量'!G:G,MATCH($A52-14,'[1]12月代理实际分时电量'!$C:$C,0))+0.2*INDEX('[1]12月代理实际分时电量'!G:G,MATCH($A52-21,'[1]12月代理实际分时电量'!$C:$C,0))</f>
        <v>1.57959</v>
      </c>
      <c r="H52" s="73" cm="1">
        <f t="array" ref="H52">0.5*INDEX('[1]12月代理实际分时电量'!H:H,MATCH($A52-7,'[1]12月代理实际分时电量'!$C:$C,0))+0.3*INDEX('[1]12月代理实际分时电量'!H:H,MATCH($A52-14,'[1]12月代理实际分时电量'!$C:$C,0))+0.2*INDEX('[1]12月代理实际分时电量'!H:H,MATCH($A52-21,'[1]12月代理实际分时电量'!$C:$C,0))</f>
        <v>1.60301</v>
      </c>
      <c r="I52" s="73" cm="1">
        <f t="array" ref="I52">0.5*INDEX('[1]12月代理实际分时电量'!I:I,MATCH($A52-7,'[1]12月代理实际分时电量'!$C:$C,0))+0.3*INDEX('[1]12月代理实际分时电量'!I:I,MATCH($A52-14,'[1]12月代理实际分时电量'!$C:$C,0))+0.2*INDEX('[1]12月代理实际分时电量'!I:I,MATCH($A52-21,'[1]12月代理实际分时电量'!$C:$C,0))</f>
        <v>1.589737</v>
      </c>
      <c r="J52" s="73" cm="1">
        <f t="array" ref="J52">0.5*INDEX('[1]12月代理实际分时电量'!J:J,MATCH($A52-7,'[1]12月代理实际分时电量'!$C:$C,0))+0.3*INDEX('[1]12月代理实际分时电量'!J:J,MATCH($A52-14,'[1]12月代理实际分时电量'!$C:$C,0))+0.2*INDEX('[1]12月代理实际分时电量'!J:J,MATCH($A52-21,'[1]12月代理实际分时电量'!$C:$C,0))</f>
        <v>1.58652</v>
      </c>
      <c r="K52" s="73" cm="1">
        <f t="array" ref="K52">0.5*INDEX('[1]12月代理实际分时电量'!K:K,MATCH($A52-7,'[1]12月代理实际分时电量'!$C:$C,0))+0.3*INDEX('[1]12月代理实际分时电量'!K:K,MATCH($A52-14,'[1]12月代理实际分时电量'!$C:$C,0))+0.2*INDEX('[1]12月代理实际分时电量'!K:K,MATCH($A52-21,'[1]12月代理实际分时电量'!$C:$C,0))</f>
        <v>1.532812</v>
      </c>
      <c r="L52" s="73" cm="1">
        <f t="array" ref="L52">0.5*INDEX('[1]12月代理实际分时电量'!L:L,MATCH($A52-7,'[1]12月代理实际分时电量'!$C:$C,0))+0.3*INDEX('[1]12月代理实际分时电量'!L:L,MATCH($A52-14,'[1]12月代理实际分时电量'!$C:$C,0))+0.2*INDEX('[1]12月代理实际分时电量'!L:L,MATCH($A52-21,'[1]12月代理实际分时电量'!$C:$C,0))</f>
        <v>1.950245</v>
      </c>
      <c r="M52" s="73" cm="1">
        <f t="array" ref="M52">0.5*INDEX('[1]12月代理实际分时电量'!M:M,MATCH($A52-7,'[1]12月代理实际分时电量'!$C:$C,0))+0.3*INDEX('[1]12月代理实际分时电量'!M:M,MATCH($A52-14,'[1]12月代理实际分时电量'!$C:$C,0))+0.2*INDEX('[1]12月代理实际分时电量'!M:M,MATCH($A52-21,'[1]12月代理实际分时电量'!$C:$C,0))</f>
        <v>3.931396</v>
      </c>
      <c r="N52" s="73" cm="1">
        <f t="array" ref="N52">0.5*INDEX('[1]12月代理实际分时电量'!N:N,MATCH($A52-7,'[1]12月代理实际分时电量'!$C:$C,0))+0.3*INDEX('[1]12月代理实际分时电量'!N:N,MATCH($A52-14,'[1]12月代理实际分时电量'!$C:$C,0))+0.2*INDEX('[1]12月代理实际分时电量'!N:N,MATCH($A52-21,'[1]12月代理实际分时电量'!$C:$C,0))</f>
        <v>4.203068</v>
      </c>
      <c r="O52" s="73" cm="1">
        <f t="array" ref="O52">0.5*INDEX('[1]12月代理实际分时电量'!O:O,MATCH($A52-7,'[1]12月代理实际分时电量'!$C:$C,0))+0.3*INDEX('[1]12月代理实际分时电量'!O:O,MATCH($A52-14,'[1]12月代理实际分时电量'!$C:$C,0))+0.2*INDEX('[1]12月代理实际分时电量'!O:O,MATCH($A52-21,'[1]12月代理实际分时电量'!$C:$C,0))</f>
        <v>3.659454</v>
      </c>
      <c r="P52" s="73" cm="1">
        <f t="array" ref="P52">0.5*INDEX('[1]12月代理实际分时电量'!P:P,MATCH($A52-7,'[1]12月代理实际分时电量'!$C:$C,0))+0.3*INDEX('[1]12月代理实际分时电量'!P:P,MATCH($A52-14,'[1]12月代理实际分时电量'!$C:$C,0))+0.2*INDEX('[1]12月代理实际分时电量'!P:P,MATCH($A52-21,'[1]12月代理实际分时电量'!$C:$C,0))</f>
        <v>3.383056</v>
      </c>
      <c r="Q52" s="73" cm="1">
        <f t="array" ref="Q52">0.5*INDEX('[1]12月代理实际分时电量'!Q:Q,MATCH($A52-7,'[1]12月代理实际分时电量'!$C:$C,0))+0.3*INDEX('[1]12月代理实际分时电量'!Q:Q,MATCH($A52-14,'[1]12月代理实际分时电量'!$C:$C,0))+0.2*INDEX('[1]12月代理实际分时电量'!Q:Q,MATCH($A52-21,'[1]12月代理实际分时电量'!$C:$C,0))</f>
        <v>2.796657</v>
      </c>
      <c r="R52" s="73" cm="1">
        <f t="array" ref="R52">0.5*INDEX('[1]12月代理实际分时电量'!R:R,MATCH($A52-7,'[1]12月代理实际分时电量'!$C:$C,0))+0.3*INDEX('[1]12月代理实际分时电量'!R:R,MATCH($A52-14,'[1]12月代理实际分时电量'!$C:$C,0))+0.2*INDEX('[1]12月代理实际分时电量'!R:R,MATCH($A52-21,'[1]12月代理实际分时电量'!$C:$C,0))</f>
        <v>3.243519</v>
      </c>
      <c r="S52" s="73" cm="1">
        <f t="array" ref="S52">0.5*INDEX('[1]12月代理实际分时电量'!S:S,MATCH($A52-7,'[1]12月代理实际分时电量'!$C:$C,0))+0.3*INDEX('[1]12月代理实际分时电量'!S:S,MATCH($A52-14,'[1]12月代理实际分时电量'!$C:$C,0))+0.2*INDEX('[1]12月代理实际分时电量'!S:S,MATCH($A52-21,'[1]12月代理实际分时电量'!$C:$C,0))</f>
        <v>3.857325</v>
      </c>
      <c r="T52" s="73" cm="1">
        <f t="array" ref="T52">0.5*INDEX('[1]12月代理实际分时电量'!T:T,MATCH($A52-7,'[1]12月代理实际分时电量'!$C:$C,0))+0.3*INDEX('[1]12月代理实际分时电量'!T:T,MATCH($A52-14,'[1]12月代理实际分时电量'!$C:$C,0))+0.2*INDEX('[1]12月代理实际分时电量'!T:T,MATCH($A52-21,'[1]12月代理实际分时电量'!$C:$C,0))</f>
        <v>3.644447</v>
      </c>
      <c r="U52" s="73" cm="1">
        <f t="array" ref="U52">0.5*INDEX('[1]12月代理实际分时电量'!U:U,MATCH($A52-7,'[1]12月代理实际分时电量'!$C:$C,0))+0.3*INDEX('[1]12月代理实际分时电量'!U:U,MATCH($A52-14,'[1]12月代理实际分时电量'!$C:$C,0))+0.2*INDEX('[1]12月代理实际分时电量'!U:U,MATCH($A52-21,'[1]12月代理实际分时电量'!$C:$C,0))</f>
        <v>3.80044</v>
      </c>
      <c r="V52" s="73" cm="1">
        <f t="array" ref="V52">0.5*INDEX('[1]12月代理实际分时电量'!V:V,MATCH($A52-7,'[1]12月代理实际分时电量'!$C:$C,0))+0.3*INDEX('[1]12月代理实际分时电量'!V:V,MATCH($A52-14,'[1]12月代理实际分时电量'!$C:$C,0))+0.2*INDEX('[1]12月代理实际分时电量'!V:V,MATCH($A52-21,'[1]12月代理实际分时电量'!$C:$C,0))</f>
        <v>3.661161</v>
      </c>
      <c r="W52" s="73" cm="1">
        <f t="array" ref="W52">0.5*INDEX('[1]12月代理实际分时电量'!W:W,MATCH($A52-7,'[1]12月代理实际分时电量'!$C:$C,0))+0.3*INDEX('[1]12月代理实际分时电量'!W:W,MATCH($A52-14,'[1]12月代理实际分时电量'!$C:$C,0))+0.2*INDEX('[1]12月代理实际分时电量'!W:W,MATCH($A52-21,'[1]12月代理实际分时电量'!$C:$C,0))</f>
        <v>3.312959</v>
      </c>
      <c r="X52" s="73" cm="1">
        <f t="array" ref="X52">0.5*INDEX('[1]12月代理实际分时电量'!X:X,MATCH($A52-7,'[1]12月代理实际分时电量'!$C:$C,0))+0.3*INDEX('[1]12月代理实际分时电量'!X:X,MATCH($A52-14,'[1]12月代理实际分时电量'!$C:$C,0))+0.2*INDEX('[1]12月代理实际分时电量'!X:X,MATCH($A52-21,'[1]12月代理实际分时电量'!$C:$C,0))</f>
        <v>3.342913</v>
      </c>
      <c r="Y52" s="73" cm="1">
        <f t="array" ref="Y52">0.5*INDEX('[1]12月代理实际分时电量'!Y:Y,MATCH($A52-7,'[1]12月代理实际分时电量'!$C:$C,0))+0.3*INDEX('[1]12月代理实际分时电量'!Y:Y,MATCH($A52-14,'[1]12月代理实际分时电量'!$C:$C,0))+0.2*INDEX('[1]12月代理实际分时电量'!Y:Y,MATCH($A52-21,'[1]12月代理实际分时电量'!$C:$C,0))</f>
        <v>2.87651</v>
      </c>
      <c r="Z52" s="73" cm="1">
        <f t="array" ref="Z52">0.5*INDEX('[1]12月代理实际分时电量'!Z:Z,MATCH($A52-7,'[1]12月代理实际分时电量'!$C:$C,0))+0.3*INDEX('[1]12月代理实际分时电量'!Z:Z,MATCH($A52-14,'[1]12月代理实际分时电量'!$C:$C,0))+0.2*INDEX('[1]12月代理实际分时电量'!Z:Z,MATCH($A52-21,'[1]12月代理实际分时电量'!$C:$C,0))</f>
        <v>2.36796</v>
      </c>
      <c r="AA52" s="73" cm="1">
        <f t="array" ref="AA52">0.5*INDEX('[1]12月代理实际分时电量'!AA:AA,MATCH($A52-7,'[1]12月代理实际分时电量'!$C:$C,0))+0.3*INDEX('[1]12月代理实际分时电量'!AA:AA,MATCH($A52-14,'[1]12月代理实际分时电量'!$C:$C,0))+0.2*INDEX('[1]12月代理实际分时电量'!AA:AA,MATCH($A52-21,'[1]12月代理实际分时电量'!$C:$C,0))</f>
        <v>1.989978</v>
      </c>
      <c r="AB52" s="73" cm="1">
        <f t="array" ref="AB52">0.5*INDEX('[1]12月代理实际分时电量'!AB:AB,MATCH($A52-7,'[1]12月代理实际分时电量'!$C:$C,0))+0.3*INDEX('[1]12月代理实际分时电量'!AB:AB,MATCH($A52-14,'[1]12月代理实际分时电量'!$C:$C,0))+0.2*INDEX('[1]12月代理实际分时电量'!AB:AB,MATCH($A52-21,'[1]12月代理实际分时电量'!$C:$C,0))</f>
        <v>1.75308</v>
      </c>
      <c r="AC52" s="81"/>
    </row>
    <row r="53" spans="1:29">
      <c r="A53" s="4"/>
      <c r="B53" s="68"/>
      <c r="C53" s="2" t="s">
        <v>35</v>
      </c>
      <c r="D53" s="3">
        <f>D54/D52</f>
        <v>0.912145795449207</v>
      </c>
      <c r="E53" s="74">
        <v>1</v>
      </c>
      <c r="F53" s="75">
        <v>0.9</v>
      </c>
      <c r="G53" s="75">
        <v>0.8</v>
      </c>
      <c r="H53" s="75">
        <v>0.8</v>
      </c>
      <c r="I53" s="75">
        <v>0.8</v>
      </c>
      <c r="J53" s="75">
        <v>0.8</v>
      </c>
      <c r="K53" s="75">
        <v>0.8</v>
      </c>
      <c r="L53" s="75">
        <v>0.9</v>
      </c>
      <c r="M53" s="75">
        <v>1</v>
      </c>
      <c r="N53" s="75">
        <v>1</v>
      </c>
      <c r="O53" s="75">
        <v>0.9</v>
      </c>
      <c r="P53" s="75">
        <v>0.8</v>
      </c>
      <c r="Q53" s="75">
        <v>0.8</v>
      </c>
      <c r="R53" s="75">
        <v>0.8</v>
      </c>
      <c r="S53" s="75">
        <v>0.8</v>
      </c>
      <c r="T53" s="75">
        <v>0.8</v>
      </c>
      <c r="U53" s="75">
        <v>0.9</v>
      </c>
      <c r="V53" s="75">
        <v>1.1</v>
      </c>
      <c r="W53" s="75">
        <v>1</v>
      </c>
      <c r="X53" s="75">
        <v>1</v>
      </c>
      <c r="Y53" s="75">
        <v>1</v>
      </c>
      <c r="Z53" s="75">
        <v>1</v>
      </c>
      <c r="AA53" s="75">
        <v>1</v>
      </c>
      <c r="AB53" s="75">
        <v>1</v>
      </c>
      <c r="AC53" s="81"/>
    </row>
    <row r="54" spans="1:29">
      <c r="A54" s="4"/>
      <c r="B54" s="68"/>
      <c r="C54" s="2" t="s">
        <v>36</v>
      </c>
      <c r="D54" s="3">
        <f>SUM(E54:AB54)</f>
        <v>59.215</v>
      </c>
      <c r="E54" s="13">
        <f t="shared" ref="E54:AB54" si="20">ROUND(E52*E53,3)</f>
        <v>1.61</v>
      </c>
      <c r="F54" s="13">
        <f t="shared" si="20"/>
        <v>1.478</v>
      </c>
      <c r="G54" s="13">
        <f t="shared" si="20"/>
        <v>1.264</v>
      </c>
      <c r="H54" s="13">
        <f t="shared" si="20"/>
        <v>1.282</v>
      </c>
      <c r="I54" s="13">
        <f t="shared" si="20"/>
        <v>1.272</v>
      </c>
      <c r="J54" s="13">
        <f t="shared" si="20"/>
        <v>1.269</v>
      </c>
      <c r="K54" s="13">
        <f t="shared" si="20"/>
        <v>1.226</v>
      </c>
      <c r="L54" s="13">
        <f t="shared" si="20"/>
        <v>1.755</v>
      </c>
      <c r="M54" s="13">
        <f t="shared" si="20"/>
        <v>3.931</v>
      </c>
      <c r="N54" s="13">
        <f t="shared" si="20"/>
        <v>4.203</v>
      </c>
      <c r="O54" s="13">
        <f t="shared" si="20"/>
        <v>3.294</v>
      </c>
      <c r="P54" s="13">
        <f t="shared" si="20"/>
        <v>2.706</v>
      </c>
      <c r="Q54" s="13">
        <f t="shared" si="20"/>
        <v>2.237</v>
      </c>
      <c r="R54" s="13">
        <f t="shared" si="20"/>
        <v>2.595</v>
      </c>
      <c r="S54" s="13">
        <f t="shared" si="20"/>
        <v>3.086</v>
      </c>
      <c r="T54" s="13">
        <f t="shared" si="20"/>
        <v>2.916</v>
      </c>
      <c r="U54" s="13">
        <f t="shared" si="20"/>
        <v>3.42</v>
      </c>
      <c r="V54" s="13">
        <f t="shared" si="20"/>
        <v>4.027</v>
      </c>
      <c r="W54" s="13">
        <f t="shared" si="20"/>
        <v>3.313</v>
      </c>
      <c r="X54" s="13">
        <f t="shared" si="20"/>
        <v>3.343</v>
      </c>
      <c r="Y54" s="13">
        <f t="shared" si="20"/>
        <v>2.877</v>
      </c>
      <c r="Z54" s="13">
        <f t="shared" si="20"/>
        <v>2.368</v>
      </c>
      <c r="AA54" s="13">
        <f t="shared" si="20"/>
        <v>1.99</v>
      </c>
      <c r="AB54" s="13">
        <f t="shared" si="20"/>
        <v>1.753</v>
      </c>
      <c r="AC54" s="81"/>
    </row>
    <row r="55" ht="17" spans="1:29">
      <c r="A55" s="4"/>
      <c r="B55" s="68"/>
      <c r="C55" s="66" t="s">
        <v>37</v>
      </c>
      <c r="D55" s="3">
        <f>SUM(E55:AB55)</f>
        <v>67.6875</v>
      </c>
      <c r="E55" s="13">
        <v>1.5969</v>
      </c>
      <c r="F55" s="13">
        <v>1.7024</v>
      </c>
      <c r="G55" s="13">
        <v>1.6045</v>
      </c>
      <c r="H55" s="13">
        <v>1.6812</v>
      </c>
      <c r="I55" s="13">
        <v>1.6012</v>
      </c>
      <c r="J55" s="13">
        <v>1.611</v>
      </c>
      <c r="K55" s="13">
        <v>1.563</v>
      </c>
      <c r="L55" s="13">
        <v>1.8924</v>
      </c>
      <c r="M55" s="13">
        <v>3.9873</v>
      </c>
      <c r="N55" s="13">
        <v>4.4796</v>
      </c>
      <c r="O55" s="13">
        <v>3.8009</v>
      </c>
      <c r="P55" s="13">
        <v>3.5078</v>
      </c>
      <c r="Q55" s="13">
        <v>2.7735</v>
      </c>
      <c r="R55" s="13">
        <v>3.3588</v>
      </c>
      <c r="S55" s="13">
        <v>4.1293</v>
      </c>
      <c r="T55" s="13">
        <v>3.9898</v>
      </c>
      <c r="U55" s="13">
        <v>4.2609</v>
      </c>
      <c r="V55" s="13">
        <v>3.9068</v>
      </c>
      <c r="W55" s="13">
        <v>3.3924</v>
      </c>
      <c r="X55" s="13">
        <v>3.6102</v>
      </c>
      <c r="Y55" s="13">
        <v>3.1383</v>
      </c>
      <c r="Z55" s="13">
        <v>2.5487</v>
      </c>
      <c r="AA55" s="13">
        <v>1.9217</v>
      </c>
      <c r="AB55" s="13">
        <v>1.6289</v>
      </c>
      <c r="AC55" s="81"/>
    </row>
    <row r="56" spans="1:29">
      <c r="A56" s="69"/>
      <c r="B56" s="68"/>
      <c r="C56" s="64" t="s">
        <v>38</v>
      </c>
      <c r="D56" s="70">
        <f>D55/D52</f>
        <v>1.04265589005266</v>
      </c>
      <c r="E56" s="76">
        <f t="shared" ref="E56:AB56" si="21">1-ABS(E52-E55)/E55</f>
        <v>0.991522324503726</v>
      </c>
      <c r="F56" s="76">
        <f t="shared" si="21"/>
        <v>0.964564732142857</v>
      </c>
      <c r="G56" s="76">
        <f t="shared" si="21"/>
        <v>0.984474914303521</v>
      </c>
      <c r="H56" s="76">
        <f t="shared" si="21"/>
        <v>0.953491553652153</v>
      </c>
      <c r="I56" s="76">
        <f t="shared" si="21"/>
        <v>0.992840994254309</v>
      </c>
      <c r="J56" s="76">
        <f t="shared" si="21"/>
        <v>0.984804469273743</v>
      </c>
      <c r="K56" s="76">
        <f t="shared" si="21"/>
        <v>0.980685860524632</v>
      </c>
      <c r="L56" s="76">
        <f t="shared" si="21"/>
        <v>0.969432995138449</v>
      </c>
      <c r="M56" s="76">
        <f t="shared" si="21"/>
        <v>0.985979484864445</v>
      </c>
      <c r="N56" s="76">
        <f t="shared" si="21"/>
        <v>0.938268595410305</v>
      </c>
      <c r="O56" s="76">
        <f t="shared" si="21"/>
        <v>0.96278618222</v>
      </c>
      <c r="P56" s="76">
        <f t="shared" si="21"/>
        <v>0.964438109356292</v>
      </c>
      <c r="Q56" s="76">
        <f t="shared" si="21"/>
        <v>0.991650621957815</v>
      </c>
      <c r="R56" s="76">
        <f t="shared" si="21"/>
        <v>0.965677920685959</v>
      </c>
      <c r="S56" s="76">
        <f t="shared" si="21"/>
        <v>0.934135325599981</v>
      </c>
      <c r="T56" s="76">
        <f t="shared" si="21"/>
        <v>0.913441024612763</v>
      </c>
      <c r="U56" s="76">
        <f t="shared" si="21"/>
        <v>0.891933629045507</v>
      </c>
      <c r="V56" s="76">
        <f t="shared" si="21"/>
        <v>0.937125268762158</v>
      </c>
      <c r="W56" s="76">
        <f t="shared" si="21"/>
        <v>0.976582655347247</v>
      </c>
      <c r="X56" s="76">
        <f t="shared" si="21"/>
        <v>0.925963381530109</v>
      </c>
      <c r="Y56" s="76">
        <f t="shared" si="21"/>
        <v>0.916582226045948</v>
      </c>
      <c r="Z56" s="76">
        <f t="shared" si="21"/>
        <v>0.929085416094479</v>
      </c>
      <c r="AA56" s="76">
        <f t="shared" si="21"/>
        <v>0.964470000520373</v>
      </c>
      <c r="AB56" s="76">
        <f t="shared" si="21"/>
        <v>0.923764503652772</v>
      </c>
      <c r="AC56" s="81"/>
    </row>
    <row r="57" spans="1:29">
      <c r="A57" s="4">
        <v>46003</v>
      </c>
      <c r="B57" s="67"/>
      <c r="C57" s="2" t="s">
        <v>33</v>
      </c>
      <c r="D57" s="3">
        <f>SUM(E57:AB57)</f>
        <v>50.535303</v>
      </c>
      <c r="E57" s="73" cm="1">
        <f t="array" ref="E57">0.5*INDEX('[1]12月代理实际分时电量'!E:E,MATCH($A57-7,'[1]12月代理实际分时电量'!$C:$C,0))+0.3*INDEX('[1]12月代理实际分时电量'!E:E,MATCH($A57-14,'[1]12月代理实际分时电量'!$C:$C,0))+0.2*INDEX('[1]12月代理实际分时电量'!E:E,MATCH($A57-21,'[1]12月代理实际分时电量'!$C:$C,0))</f>
        <v>1.220562</v>
      </c>
      <c r="F57" s="73" cm="1">
        <f t="array" ref="F57">0.5*INDEX('[1]12月代理实际分时电量'!F:F,MATCH($A57-7,'[1]12月代理实际分时电量'!$C:$C,0))+0.3*INDEX('[1]12月代理实际分时电量'!F:F,MATCH($A57-14,'[1]12月代理实际分时电量'!$C:$C,0))+0.2*INDEX('[1]12月代理实际分时电量'!F:F,MATCH($A57-21,'[1]12月代理实际分时电量'!$C:$C,0))</f>
        <v>1.20021</v>
      </c>
      <c r="G57" s="73" cm="1">
        <f t="array" ref="G57">0.5*INDEX('[1]12月代理实际分时电量'!G:G,MATCH($A57-7,'[1]12月代理实际分时电量'!$C:$C,0))+0.3*INDEX('[1]12月代理实际分时电量'!G:G,MATCH($A57-14,'[1]12月代理实际分时电量'!$C:$C,0))+0.2*INDEX('[1]12月代理实际分时电量'!G:G,MATCH($A57-21,'[1]12月代理实际分时电量'!$C:$C,0))</f>
        <v>1.19288</v>
      </c>
      <c r="H57" s="73" cm="1">
        <f t="array" ref="H57">0.5*INDEX('[1]12月代理实际分时电量'!H:H,MATCH($A57-7,'[1]12月代理实际分时电量'!$C:$C,0))+0.3*INDEX('[1]12月代理实际分时电量'!H:H,MATCH($A57-14,'[1]12月代理实际分时电量'!$C:$C,0))+0.2*INDEX('[1]12月代理实际分时电量'!H:H,MATCH($A57-21,'[1]12月代理实际分时电量'!$C:$C,0))</f>
        <v>1.173278</v>
      </c>
      <c r="I57" s="73" cm="1">
        <f t="array" ref="I57">0.5*INDEX('[1]12月代理实际分时电量'!I:I,MATCH($A57-7,'[1]12月代理实际分时电量'!$C:$C,0))+0.3*INDEX('[1]12月代理实际分时电量'!I:I,MATCH($A57-14,'[1]12月代理实际分时电量'!$C:$C,0))+0.2*INDEX('[1]12月代理实际分时电量'!I:I,MATCH($A57-21,'[1]12月代理实际分时电量'!$C:$C,0))</f>
        <v>1.16563</v>
      </c>
      <c r="J57" s="73" cm="1">
        <f t="array" ref="J57">0.5*INDEX('[1]12月代理实际分时电量'!J:J,MATCH($A57-7,'[1]12月代理实际分时电量'!$C:$C,0))+0.3*INDEX('[1]12月代理实际分时电量'!J:J,MATCH($A57-14,'[1]12月代理实际分时电量'!$C:$C,0))+0.2*INDEX('[1]12月代理实际分时电量'!J:J,MATCH($A57-21,'[1]12月代理实际分时电量'!$C:$C,0))</f>
        <v>1.129475</v>
      </c>
      <c r="K57" s="73" cm="1">
        <f t="array" ref="K57">0.5*INDEX('[1]12月代理实际分时电量'!K:K,MATCH($A57-7,'[1]12月代理实际分时电量'!$C:$C,0))+0.3*INDEX('[1]12月代理实际分时电量'!K:K,MATCH($A57-14,'[1]12月代理实际分时电量'!$C:$C,0))+0.2*INDEX('[1]12月代理实际分时电量'!K:K,MATCH($A57-21,'[1]12月代理实际分时电量'!$C:$C,0))</f>
        <v>1.115992</v>
      </c>
      <c r="L57" s="73" cm="1">
        <f t="array" ref="L57">0.5*INDEX('[1]12月代理实际分时电量'!L:L,MATCH($A57-7,'[1]12月代理实际分时电量'!$C:$C,0))+0.3*INDEX('[1]12月代理实际分时电量'!L:L,MATCH($A57-14,'[1]12月代理实际分时电量'!$C:$C,0))+0.2*INDEX('[1]12月代理实际分时电量'!L:L,MATCH($A57-21,'[1]12月代理实际分时电量'!$C:$C,0))</f>
        <v>1.53812</v>
      </c>
      <c r="M57" s="73" cm="1">
        <f t="array" ref="M57">0.5*INDEX('[1]12月代理实际分时电量'!M:M,MATCH($A57-7,'[1]12月代理实际分时电量'!$C:$C,0))+0.3*INDEX('[1]12月代理实际分时电量'!M:M,MATCH($A57-14,'[1]12月代理实际分时电量'!$C:$C,0))+0.2*INDEX('[1]12月代理实际分时电量'!M:M,MATCH($A57-21,'[1]12月代理实际分时电量'!$C:$C,0))</f>
        <v>3.055128</v>
      </c>
      <c r="N57" s="73" cm="1">
        <f t="array" ref="N57">0.5*INDEX('[1]12月代理实际分时电量'!N:N,MATCH($A57-7,'[1]12月代理实际分时电量'!$C:$C,0))+0.3*INDEX('[1]12月代理实际分时电量'!N:N,MATCH($A57-14,'[1]12月代理实际分时电量'!$C:$C,0))+0.2*INDEX('[1]12月代理实际分时电量'!N:N,MATCH($A57-21,'[1]12月代理实际分时电量'!$C:$C,0))</f>
        <v>3.212971</v>
      </c>
      <c r="O57" s="73" cm="1">
        <f t="array" ref="O57">0.5*INDEX('[1]12月代理实际分时电量'!O:O,MATCH($A57-7,'[1]12月代理实际分时电量'!$C:$C,0))+0.3*INDEX('[1]12月代理实际分时电量'!O:O,MATCH($A57-14,'[1]12月代理实际分时电量'!$C:$C,0))+0.2*INDEX('[1]12月代理实际分时电量'!O:O,MATCH($A57-21,'[1]12月代理实际分时电量'!$C:$C,0))</f>
        <v>2.851397</v>
      </c>
      <c r="P57" s="73" cm="1">
        <f t="array" ref="P57">0.5*INDEX('[1]12月代理实际分时电量'!P:P,MATCH($A57-7,'[1]12月代理实际分时电量'!$C:$C,0))+0.3*INDEX('[1]12月代理实际分时电量'!P:P,MATCH($A57-14,'[1]12月代理实际分时电量'!$C:$C,0))+0.2*INDEX('[1]12月代理实际分时电量'!P:P,MATCH($A57-21,'[1]12月代理实际分时电量'!$C:$C,0))</f>
        <v>2.715028</v>
      </c>
      <c r="Q57" s="73" cm="1">
        <f t="array" ref="Q57">0.5*INDEX('[1]12月代理实际分时电量'!Q:Q,MATCH($A57-7,'[1]12月代理实际分时电量'!$C:$C,0))+0.3*INDEX('[1]12月代理实际分时电量'!Q:Q,MATCH($A57-14,'[1]12月代理实际分时电量'!$C:$C,0))+0.2*INDEX('[1]12月代理实际分时电量'!Q:Q,MATCH($A57-21,'[1]12月代理实际分时电量'!$C:$C,0))</f>
        <v>1.97411</v>
      </c>
      <c r="R57" s="73" cm="1">
        <f t="array" ref="R57">0.5*INDEX('[1]12月代理实际分时电量'!R:R,MATCH($A57-7,'[1]12月代理实际分时电量'!$C:$C,0))+0.3*INDEX('[1]12月代理实际分时电量'!R:R,MATCH($A57-14,'[1]12月代理实际分时电量'!$C:$C,0))+0.2*INDEX('[1]12月代理实际分时电量'!R:R,MATCH($A57-21,'[1]12月代理实际分时电量'!$C:$C,0))</f>
        <v>2.332569</v>
      </c>
      <c r="S57" s="73" cm="1">
        <f t="array" ref="S57">0.5*INDEX('[1]12月代理实际分时电量'!S:S,MATCH($A57-7,'[1]12月代理实际分时电量'!$C:$C,0))+0.3*INDEX('[1]12月代理实际分时电量'!S:S,MATCH($A57-14,'[1]12月代理实际分时电量'!$C:$C,0))+0.2*INDEX('[1]12月代理实际分时电量'!S:S,MATCH($A57-21,'[1]12月代理实际分时电量'!$C:$C,0))</f>
        <v>3.00842</v>
      </c>
      <c r="T57" s="73" cm="1">
        <f t="array" ref="T57">0.5*INDEX('[1]12月代理实际分时电量'!T:T,MATCH($A57-7,'[1]12月代理实际分时电量'!$C:$C,0))+0.3*INDEX('[1]12月代理实际分时电量'!T:T,MATCH($A57-14,'[1]12月代理实际分时电量'!$C:$C,0))+0.2*INDEX('[1]12月代理实际分时电量'!T:T,MATCH($A57-21,'[1]12月代理实际分时电量'!$C:$C,0))</f>
        <v>3.078225</v>
      </c>
      <c r="U57" s="73" cm="1">
        <f t="array" ref="U57">0.5*INDEX('[1]12月代理实际分时电量'!U:U,MATCH($A57-7,'[1]12月代理实际分时电量'!$C:$C,0))+0.3*INDEX('[1]12月代理实际分时电量'!U:U,MATCH($A57-14,'[1]12月代理实际分时电量'!$C:$C,0))+0.2*INDEX('[1]12月代理实际分时电量'!U:U,MATCH($A57-21,'[1]12月代理实际分时电量'!$C:$C,0))</f>
        <v>3.130158</v>
      </c>
      <c r="V57" s="73" cm="1">
        <f t="array" ref="V57">0.5*INDEX('[1]12月代理实际分时电量'!V:V,MATCH($A57-7,'[1]12月代理实际分时电量'!$C:$C,0))+0.3*INDEX('[1]12月代理实际分时电量'!V:V,MATCH($A57-14,'[1]12月代理实际分时电量'!$C:$C,0))+0.2*INDEX('[1]12月代理实际分时电量'!V:V,MATCH($A57-21,'[1]12月代理实际分时电量'!$C:$C,0))</f>
        <v>2.980271</v>
      </c>
      <c r="W57" s="73" cm="1">
        <f t="array" ref="W57">0.5*INDEX('[1]12月代理实际分时电量'!W:W,MATCH($A57-7,'[1]12月代理实际分时电量'!$C:$C,0))+0.3*INDEX('[1]12月代理实际分时电量'!W:W,MATCH($A57-14,'[1]12月代理实际分时电量'!$C:$C,0))+0.2*INDEX('[1]12月代理实际分时电量'!W:W,MATCH($A57-21,'[1]12月代理实际分时电量'!$C:$C,0))</f>
        <v>2.595591</v>
      </c>
      <c r="X57" s="73" cm="1">
        <f t="array" ref="X57">0.5*INDEX('[1]12月代理实际分时电量'!X:X,MATCH($A57-7,'[1]12月代理实际分时电量'!$C:$C,0))+0.3*INDEX('[1]12月代理实际分时电量'!X:X,MATCH($A57-14,'[1]12月代理实际分时电量'!$C:$C,0))+0.2*INDEX('[1]12月代理实际分时电量'!X:X,MATCH($A57-21,'[1]12月代理实际分时电量'!$C:$C,0))</f>
        <v>2.710385</v>
      </c>
      <c r="Y57" s="73" cm="1">
        <f t="array" ref="Y57">0.5*INDEX('[1]12月代理实际分时电量'!Y:Y,MATCH($A57-7,'[1]12月代理实际分时电量'!$C:$C,0))+0.3*INDEX('[1]12月代理实际分时电量'!Y:Y,MATCH($A57-14,'[1]12月代理实际分时电量'!$C:$C,0))+0.2*INDEX('[1]12月代理实际分时电量'!Y:Y,MATCH($A57-21,'[1]12月代理实际分时电量'!$C:$C,0))</f>
        <v>2.35516</v>
      </c>
      <c r="Z57" s="73" cm="1">
        <f t="array" ref="Z57">0.5*INDEX('[1]12月代理实际分时电量'!Z:Z,MATCH($A57-7,'[1]12月代理实际分时电量'!$C:$C,0))+0.3*INDEX('[1]12月代理实际分时电量'!Z:Z,MATCH($A57-14,'[1]12月代理实际分时电量'!$C:$C,0))+0.2*INDEX('[1]12月代理实际分时电量'!Z:Z,MATCH($A57-21,'[1]12月代理实际分时电量'!$C:$C,0))</f>
        <v>1.918618</v>
      </c>
      <c r="AA57" s="73" cm="1">
        <f t="array" ref="AA57">0.5*INDEX('[1]12月代理实际分时电量'!AA:AA,MATCH($A57-7,'[1]12月代理实际分时电量'!$C:$C,0))+0.3*INDEX('[1]12月代理实际分时电量'!AA:AA,MATCH($A57-14,'[1]12月代理实际分时电量'!$C:$C,0))+0.2*INDEX('[1]12月代理实际分时电量'!AA:AA,MATCH($A57-21,'[1]12月代理实际分时电量'!$C:$C,0))</f>
        <v>1.543165</v>
      </c>
      <c r="AB57" s="73" cm="1">
        <f t="array" ref="AB57">0.5*INDEX('[1]12月代理实际分时电量'!AB:AB,MATCH($A57-7,'[1]12月代理实际分时电量'!$C:$C,0))+0.3*INDEX('[1]12月代理实际分时电量'!AB:AB,MATCH($A57-14,'[1]12月代理实际分时电量'!$C:$C,0))+0.2*INDEX('[1]12月代理实际分时电量'!AB:AB,MATCH($A57-21,'[1]12月代理实际分时电量'!$C:$C,0))</f>
        <v>1.33796</v>
      </c>
      <c r="AC57" s="81"/>
    </row>
    <row r="58" spans="1:29">
      <c r="A58" s="4"/>
      <c r="B58" s="68"/>
      <c r="C58" s="2" t="s">
        <v>35</v>
      </c>
      <c r="D58" s="3">
        <f>D59/D57</f>
        <v>0.834149544923081</v>
      </c>
      <c r="E58" s="79">
        <v>0.9</v>
      </c>
      <c r="F58" s="79">
        <v>0.9</v>
      </c>
      <c r="G58" s="79">
        <v>0.9</v>
      </c>
      <c r="H58" s="79">
        <v>0.9</v>
      </c>
      <c r="I58" s="79">
        <v>0.9</v>
      </c>
      <c r="J58" s="79">
        <v>0.9</v>
      </c>
      <c r="K58" s="79">
        <v>0.9</v>
      </c>
      <c r="L58" s="79">
        <v>0.9</v>
      </c>
      <c r="M58" s="79">
        <v>0.9</v>
      </c>
      <c r="N58" s="80">
        <v>0.8</v>
      </c>
      <c r="O58" s="80">
        <v>0.8</v>
      </c>
      <c r="P58" s="80">
        <v>0.8</v>
      </c>
      <c r="Q58" s="80">
        <v>0.8</v>
      </c>
      <c r="R58" s="80">
        <v>0.8</v>
      </c>
      <c r="S58" s="80">
        <v>0.8</v>
      </c>
      <c r="T58" s="80">
        <v>0.8</v>
      </c>
      <c r="U58" s="80">
        <v>0.9</v>
      </c>
      <c r="V58" s="80">
        <v>0.8</v>
      </c>
      <c r="W58" s="80">
        <v>0.8</v>
      </c>
      <c r="X58" s="80">
        <v>0.8</v>
      </c>
      <c r="Y58" s="80">
        <v>0.8</v>
      </c>
      <c r="Z58" s="80">
        <v>0.8</v>
      </c>
      <c r="AA58" s="80">
        <v>0.8</v>
      </c>
      <c r="AB58" s="80">
        <v>0.9</v>
      </c>
      <c r="AC58" s="81"/>
    </row>
    <row r="59" spans="1:29">
      <c r="A59" s="4"/>
      <c r="B59" s="68"/>
      <c r="C59" s="2" t="s">
        <v>36</v>
      </c>
      <c r="D59" s="3">
        <f>SUM(E59:AB59)</f>
        <v>42.154</v>
      </c>
      <c r="E59" s="13">
        <f t="shared" ref="E59:AB59" si="22">ROUND(E57*E58,3)</f>
        <v>1.099</v>
      </c>
      <c r="F59" s="13">
        <f t="shared" si="22"/>
        <v>1.08</v>
      </c>
      <c r="G59" s="13">
        <f t="shared" si="22"/>
        <v>1.074</v>
      </c>
      <c r="H59" s="13">
        <f t="shared" si="22"/>
        <v>1.056</v>
      </c>
      <c r="I59" s="13">
        <f t="shared" si="22"/>
        <v>1.049</v>
      </c>
      <c r="J59" s="13">
        <f t="shared" si="22"/>
        <v>1.017</v>
      </c>
      <c r="K59" s="13">
        <f t="shared" si="22"/>
        <v>1.004</v>
      </c>
      <c r="L59" s="13">
        <f t="shared" si="22"/>
        <v>1.384</v>
      </c>
      <c r="M59" s="13">
        <f t="shared" si="22"/>
        <v>2.75</v>
      </c>
      <c r="N59" s="13">
        <f t="shared" si="22"/>
        <v>2.57</v>
      </c>
      <c r="O59" s="13">
        <f t="shared" si="22"/>
        <v>2.281</v>
      </c>
      <c r="P59" s="13">
        <f t="shared" si="22"/>
        <v>2.172</v>
      </c>
      <c r="Q59" s="13">
        <f t="shared" si="22"/>
        <v>1.579</v>
      </c>
      <c r="R59" s="13">
        <f t="shared" si="22"/>
        <v>1.866</v>
      </c>
      <c r="S59" s="13">
        <f t="shared" si="22"/>
        <v>2.407</v>
      </c>
      <c r="T59" s="13">
        <f t="shared" si="22"/>
        <v>2.463</v>
      </c>
      <c r="U59" s="13">
        <f t="shared" si="22"/>
        <v>2.817</v>
      </c>
      <c r="V59" s="13">
        <f t="shared" si="22"/>
        <v>2.384</v>
      </c>
      <c r="W59" s="13">
        <f t="shared" si="22"/>
        <v>2.076</v>
      </c>
      <c r="X59" s="13">
        <f t="shared" si="22"/>
        <v>2.168</v>
      </c>
      <c r="Y59" s="13">
        <f t="shared" si="22"/>
        <v>1.884</v>
      </c>
      <c r="Z59" s="13">
        <f t="shared" si="22"/>
        <v>1.535</v>
      </c>
      <c r="AA59" s="13">
        <f t="shared" si="22"/>
        <v>1.235</v>
      </c>
      <c r="AB59" s="13">
        <f t="shared" si="22"/>
        <v>1.204</v>
      </c>
      <c r="AC59" s="81"/>
    </row>
    <row r="60" ht="17" spans="1:29">
      <c r="A60" s="4"/>
      <c r="B60" s="68"/>
      <c r="C60" s="66" t="s">
        <v>37</v>
      </c>
      <c r="D60" s="3">
        <f>SUM(E60:AB60)</f>
        <v>64.6752</v>
      </c>
      <c r="E60" s="13">
        <v>1.7304</v>
      </c>
      <c r="F60" s="13">
        <v>1.7137</v>
      </c>
      <c r="G60" s="13">
        <v>1.7267</v>
      </c>
      <c r="H60" s="13">
        <v>1.6543</v>
      </c>
      <c r="I60" s="13">
        <v>1.6745</v>
      </c>
      <c r="J60" s="13">
        <v>1.6777</v>
      </c>
      <c r="K60" s="13">
        <v>1.6374</v>
      </c>
      <c r="L60" s="13">
        <v>2.0256</v>
      </c>
      <c r="M60" s="13">
        <v>3.86</v>
      </c>
      <c r="N60" s="13">
        <v>4.0484</v>
      </c>
      <c r="O60" s="13">
        <v>3.4856</v>
      </c>
      <c r="P60" s="13">
        <v>3.218</v>
      </c>
      <c r="Q60" s="13">
        <v>2.725</v>
      </c>
      <c r="R60" s="13">
        <v>3.1876</v>
      </c>
      <c r="S60" s="13">
        <v>3.6984</v>
      </c>
      <c r="T60" s="13">
        <v>3.6778</v>
      </c>
      <c r="U60" s="13">
        <v>3.7711</v>
      </c>
      <c r="V60" s="13">
        <v>3.6505</v>
      </c>
      <c r="W60" s="13">
        <v>3.3801</v>
      </c>
      <c r="X60" s="13">
        <v>3.3527</v>
      </c>
      <c r="Y60" s="13">
        <v>2.9247</v>
      </c>
      <c r="Z60" s="13">
        <v>2.343</v>
      </c>
      <c r="AA60" s="13">
        <v>1.8019</v>
      </c>
      <c r="AB60" s="13">
        <v>1.7101</v>
      </c>
      <c r="AC60" s="81"/>
    </row>
    <row r="61" spans="1:29">
      <c r="A61" s="69"/>
      <c r="B61" s="68"/>
      <c r="C61" s="64" t="s">
        <v>38</v>
      </c>
      <c r="D61" s="70">
        <f>D60/D57</f>
        <v>1.27980235915475</v>
      </c>
      <c r="E61" s="76">
        <f t="shared" ref="E61:AB61" si="23">1-ABS(E57-E60)/E60</f>
        <v>0.705364077669903</v>
      </c>
      <c r="F61" s="76">
        <f t="shared" si="23"/>
        <v>0.700361790278345</v>
      </c>
      <c r="G61" s="76">
        <f t="shared" si="23"/>
        <v>0.690843806104129</v>
      </c>
      <c r="H61" s="76">
        <f t="shared" si="23"/>
        <v>0.709229281267001</v>
      </c>
      <c r="I61" s="76">
        <f t="shared" si="23"/>
        <v>0.696106300388176</v>
      </c>
      <c r="J61" s="76">
        <f t="shared" si="23"/>
        <v>0.673228229123204</v>
      </c>
      <c r="K61" s="76">
        <f t="shared" si="23"/>
        <v>0.681563454256748</v>
      </c>
      <c r="L61" s="76">
        <f t="shared" si="23"/>
        <v>0.759340442338073</v>
      </c>
      <c r="M61" s="76">
        <f t="shared" si="23"/>
        <v>0.791483937823834</v>
      </c>
      <c r="N61" s="76">
        <f t="shared" si="23"/>
        <v>0.79363970951487</v>
      </c>
      <c r="O61" s="76">
        <f t="shared" si="23"/>
        <v>0.818050550837732</v>
      </c>
      <c r="P61" s="76">
        <f t="shared" si="23"/>
        <v>0.843700435052828</v>
      </c>
      <c r="Q61" s="76">
        <f t="shared" si="23"/>
        <v>0.724444036697248</v>
      </c>
      <c r="R61" s="76">
        <f t="shared" si="23"/>
        <v>0.731763395658175</v>
      </c>
      <c r="S61" s="76">
        <f t="shared" si="23"/>
        <v>0.813438243564785</v>
      </c>
      <c r="T61" s="76">
        <f t="shared" si="23"/>
        <v>0.836974550002719</v>
      </c>
      <c r="U61" s="76">
        <f t="shared" si="23"/>
        <v>0.830038450319535</v>
      </c>
      <c r="V61" s="76">
        <f t="shared" si="23"/>
        <v>0.816400767018217</v>
      </c>
      <c r="W61" s="76">
        <f t="shared" si="23"/>
        <v>0.767903612319162</v>
      </c>
      <c r="X61" s="76">
        <f t="shared" si="23"/>
        <v>0.808418588003698</v>
      </c>
      <c r="Y61" s="76">
        <f t="shared" si="23"/>
        <v>0.805265497315964</v>
      </c>
      <c r="Z61" s="76">
        <f t="shared" si="23"/>
        <v>0.818872385830132</v>
      </c>
      <c r="AA61" s="76">
        <f t="shared" si="23"/>
        <v>0.856409900660414</v>
      </c>
      <c r="AB61" s="76">
        <f t="shared" si="23"/>
        <v>0.782386994912578</v>
      </c>
      <c r="AC61" s="81"/>
    </row>
    <row r="62" spans="1:29">
      <c r="A62" s="4">
        <v>46004</v>
      </c>
      <c r="B62" s="67"/>
      <c r="C62" s="2" t="s">
        <v>33</v>
      </c>
      <c r="D62" s="3">
        <f>SUM(E62:AB62)</f>
        <v>61.907005</v>
      </c>
      <c r="E62" s="73" cm="1">
        <f t="array" ref="E62">0.5*INDEX('[1]12月代理实际分时电量'!E:E,MATCH($A62-7,'[1]12月代理实际分时电量'!$C:$C,0))+0.3*INDEX('[1]12月代理实际分时电量'!E:E,MATCH($A62-14,'[1]12月代理实际分时电量'!$C:$C,0))+0.2*INDEX('[1]12月代理实际分时电量'!E:E,MATCH($A62-21,'[1]12月代理实际分时电量'!$C:$C,0))</f>
        <v>1.609797</v>
      </c>
      <c r="F62" s="73" cm="1">
        <f t="array" ref="F62">0.5*INDEX('[1]12月代理实际分时电量'!F:F,MATCH($A62-7,'[1]12月代理实际分时电量'!$C:$C,0))+0.3*INDEX('[1]12月代理实际分时电量'!F:F,MATCH($A62-14,'[1]12月代理实际分时电量'!$C:$C,0))+0.2*INDEX('[1]12月代理实际分时电量'!F:F,MATCH($A62-21,'[1]12月代理实际分时电量'!$C:$C,0))</f>
        <v>1.57732</v>
      </c>
      <c r="G62" s="73" cm="1">
        <f t="array" ref="G62">0.5*INDEX('[1]12月代理实际分时电量'!G:G,MATCH($A62-7,'[1]12月代理实际分时电量'!$C:$C,0))+0.3*INDEX('[1]12月代理实际分时电量'!G:G,MATCH($A62-14,'[1]12月代理实际分时电量'!$C:$C,0))+0.2*INDEX('[1]12月代理实际分时电量'!G:G,MATCH($A62-21,'[1]12月代理实际分时电量'!$C:$C,0))</f>
        <v>1.54072</v>
      </c>
      <c r="H62" s="73" cm="1">
        <f t="array" ref="H62">0.5*INDEX('[1]12月代理实际分时电量'!H:H,MATCH($A62-7,'[1]12月代理实际分时电量'!$C:$C,0))+0.3*INDEX('[1]12月代理实际分时电量'!H:H,MATCH($A62-14,'[1]12月代理实际分时电量'!$C:$C,0))+0.2*INDEX('[1]12月代理实际分时电量'!H:H,MATCH($A62-21,'[1]12月代理实际分时电量'!$C:$C,0))</f>
        <v>1.515878</v>
      </c>
      <c r="I62" s="73" cm="1">
        <f t="array" ref="I62">0.5*INDEX('[1]12月代理实际分时电量'!I:I,MATCH($A62-7,'[1]12月代理实际分时电量'!$C:$C,0))+0.3*INDEX('[1]12月代理实际分时电量'!I:I,MATCH($A62-14,'[1]12月代理实际分时电量'!$C:$C,0))+0.2*INDEX('[1]12月代理实际分时电量'!I:I,MATCH($A62-21,'[1]12月代理实际分时电量'!$C:$C,0))</f>
        <v>1.4796</v>
      </c>
      <c r="J62" s="73" cm="1">
        <f t="array" ref="J62">0.5*INDEX('[1]12月代理实际分时电量'!J:J,MATCH($A62-7,'[1]12月代理实际分时电量'!$C:$C,0))+0.3*INDEX('[1]12月代理实际分时电量'!J:J,MATCH($A62-14,'[1]12月代理实际分时电量'!$C:$C,0))+0.2*INDEX('[1]12月代理实际分时电量'!J:J,MATCH($A62-21,'[1]12月代理实际分时电量'!$C:$C,0))</f>
        <v>1.50289</v>
      </c>
      <c r="K62" s="73" cm="1">
        <f t="array" ref="K62">0.5*INDEX('[1]12月代理实际分时电量'!K:K,MATCH($A62-7,'[1]12月代理实际分时电量'!$C:$C,0))+0.3*INDEX('[1]12月代理实际分时电量'!K:K,MATCH($A62-14,'[1]12月代理实际分时电量'!$C:$C,0))+0.2*INDEX('[1]12月代理实际分时电量'!K:K,MATCH($A62-21,'[1]12月代理实际分时电量'!$C:$C,0))</f>
        <v>1.48459</v>
      </c>
      <c r="L62" s="73" cm="1">
        <f t="array" ref="L62">0.5*INDEX('[1]12月代理实际分时电量'!L:L,MATCH($A62-7,'[1]12月代理实际分时电量'!$C:$C,0))+0.3*INDEX('[1]12月代理实际分时电量'!L:L,MATCH($A62-14,'[1]12月代理实际分时电量'!$C:$C,0))+0.2*INDEX('[1]12月代理实际分时电量'!L:L,MATCH($A62-21,'[1]12月代理实际分时电量'!$C:$C,0))</f>
        <v>1.898532</v>
      </c>
      <c r="M62" s="73" cm="1">
        <f t="array" ref="M62">0.5*INDEX('[1]12月代理实际分时电量'!M:M,MATCH($A62-7,'[1]12月代理实际分时电量'!$C:$C,0))+0.3*INDEX('[1]12月代理实际分时电量'!M:M,MATCH($A62-14,'[1]12月代理实际分时电量'!$C:$C,0))+0.2*INDEX('[1]12月代理实际分时电量'!M:M,MATCH($A62-21,'[1]12月代理实际分时电量'!$C:$C,0))</f>
        <v>3.743583</v>
      </c>
      <c r="N62" s="73" cm="1">
        <f t="array" ref="N62">0.5*INDEX('[1]12月代理实际分时电量'!N:N,MATCH($A62-7,'[1]12月代理实际分时电量'!$C:$C,0))+0.3*INDEX('[1]12月代理实际分时电量'!N:N,MATCH($A62-14,'[1]12月代理实际分时电量'!$C:$C,0))+0.2*INDEX('[1]12月代理实际分时电量'!N:N,MATCH($A62-21,'[1]12月代理实际分时电量'!$C:$C,0))</f>
        <v>4.003247</v>
      </c>
      <c r="O62" s="73" cm="1">
        <f t="array" ref="O62">0.5*INDEX('[1]12月代理实际分时电量'!O:O,MATCH($A62-7,'[1]12月代理实际分时电量'!$C:$C,0))+0.3*INDEX('[1]12月代理实际分时电量'!O:O,MATCH($A62-14,'[1]12月代理实际分时电量'!$C:$C,0))+0.2*INDEX('[1]12月代理实际分时电量'!O:O,MATCH($A62-21,'[1]12月代理实际分时电量'!$C:$C,0))</f>
        <v>3.39516</v>
      </c>
      <c r="P62" s="73" cm="1">
        <f t="array" ref="P62">0.5*INDEX('[1]12月代理实际分时电量'!P:P,MATCH($A62-7,'[1]12月代理实际分时电量'!$C:$C,0))+0.3*INDEX('[1]12月代理实际分时电量'!P:P,MATCH($A62-14,'[1]12月代理实际分时电量'!$C:$C,0))+0.2*INDEX('[1]12月代理实际分时电量'!P:P,MATCH($A62-21,'[1]12月代理实际分时电量'!$C:$C,0))</f>
        <v>3.293125</v>
      </c>
      <c r="Q62" s="73" cm="1">
        <f t="array" ref="Q62">0.5*INDEX('[1]12月代理实际分时电量'!Q:Q,MATCH($A62-7,'[1]12月代理实际分时电量'!$C:$C,0))+0.3*INDEX('[1]12月代理实际分时电量'!Q:Q,MATCH($A62-14,'[1]12月代理实际分时电量'!$C:$C,0))+0.2*INDEX('[1]12月代理实际分时电量'!Q:Q,MATCH($A62-21,'[1]12月代理实际分时电量'!$C:$C,0))</f>
        <v>2.76984</v>
      </c>
      <c r="R62" s="73" cm="1">
        <f t="array" ref="R62">0.5*INDEX('[1]12月代理实际分时电量'!R:R,MATCH($A62-7,'[1]12月代理实际分时电量'!$C:$C,0))+0.3*INDEX('[1]12月代理实际分时电量'!R:R,MATCH($A62-14,'[1]12月代理实际分时电量'!$C:$C,0))+0.2*INDEX('[1]12月代理实际分时电量'!R:R,MATCH($A62-21,'[1]12月代理实际分时电量'!$C:$C,0))</f>
        <v>3.257</v>
      </c>
      <c r="S62" s="73" cm="1">
        <f t="array" ref="S62">0.5*INDEX('[1]12月代理实际分时电量'!S:S,MATCH($A62-7,'[1]12月代理实际分时电量'!$C:$C,0))+0.3*INDEX('[1]12月代理实际分时电量'!S:S,MATCH($A62-14,'[1]12月代理实际分时电量'!$C:$C,0))+0.2*INDEX('[1]12月代理实际分时电量'!S:S,MATCH($A62-21,'[1]12月代理实际分时电量'!$C:$C,0))</f>
        <v>3.787825</v>
      </c>
      <c r="T62" s="73" cm="1">
        <f t="array" ref="T62">0.5*INDEX('[1]12月代理实际分时电量'!T:T,MATCH($A62-7,'[1]12月代理实际分时电量'!$C:$C,0))+0.3*INDEX('[1]12月代理实际分时电量'!T:T,MATCH($A62-14,'[1]12月代理实际分时电量'!$C:$C,0))+0.2*INDEX('[1]12月代理实际分时电量'!T:T,MATCH($A62-21,'[1]12月代理实际分时电量'!$C:$C,0))</f>
        <v>3.592505</v>
      </c>
      <c r="U62" s="73" cm="1">
        <f t="array" ref="U62">0.5*INDEX('[1]12月代理实际分时电量'!U:U,MATCH($A62-7,'[1]12月代理实际分时电量'!$C:$C,0))+0.3*INDEX('[1]12月代理实际分时电量'!U:U,MATCH($A62-14,'[1]12月代理实际分时电量'!$C:$C,0))+0.2*INDEX('[1]12月代理实际分时电量'!U:U,MATCH($A62-21,'[1]12月代理实际分时电量'!$C:$C,0))</f>
        <v>3.637185</v>
      </c>
      <c r="V62" s="73" cm="1">
        <f t="array" ref="V62">0.5*INDEX('[1]12月代理实际分时电量'!V:V,MATCH($A62-7,'[1]12月代理实际分时电量'!$C:$C,0))+0.3*INDEX('[1]12月代理实际分时电量'!V:V,MATCH($A62-14,'[1]12月代理实际分时电量'!$C:$C,0))+0.2*INDEX('[1]12月代理实际分时电量'!V:V,MATCH($A62-21,'[1]12月代理实际分时电量'!$C:$C,0))</f>
        <v>3.487658</v>
      </c>
      <c r="W62" s="73" cm="1">
        <f t="array" ref="W62">0.5*INDEX('[1]12月代理实际分时电量'!W:W,MATCH($A62-7,'[1]12月代理实际分时电量'!$C:$C,0))+0.3*INDEX('[1]12月代理实际分时电量'!W:W,MATCH($A62-14,'[1]12月代理实际分时电量'!$C:$C,0))+0.2*INDEX('[1]12月代理实际分时电量'!W:W,MATCH($A62-21,'[1]12月代理实际分时电量'!$C:$C,0))</f>
        <v>3.007022</v>
      </c>
      <c r="X62" s="73" cm="1">
        <f t="array" ref="X62">0.5*INDEX('[1]12月代理实际分时电量'!X:X,MATCH($A62-7,'[1]12月代理实际分时电量'!$C:$C,0))+0.3*INDEX('[1]12月代理实际分时电量'!X:X,MATCH($A62-14,'[1]12月代理实际分时电量'!$C:$C,0))+0.2*INDEX('[1]12月代理实际分时电量'!X:X,MATCH($A62-21,'[1]12月代理实际分时电量'!$C:$C,0))</f>
        <v>3.00712</v>
      </c>
      <c r="Y62" s="73" cm="1">
        <f t="array" ref="Y62">0.5*INDEX('[1]12月代理实际分时电量'!Y:Y,MATCH($A62-7,'[1]12月代理实际分时电量'!$C:$C,0))+0.3*INDEX('[1]12月代理实际分时电量'!Y:Y,MATCH($A62-14,'[1]12月代理实际分时电量'!$C:$C,0))+0.2*INDEX('[1]12月代理实际分时电量'!Y:Y,MATCH($A62-21,'[1]12月代理实际分时电量'!$C:$C,0))</f>
        <v>2.66636</v>
      </c>
      <c r="Z62" s="73" cm="1">
        <f t="array" ref="Z62">0.5*INDEX('[1]12月代理实际分时电量'!Z:Z,MATCH($A62-7,'[1]12月代理实际分时电量'!$C:$C,0))+0.3*INDEX('[1]12月代理实际分时电量'!Z:Z,MATCH($A62-14,'[1]12月代理实际分时电量'!$C:$C,0))+0.2*INDEX('[1]12月代理实际分时电量'!Z:Z,MATCH($A62-21,'[1]12月代理实际分时电量'!$C:$C,0))</f>
        <v>2.207133</v>
      </c>
      <c r="AA62" s="73" cm="1">
        <f t="array" ref="AA62">0.5*INDEX('[1]12月代理实际分时电量'!AA:AA,MATCH($A62-7,'[1]12月代理实际分时电量'!$C:$C,0))+0.3*INDEX('[1]12月代理实际分时电量'!AA:AA,MATCH($A62-14,'[1]12月代理实际分时电量'!$C:$C,0))+0.2*INDEX('[1]12月代理实际分时电量'!AA:AA,MATCH($A62-21,'[1]12月代理实际分时电量'!$C:$C,0))</f>
        <v>1.857977</v>
      </c>
      <c r="AB62" s="73" cm="1">
        <f t="array" ref="AB62">0.5*INDEX('[1]12月代理实际分时电量'!AB:AB,MATCH($A62-7,'[1]12月代理实际分时电量'!$C:$C,0))+0.3*INDEX('[1]12月代理实际分时电量'!AB:AB,MATCH($A62-14,'[1]12月代理实际分时电量'!$C:$C,0))+0.2*INDEX('[1]12月代理实际分时电量'!AB:AB,MATCH($A62-21,'[1]12月代理实际分时电量'!$C:$C,0))</f>
        <v>1.584938</v>
      </c>
      <c r="AC62" s="81"/>
    </row>
    <row r="63" spans="1:29">
      <c r="A63" s="4"/>
      <c r="B63" s="68"/>
      <c r="C63" s="2" t="s">
        <v>35</v>
      </c>
      <c r="D63" s="3">
        <f>D64/D62</f>
        <v>0.953656213864651</v>
      </c>
      <c r="E63" s="74">
        <v>1.2</v>
      </c>
      <c r="F63" s="75">
        <v>1.1</v>
      </c>
      <c r="G63" s="75">
        <v>1.1</v>
      </c>
      <c r="H63" s="75">
        <v>1.1</v>
      </c>
      <c r="I63" s="75">
        <v>0.9</v>
      </c>
      <c r="J63" s="75">
        <v>0.9</v>
      </c>
      <c r="K63" s="75">
        <v>0.9</v>
      </c>
      <c r="L63" s="75">
        <v>0.9</v>
      </c>
      <c r="M63" s="75">
        <v>0.9</v>
      </c>
      <c r="N63" s="75">
        <v>0.8</v>
      </c>
      <c r="O63" s="75">
        <v>0.8</v>
      </c>
      <c r="P63" s="75">
        <v>0.8</v>
      </c>
      <c r="Q63" s="75">
        <v>0.9</v>
      </c>
      <c r="R63" s="75">
        <v>1</v>
      </c>
      <c r="S63" s="75">
        <v>1</v>
      </c>
      <c r="T63" s="75">
        <v>1</v>
      </c>
      <c r="U63" s="75">
        <v>1</v>
      </c>
      <c r="V63" s="75">
        <v>1</v>
      </c>
      <c r="W63" s="75">
        <v>1.1</v>
      </c>
      <c r="X63" s="75">
        <v>1.1</v>
      </c>
      <c r="Y63" s="75">
        <v>0.9</v>
      </c>
      <c r="Z63" s="75">
        <v>0.9</v>
      </c>
      <c r="AA63" s="75">
        <v>0.9</v>
      </c>
      <c r="AB63" s="75">
        <v>0.9</v>
      </c>
      <c r="AC63" s="81"/>
    </row>
    <row r="64" spans="1:29">
      <c r="A64" s="4"/>
      <c r="B64" s="68"/>
      <c r="C64" s="2" t="s">
        <v>36</v>
      </c>
      <c r="D64" s="3">
        <f>SUM(E64:AB64)</f>
        <v>59.038</v>
      </c>
      <c r="E64" s="13">
        <f t="shared" ref="E64:AB64" si="24">ROUND(E62*E63,3)</f>
        <v>1.932</v>
      </c>
      <c r="F64" s="13">
        <f t="shared" si="24"/>
        <v>1.735</v>
      </c>
      <c r="G64" s="13">
        <f t="shared" si="24"/>
        <v>1.695</v>
      </c>
      <c r="H64" s="13">
        <f t="shared" si="24"/>
        <v>1.667</v>
      </c>
      <c r="I64" s="13">
        <f t="shared" si="24"/>
        <v>1.332</v>
      </c>
      <c r="J64" s="13">
        <f t="shared" si="24"/>
        <v>1.353</v>
      </c>
      <c r="K64" s="13">
        <f t="shared" si="24"/>
        <v>1.336</v>
      </c>
      <c r="L64" s="13">
        <f t="shared" si="24"/>
        <v>1.709</v>
      </c>
      <c r="M64" s="13">
        <f t="shared" si="24"/>
        <v>3.369</v>
      </c>
      <c r="N64" s="13">
        <f t="shared" si="24"/>
        <v>3.203</v>
      </c>
      <c r="O64" s="13">
        <f t="shared" si="24"/>
        <v>2.716</v>
      </c>
      <c r="P64" s="13">
        <f t="shared" si="24"/>
        <v>2.635</v>
      </c>
      <c r="Q64" s="13">
        <f t="shared" si="24"/>
        <v>2.493</v>
      </c>
      <c r="R64" s="13">
        <f t="shared" si="24"/>
        <v>3.257</v>
      </c>
      <c r="S64" s="13">
        <f t="shared" si="24"/>
        <v>3.788</v>
      </c>
      <c r="T64" s="13">
        <f t="shared" si="24"/>
        <v>3.593</v>
      </c>
      <c r="U64" s="13">
        <f t="shared" si="24"/>
        <v>3.637</v>
      </c>
      <c r="V64" s="13">
        <f t="shared" si="24"/>
        <v>3.488</v>
      </c>
      <c r="W64" s="13">
        <f t="shared" si="24"/>
        <v>3.308</v>
      </c>
      <c r="X64" s="13">
        <f t="shared" si="24"/>
        <v>3.308</v>
      </c>
      <c r="Y64" s="13">
        <f t="shared" si="24"/>
        <v>2.4</v>
      </c>
      <c r="Z64" s="13">
        <f t="shared" si="24"/>
        <v>1.986</v>
      </c>
      <c r="AA64" s="13">
        <f t="shared" si="24"/>
        <v>1.672</v>
      </c>
      <c r="AB64" s="13">
        <f t="shared" si="24"/>
        <v>1.426</v>
      </c>
      <c r="AC64" s="81"/>
    </row>
    <row r="65" ht="17" spans="1:29">
      <c r="A65" s="4"/>
      <c r="B65" s="68"/>
      <c r="C65" s="66" t="s">
        <v>37</v>
      </c>
      <c r="D65" s="3">
        <f>SUM(E65:AB65)</f>
        <v>66.168</v>
      </c>
      <c r="E65" s="13">
        <v>1.6146</v>
      </c>
      <c r="F65" s="13">
        <v>1.7074</v>
      </c>
      <c r="G65" s="13">
        <v>1.6764</v>
      </c>
      <c r="H65" s="13">
        <v>1.698</v>
      </c>
      <c r="I65" s="13">
        <v>1.7116</v>
      </c>
      <c r="J65" s="13">
        <v>1.7008</v>
      </c>
      <c r="K65" s="13">
        <v>1.6622</v>
      </c>
      <c r="L65" s="13">
        <v>1.9679</v>
      </c>
      <c r="M65" s="13">
        <v>3.8617</v>
      </c>
      <c r="N65" s="13">
        <v>4.3466</v>
      </c>
      <c r="O65" s="13">
        <v>3.5883</v>
      </c>
      <c r="P65" s="13">
        <v>3.5336</v>
      </c>
      <c r="Q65" s="13">
        <v>2.9955</v>
      </c>
      <c r="R65" s="13">
        <v>3.7345</v>
      </c>
      <c r="S65" s="13">
        <v>4.1464</v>
      </c>
      <c r="T65" s="13">
        <v>4.0946</v>
      </c>
      <c r="U65" s="13">
        <v>4.0036</v>
      </c>
      <c r="V65" s="13">
        <v>3.5882</v>
      </c>
      <c r="W65" s="13">
        <v>2.8842</v>
      </c>
      <c r="X65" s="13">
        <v>2.9093</v>
      </c>
      <c r="Y65" s="13">
        <v>2.6142</v>
      </c>
      <c r="Z65" s="13">
        <v>2.3037</v>
      </c>
      <c r="AA65" s="13">
        <v>2.0054</v>
      </c>
      <c r="AB65" s="13">
        <v>1.8193</v>
      </c>
      <c r="AC65" s="81"/>
    </row>
    <row r="66" spans="1:29">
      <c r="A66" s="69"/>
      <c r="B66" s="68"/>
      <c r="C66" s="64" t="s">
        <v>38</v>
      </c>
      <c r="D66" s="70">
        <f>D65/D62</f>
        <v>1.06882896370128</v>
      </c>
      <c r="E66" s="76">
        <f t="shared" ref="E66:AB66" si="25">1-ABS(E62-E65)/E65</f>
        <v>0.997025269416574</v>
      </c>
      <c r="F66" s="76">
        <f t="shared" si="25"/>
        <v>0.923813986177814</v>
      </c>
      <c r="G66" s="76">
        <f t="shared" si="25"/>
        <v>0.919064662371749</v>
      </c>
      <c r="H66" s="76">
        <f t="shared" si="25"/>
        <v>0.892743227326266</v>
      </c>
      <c r="I66" s="76">
        <f t="shared" si="25"/>
        <v>0.864454311755083</v>
      </c>
      <c r="J66" s="76">
        <f t="shared" si="25"/>
        <v>0.883637111947319</v>
      </c>
      <c r="K66" s="76">
        <f t="shared" si="25"/>
        <v>0.893147635663578</v>
      </c>
      <c r="L66" s="76">
        <f t="shared" si="25"/>
        <v>0.964750241374054</v>
      </c>
      <c r="M66" s="76">
        <f t="shared" si="25"/>
        <v>0.969413211797913</v>
      </c>
      <c r="N66" s="76">
        <f t="shared" si="25"/>
        <v>0.921006533842544</v>
      </c>
      <c r="O66" s="76">
        <f t="shared" si="25"/>
        <v>0.946175068974166</v>
      </c>
      <c r="P66" s="76">
        <f t="shared" si="25"/>
        <v>0.93194617387367</v>
      </c>
      <c r="Q66" s="76">
        <f t="shared" si="25"/>
        <v>0.924667000500751</v>
      </c>
      <c r="R66" s="76">
        <f t="shared" si="25"/>
        <v>0.872138171107243</v>
      </c>
      <c r="S66" s="76">
        <f t="shared" si="25"/>
        <v>0.913521367933629</v>
      </c>
      <c r="T66" s="76">
        <f t="shared" si="25"/>
        <v>0.877376300493333</v>
      </c>
      <c r="U66" s="76">
        <f t="shared" si="25"/>
        <v>0.908478619242682</v>
      </c>
      <c r="V66" s="76">
        <f t="shared" si="25"/>
        <v>0.971979822752355</v>
      </c>
      <c r="W66" s="76">
        <f t="shared" si="25"/>
        <v>0.957415574509396</v>
      </c>
      <c r="X66" s="76">
        <f t="shared" si="25"/>
        <v>0.966376791668099</v>
      </c>
      <c r="Y66" s="76">
        <f t="shared" si="25"/>
        <v>0.980047433249178</v>
      </c>
      <c r="Z66" s="76">
        <f t="shared" si="25"/>
        <v>0.958081781481964</v>
      </c>
      <c r="AA66" s="76">
        <f t="shared" si="25"/>
        <v>0.926486985140122</v>
      </c>
      <c r="AB66" s="76">
        <f t="shared" si="25"/>
        <v>0.871180124223602</v>
      </c>
      <c r="AC66" s="81"/>
    </row>
    <row r="67" spans="1:29">
      <c r="A67" s="4">
        <v>46005</v>
      </c>
      <c r="B67" s="67"/>
      <c r="C67" s="2" t="s">
        <v>33</v>
      </c>
      <c r="D67" s="3">
        <f>SUM(E67:AB67)</f>
        <v>45.639502</v>
      </c>
      <c r="E67" s="73" cm="1">
        <f t="array" ref="E67">0.5*INDEX('[1]12月代理实际分时电量'!E:E,MATCH($A67-7,'[1]12月代理实际分时电量'!$C:$C,0))+0.3*INDEX('[1]12月代理实际分时电量'!E:E,MATCH($A67-14,'[1]12月代理实际分时电量'!$C:$C,0))+0.2*INDEX('[1]12月代理实际分时电量'!E:E,MATCH($A67-21,'[1]12月代理实际分时电量'!$C:$C,0))</f>
        <v>1.747625</v>
      </c>
      <c r="F67" s="73" cm="1">
        <f t="array" ref="F67">0.5*INDEX('[1]12月代理实际分时电量'!F:F,MATCH($A67-7,'[1]12月代理实际分时电量'!$C:$C,0))+0.3*INDEX('[1]12月代理实际分时电量'!F:F,MATCH($A67-14,'[1]12月代理实际分时电量'!$C:$C,0))+0.2*INDEX('[1]12月代理实际分时电量'!F:F,MATCH($A67-21,'[1]12月代理实际分时电量'!$C:$C,0))</f>
        <v>1.640319</v>
      </c>
      <c r="G67" s="73" cm="1">
        <f t="array" ref="G67">0.5*INDEX('[1]12月代理实际分时电量'!G:G,MATCH($A67-7,'[1]12月代理实际分时电量'!$C:$C,0))+0.3*INDEX('[1]12月代理实际分时电量'!G:G,MATCH($A67-14,'[1]12月代理实际分时电量'!$C:$C,0))+0.2*INDEX('[1]12月代理实际分时电量'!G:G,MATCH($A67-21,'[1]12月代理实际分时电量'!$C:$C,0))</f>
        <v>1.598133</v>
      </c>
      <c r="H67" s="73" cm="1">
        <f t="array" ref="H67">0.5*INDEX('[1]12月代理实际分时电量'!H:H,MATCH($A67-7,'[1]12月代理实际分时电量'!$C:$C,0))+0.3*INDEX('[1]12月代理实际分时电量'!H:H,MATCH($A67-14,'[1]12月代理实际分时电量'!$C:$C,0))+0.2*INDEX('[1]12月代理实际分时电量'!H:H,MATCH($A67-21,'[1]12月代理实际分时电量'!$C:$C,0))</f>
        <v>1.521243</v>
      </c>
      <c r="I67" s="73" cm="1">
        <f t="array" ref="I67">0.5*INDEX('[1]12月代理实际分时电量'!I:I,MATCH($A67-7,'[1]12月代理实际分时电量'!$C:$C,0))+0.3*INDEX('[1]12月代理实际分时电量'!I:I,MATCH($A67-14,'[1]12月代理实际分时电量'!$C:$C,0))+0.2*INDEX('[1]12月代理实际分时电量'!I:I,MATCH($A67-21,'[1]12月代理实际分时电量'!$C:$C,0))</f>
        <v>1.503239</v>
      </c>
      <c r="J67" s="73" cm="1">
        <f t="array" ref="J67">0.5*INDEX('[1]12月代理实际分时电量'!J:J,MATCH($A67-7,'[1]12月代理实际分时电量'!$C:$C,0))+0.3*INDEX('[1]12月代理实际分时电量'!J:J,MATCH($A67-14,'[1]12月代理实际分时电量'!$C:$C,0))+0.2*INDEX('[1]12月代理实际分时电量'!J:J,MATCH($A67-21,'[1]12月代理实际分时电量'!$C:$C,0))</f>
        <v>1.430445</v>
      </c>
      <c r="K67" s="73" cm="1">
        <f t="array" ref="K67">0.5*INDEX('[1]12月代理实际分时电量'!K:K,MATCH($A67-7,'[1]12月代理实际分时电量'!$C:$C,0))+0.3*INDEX('[1]12月代理实际分时电量'!K:K,MATCH($A67-14,'[1]12月代理实际分时电量'!$C:$C,0))+0.2*INDEX('[1]12月代理实际分时电量'!K:K,MATCH($A67-21,'[1]12月代理实际分时电量'!$C:$C,0))</f>
        <v>1.387193</v>
      </c>
      <c r="L67" s="73" cm="1">
        <f t="array" ref="L67">0.5*INDEX('[1]12月代理实际分时电量'!L:L,MATCH($A67-7,'[1]12月代理实际分时电量'!$C:$C,0))+0.3*INDEX('[1]12月代理实际分时电量'!L:L,MATCH($A67-14,'[1]12月代理实际分时电量'!$C:$C,0))+0.2*INDEX('[1]12月代理实际分时电量'!L:L,MATCH($A67-21,'[1]12月代理实际分时电量'!$C:$C,0))</f>
        <v>1.437533</v>
      </c>
      <c r="M67" s="73" cm="1">
        <f t="array" ref="M67">0.5*INDEX('[1]12月代理实际分时电量'!M:M,MATCH($A67-7,'[1]12月代理实际分时电量'!$C:$C,0))+0.3*INDEX('[1]12月代理实际分时电量'!M:M,MATCH($A67-14,'[1]12月代理实际分时电量'!$C:$C,0))+0.2*INDEX('[1]12月代理实际分时电量'!M:M,MATCH($A67-21,'[1]12月代理实际分时电量'!$C:$C,0))</f>
        <v>2.571926</v>
      </c>
      <c r="N67" s="73" cm="1">
        <f t="array" ref="N67">0.5*INDEX('[1]12月代理实际分时电量'!N:N,MATCH($A67-7,'[1]12月代理实际分时电量'!$C:$C,0))+0.3*INDEX('[1]12月代理实际分时电量'!N:N,MATCH($A67-14,'[1]12月代理实际分时电量'!$C:$C,0))+0.2*INDEX('[1]12月代理实际分时电量'!N:N,MATCH($A67-21,'[1]12月代理实际分时电量'!$C:$C,0))</f>
        <v>2.824462</v>
      </c>
      <c r="O67" s="73" cm="1">
        <f t="array" ref="O67">0.5*INDEX('[1]12月代理实际分时电量'!O:O,MATCH($A67-7,'[1]12月代理实际分时电量'!$C:$C,0))+0.3*INDEX('[1]12月代理实际分时电量'!O:O,MATCH($A67-14,'[1]12月代理实际分时电量'!$C:$C,0))+0.2*INDEX('[1]12月代理实际分时电量'!O:O,MATCH($A67-21,'[1]12月代理实际分时电量'!$C:$C,0))</f>
        <v>2.587487</v>
      </c>
      <c r="P67" s="73" cm="1">
        <f t="array" ref="P67">0.5*INDEX('[1]12月代理实际分时电量'!P:P,MATCH($A67-7,'[1]12月代理实际分时电量'!$C:$C,0))+0.3*INDEX('[1]12月代理实际分时电量'!P:P,MATCH($A67-14,'[1]12月代理实际分时电量'!$C:$C,0))+0.2*INDEX('[1]12月代理实际分时电量'!P:P,MATCH($A67-21,'[1]12月代理实际分时电量'!$C:$C,0))</f>
        <v>2.487601</v>
      </c>
      <c r="Q67" s="73" cm="1">
        <f t="array" ref="Q67">0.5*INDEX('[1]12月代理实际分时电量'!Q:Q,MATCH($A67-7,'[1]12月代理实际分时电量'!$C:$C,0))+0.3*INDEX('[1]12月代理实际分时电量'!Q:Q,MATCH($A67-14,'[1]12月代理实际分时电量'!$C:$C,0))+0.2*INDEX('[1]12月代理实际分时电量'!Q:Q,MATCH($A67-21,'[1]12月代理实际分时电量'!$C:$C,0))</f>
        <v>2.138395</v>
      </c>
      <c r="R67" s="73" cm="1">
        <f t="array" ref="R67">0.5*INDEX('[1]12月代理实际分时电量'!R:R,MATCH($A67-7,'[1]12月代理实际分时电量'!$C:$C,0))+0.3*INDEX('[1]12月代理实际分时电量'!R:R,MATCH($A67-14,'[1]12月代理实际分时电量'!$C:$C,0))+0.2*INDEX('[1]12月代理实际分时电量'!R:R,MATCH($A67-21,'[1]12月代理实际分时电量'!$C:$C,0))</f>
        <v>2.061174</v>
      </c>
      <c r="S67" s="73" cm="1">
        <f t="array" ref="S67">0.5*INDEX('[1]12月代理实际分时电量'!S:S,MATCH($A67-7,'[1]12月代理实际分时电量'!$C:$C,0))+0.3*INDEX('[1]12月代理实际分时电量'!S:S,MATCH($A67-14,'[1]12月代理实际分时电量'!$C:$C,0))+0.2*INDEX('[1]12月代理实际分时电量'!S:S,MATCH($A67-21,'[1]12月代理实际分时电量'!$C:$C,0))</f>
        <v>2.614528</v>
      </c>
      <c r="T67" s="73" cm="1">
        <f t="array" ref="T67">0.5*INDEX('[1]12月代理实际分时电量'!T:T,MATCH($A67-7,'[1]12月代理实际分时电量'!$C:$C,0))+0.3*INDEX('[1]12月代理实际分时电量'!T:T,MATCH($A67-14,'[1]12月代理实际分时电量'!$C:$C,0))+0.2*INDEX('[1]12月代理实际分时电量'!T:T,MATCH($A67-21,'[1]12月代理实际分时电量'!$C:$C,0))</f>
        <v>2.587201</v>
      </c>
      <c r="U67" s="73" cm="1">
        <f t="array" ref="U67">0.5*INDEX('[1]12月代理实际分时电量'!U:U,MATCH($A67-7,'[1]12月代理实际分时电量'!$C:$C,0))+0.3*INDEX('[1]12月代理实际分时电量'!U:U,MATCH($A67-14,'[1]12月代理实际分时电量'!$C:$C,0))+0.2*INDEX('[1]12月代理实际分时电量'!U:U,MATCH($A67-21,'[1]12月代理实际分时电量'!$C:$C,0))</f>
        <v>2.638707</v>
      </c>
      <c r="V67" s="73" cm="1">
        <f t="array" ref="V67">0.5*INDEX('[1]12月代理实际分时电量'!V:V,MATCH($A67-7,'[1]12月代理实际分时电量'!$C:$C,0))+0.3*INDEX('[1]12月代理实际分时电量'!V:V,MATCH($A67-14,'[1]12月代理实际分时电量'!$C:$C,0))+0.2*INDEX('[1]12月代理实际分时电量'!V:V,MATCH($A67-21,'[1]12月代理实际分时电量'!$C:$C,0))</f>
        <v>2.40724</v>
      </c>
      <c r="W67" s="73" cm="1">
        <f t="array" ref="W67">0.5*INDEX('[1]12月代理实际分时电量'!W:W,MATCH($A67-7,'[1]12月代理实际分时电量'!$C:$C,0))+0.3*INDEX('[1]12月代理实际分时电量'!W:W,MATCH($A67-14,'[1]12月代理实际分时电量'!$C:$C,0))+0.2*INDEX('[1]12月代理实际分时电量'!W:W,MATCH($A67-21,'[1]12月代理实际分时电量'!$C:$C,0))</f>
        <v>1.630606</v>
      </c>
      <c r="X67" s="73" cm="1">
        <f t="array" ref="X67">0.5*INDEX('[1]12月代理实际分时电量'!X:X,MATCH($A67-7,'[1]12月代理实际分时电量'!$C:$C,0))+0.3*INDEX('[1]12月代理实际分时电量'!X:X,MATCH($A67-14,'[1]12月代理实际分时电量'!$C:$C,0))+0.2*INDEX('[1]12月代理实际分时电量'!X:X,MATCH($A67-21,'[1]12月代理实际分时电量'!$C:$C,0))</f>
        <v>1.532549</v>
      </c>
      <c r="Y67" s="73" cm="1">
        <f t="array" ref="Y67">0.5*INDEX('[1]12月代理实际分时电量'!Y:Y,MATCH($A67-7,'[1]12月代理实际分时电量'!$C:$C,0))+0.3*INDEX('[1]12月代理实际分时电量'!Y:Y,MATCH($A67-14,'[1]12月代理实际分时电量'!$C:$C,0))+0.2*INDEX('[1]12月代理实际分时电量'!Y:Y,MATCH($A67-21,'[1]12月代理实际分时电量'!$C:$C,0))</f>
        <v>1.471118</v>
      </c>
      <c r="Z67" s="73" cm="1">
        <f t="array" ref="Z67">0.5*INDEX('[1]12月代理实际分时电量'!Z:Z,MATCH($A67-7,'[1]12月代理实际分时电量'!$C:$C,0))+0.3*INDEX('[1]12月代理实际分时电量'!Z:Z,MATCH($A67-14,'[1]12月代理实际分时电量'!$C:$C,0))+0.2*INDEX('[1]12月代理实际分时电量'!Z:Z,MATCH($A67-21,'[1]12月代理实际分时电量'!$C:$C,0))</f>
        <v>1.339592</v>
      </c>
      <c r="AA67" s="73" cm="1">
        <f t="array" ref="AA67">0.5*INDEX('[1]12月代理实际分时电量'!AA:AA,MATCH($A67-7,'[1]12月代理实际分时电量'!$C:$C,0))+0.3*INDEX('[1]12月代理实际分时电量'!AA:AA,MATCH($A67-14,'[1]12月代理实际分时电量'!$C:$C,0))+0.2*INDEX('[1]12月代理实际分时电量'!AA:AA,MATCH($A67-21,'[1]12月代理实际分时电量'!$C:$C,0))</f>
        <v>1.287412</v>
      </c>
      <c r="AB67" s="73" cm="1">
        <f t="array" ref="AB67">0.5*INDEX('[1]12月代理实际分时电量'!AB:AB,MATCH($A67-7,'[1]12月代理实际分时电量'!$C:$C,0))+0.3*INDEX('[1]12月代理实际分时电量'!AB:AB,MATCH($A67-14,'[1]12月代理实际分时电量'!$C:$C,0))+0.2*INDEX('[1]12月代理实际分时电量'!AB:AB,MATCH($A67-21,'[1]12月代理实际分时电量'!$C:$C,0))</f>
        <v>1.193774</v>
      </c>
      <c r="AC67" s="81"/>
    </row>
    <row r="68" spans="1:29">
      <c r="A68" s="4"/>
      <c r="B68" s="68"/>
      <c r="C68" s="2" t="s">
        <v>35</v>
      </c>
      <c r="D68" s="3">
        <f>D69/D67</f>
        <v>0.896920391462641</v>
      </c>
      <c r="E68" s="79">
        <v>1</v>
      </c>
      <c r="F68" s="80">
        <v>0.9</v>
      </c>
      <c r="G68" s="80">
        <v>0.9</v>
      </c>
      <c r="H68" s="80">
        <v>0.9</v>
      </c>
      <c r="I68" s="80">
        <v>0.9</v>
      </c>
      <c r="J68" s="80">
        <v>0.9</v>
      </c>
      <c r="K68" s="80">
        <v>0.9</v>
      </c>
      <c r="L68" s="80">
        <v>0.9</v>
      </c>
      <c r="M68" s="80">
        <v>0.9</v>
      </c>
      <c r="N68" s="80">
        <v>0.9</v>
      </c>
      <c r="O68" s="80">
        <v>0.8</v>
      </c>
      <c r="P68" s="80">
        <v>0.8</v>
      </c>
      <c r="Q68" s="80">
        <v>0.8</v>
      </c>
      <c r="R68" s="80">
        <v>0.8</v>
      </c>
      <c r="S68" s="80">
        <v>0.8</v>
      </c>
      <c r="T68" s="80">
        <v>0.8</v>
      </c>
      <c r="U68" s="80">
        <v>0.8</v>
      </c>
      <c r="V68" s="80">
        <v>1.1</v>
      </c>
      <c r="W68" s="80">
        <v>1.1</v>
      </c>
      <c r="X68" s="80">
        <v>1.1</v>
      </c>
      <c r="Y68" s="80">
        <v>1</v>
      </c>
      <c r="Z68" s="80">
        <v>1</v>
      </c>
      <c r="AA68" s="80">
        <v>0.9</v>
      </c>
      <c r="AB68" s="80">
        <v>0.9</v>
      </c>
      <c r="AC68" s="81"/>
    </row>
    <row r="69" spans="1:29">
      <c r="A69" s="4"/>
      <c r="B69" s="68"/>
      <c r="C69" s="2" t="s">
        <v>36</v>
      </c>
      <c r="D69" s="3">
        <f>SUM(E69:AB69)</f>
        <v>40.935</v>
      </c>
      <c r="E69" s="13">
        <f t="shared" ref="E69:AB69" si="26">ROUND(E67*E68,3)</f>
        <v>1.748</v>
      </c>
      <c r="F69" s="13">
        <f t="shared" si="26"/>
        <v>1.476</v>
      </c>
      <c r="G69" s="13">
        <f t="shared" si="26"/>
        <v>1.438</v>
      </c>
      <c r="H69" s="13">
        <f t="shared" si="26"/>
        <v>1.369</v>
      </c>
      <c r="I69" s="13">
        <f t="shared" si="26"/>
        <v>1.353</v>
      </c>
      <c r="J69" s="13">
        <f t="shared" si="26"/>
        <v>1.287</v>
      </c>
      <c r="K69" s="13">
        <f t="shared" si="26"/>
        <v>1.248</v>
      </c>
      <c r="L69" s="13">
        <f t="shared" si="26"/>
        <v>1.294</v>
      </c>
      <c r="M69" s="13">
        <f t="shared" si="26"/>
        <v>2.315</v>
      </c>
      <c r="N69" s="13">
        <f t="shared" si="26"/>
        <v>2.542</v>
      </c>
      <c r="O69" s="13">
        <f t="shared" si="26"/>
        <v>2.07</v>
      </c>
      <c r="P69" s="13">
        <f t="shared" si="26"/>
        <v>1.99</v>
      </c>
      <c r="Q69" s="13">
        <f t="shared" si="26"/>
        <v>1.711</v>
      </c>
      <c r="R69" s="13">
        <f t="shared" si="26"/>
        <v>1.649</v>
      </c>
      <c r="S69" s="13">
        <f t="shared" si="26"/>
        <v>2.092</v>
      </c>
      <c r="T69" s="13">
        <f t="shared" si="26"/>
        <v>2.07</v>
      </c>
      <c r="U69" s="13">
        <f t="shared" si="26"/>
        <v>2.111</v>
      </c>
      <c r="V69" s="13">
        <f t="shared" si="26"/>
        <v>2.648</v>
      </c>
      <c r="W69" s="13">
        <f t="shared" si="26"/>
        <v>1.794</v>
      </c>
      <c r="X69" s="13">
        <f t="shared" si="26"/>
        <v>1.686</v>
      </c>
      <c r="Y69" s="13">
        <f t="shared" si="26"/>
        <v>1.471</v>
      </c>
      <c r="Z69" s="13">
        <f t="shared" si="26"/>
        <v>1.34</v>
      </c>
      <c r="AA69" s="13">
        <f t="shared" si="26"/>
        <v>1.159</v>
      </c>
      <c r="AB69" s="13">
        <f t="shared" si="26"/>
        <v>1.074</v>
      </c>
      <c r="AC69" s="81"/>
    </row>
    <row r="70" ht="17" spans="1:29">
      <c r="A70" s="4"/>
      <c r="B70" s="68"/>
      <c r="C70" s="66" t="s">
        <v>37</v>
      </c>
      <c r="D70" s="3">
        <f>SUM(E70:AB70)</f>
        <v>42.4005</v>
      </c>
      <c r="E70" s="13">
        <v>1.5618</v>
      </c>
      <c r="F70" s="13">
        <v>1.6368</v>
      </c>
      <c r="G70" s="13">
        <v>1.5986</v>
      </c>
      <c r="H70" s="13">
        <v>1.531</v>
      </c>
      <c r="I70" s="13">
        <v>1.5297</v>
      </c>
      <c r="J70" s="13">
        <v>1.5413</v>
      </c>
      <c r="K70" s="13">
        <v>1.4599</v>
      </c>
      <c r="L70" s="13">
        <v>1.5348</v>
      </c>
      <c r="M70" s="13">
        <v>2.3664</v>
      </c>
      <c r="N70" s="13">
        <v>2.6402</v>
      </c>
      <c r="O70" s="13">
        <v>2.1929</v>
      </c>
      <c r="P70" s="13">
        <v>2.0728</v>
      </c>
      <c r="Q70" s="13">
        <v>2.0679</v>
      </c>
      <c r="R70" s="13">
        <v>1.8405</v>
      </c>
      <c r="S70" s="13">
        <v>2.2484</v>
      </c>
      <c r="T70" s="13">
        <v>2.1217</v>
      </c>
      <c r="U70" s="13">
        <v>2.059</v>
      </c>
      <c r="V70" s="13">
        <v>2.2695</v>
      </c>
      <c r="W70" s="13">
        <v>1.5669</v>
      </c>
      <c r="X70" s="13">
        <v>1.5839</v>
      </c>
      <c r="Y70" s="13">
        <v>1.3528</v>
      </c>
      <c r="Z70" s="13">
        <v>1.2943</v>
      </c>
      <c r="AA70" s="13">
        <v>1.1997</v>
      </c>
      <c r="AB70" s="13">
        <v>1.1297</v>
      </c>
      <c r="AC70" s="81"/>
    </row>
    <row r="71" spans="1:29">
      <c r="A71" s="69"/>
      <c r="B71" s="68"/>
      <c r="C71" s="64" t="s">
        <v>38</v>
      </c>
      <c r="D71" s="70">
        <f>D70/D67</f>
        <v>0.929030733069787</v>
      </c>
      <c r="E71" s="76">
        <f t="shared" ref="E71:AB71" si="27">1-ABS(E67-E70)/E70</f>
        <v>0.881018696375976</v>
      </c>
      <c r="F71" s="76">
        <f t="shared" si="27"/>
        <v>0.997850073313783</v>
      </c>
      <c r="G71" s="76">
        <f t="shared" si="27"/>
        <v>0.999707869385713</v>
      </c>
      <c r="H71" s="76">
        <f t="shared" si="27"/>
        <v>0.993627041149576</v>
      </c>
      <c r="I71" s="76">
        <f t="shared" si="27"/>
        <v>0.982701836961496</v>
      </c>
      <c r="J71" s="76">
        <f t="shared" si="27"/>
        <v>0.928076948030883</v>
      </c>
      <c r="K71" s="76">
        <f t="shared" si="27"/>
        <v>0.950197273785876</v>
      </c>
      <c r="L71" s="76">
        <f t="shared" si="27"/>
        <v>0.936625618973156</v>
      </c>
      <c r="M71" s="76">
        <f t="shared" si="27"/>
        <v>0.913148242055443</v>
      </c>
      <c r="N71" s="76">
        <f t="shared" si="27"/>
        <v>0.93020907507007</v>
      </c>
      <c r="O71" s="76">
        <f t="shared" si="27"/>
        <v>0.820061562314743</v>
      </c>
      <c r="P71" s="76">
        <f t="shared" si="27"/>
        <v>0.799883732149749</v>
      </c>
      <c r="Q71" s="76">
        <f t="shared" si="27"/>
        <v>0.965909860244693</v>
      </c>
      <c r="R71" s="76">
        <f t="shared" si="27"/>
        <v>0.880101059494703</v>
      </c>
      <c r="S71" s="76">
        <f t="shared" si="27"/>
        <v>0.837160647571607</v>
      </c>
      <c r="T71" s="76">
        <f t="shared" si="27"/>
        <v>0.780599990573597</v>
      </c>
      <c r="U71" s="76">
        <f t="shared" si="27"/>
        <v>0.718452161243322</v>
      </c>
      <c r="V71" s="76">
        <f t="shared" si="27"/>
        <v>0.93930821766909</v>
      </c>
      <c r="W71" s="76">
        <f t="shared" si="27"/>
        <v>0.959342651094518</v>
      </c>
      <c r="X71" s="76">
        <f t="shared" si="27"/>
        <v>0.967579392638424</v>
      </c>
      <c r="Y71" s="76">
        <f t="shared" si="27"/>
        <v>0.912538438793613</v>
      </c>
      <c r="Z71" s="76">
        <f t="shared" si="27"/>
        <v>0.965006567256432</v>
      </c>
      <c r="AA71" s="76">
        <f t="shared" si="27"/>
        <v>0.926888388763858</v>
      </c>
      <c r="AB71" s="76">
        <f t="shared" si="27"/>
        <v>0.94328228733292</v>
      </c>
      <c r="AC71" s="81"/>
    </row>
    <row r="72" spans="1:29">
      <c r="A72" s="4">
        <v>46006</v>
      </c>
      <c r="B72" s="67"/>
      <c r="C72" s="2" t="s">
        <v>33</v>
      </c>
      <c r="D72" s="3">
        <f>SUM(E72:AB72)</f>
        <v>55.529916</v>
      </c>
      <c r="E72" s="73" cm="1">
        <f t="array" ref="E72">0.5*INDEX('[1]12月代理实际分时电量'!E:E,MATCH($A72-7,'[1]12月代理实际分时电量'!$C:$C,0))+0.3*INDEX('[1]12月代理实际分时电量'!E:E,MATCH($A72-14,'[1]12月代理实际分时电量'!$C:$C,0))+0.2*INDEX('[1]12月代理实际分时电量'!E:E,MATCH($A72-21,'[1]12月代理实际分时电量'!$C:$C,0))</f>
        <v>1.19827</v>
      </c>
      <c r="F72" s="73" cm="1">
        <f t="array" ref="F72">0.5*INDEX('[1]12月代理实际分时电量'!F:F,MATCH($A72-7,'[1]12月代理实际分时电量'!$C:$C,0))+0.3*INDEX('[1]12月代理实际分时电量'!F:F,MATCH($A72-14,'[1]12月代理实际分时电量'!$C:$C,0))+0.2*INDEX('[1]12月代理实际分时电量'!F:F,MATCH($A72-21,'[1]12月代理实际分时电量'!$C:$C,0))</f>
        <v>1.2254</v>
      </c>
      <c r="G72" s="73" cm="1">
        <f t="array" ref="G72">0.5*INDEX('[1]12月代理实际分时电量'!G:G,MATCH($A72-7,'[1]12月代理实际分时电量'!$C:$C,0))+0.3*INDEX('[1]12月代理实际分时电量'!G:G,MATCH($A72-14,'[1]12月代理实际分时电量'!$C:$C,0))+0.2*INDEX('[1]12月代理实际分时电量'!G:G,MATCH($A72-21,'[1]12月代理实际分时电量'!$C:$C,0))</f>
        <v>1.21128</v>
      </c>
      <c r="H72" s="73" cm="1">
        <f t="array" ref="H72">0.5*INDEX('[1]12月代理实际分时电量'!H:H,MATCH($A72-7,'[1]12月代理实际分时电量'!$C:$C,0))+0.3*INDEX('[1]12月代理实际分时电量'!H:H,MATCH($A72-14,'[1]12月代理实际分时电量'!$C:$C,0))+0.2*INDEX('[1]12月代理实际分时电量'!H:H,MATCH($A72-21,'[1]12月代理实际分时电量'!$C:$C,0))</f>
        <v>1.161875</v>
      </c>
      <c r="I72" s="73" cm="1">
        <f t="array" ref="I72">0.5*INDEX('[1]12月代理实际分时电量'!I:I,MATCH($A72-7,'[1]12月代理实际分时电量'!$C:$C,0))+0.3*INDEX('[1]12月代理实际分时电量'!I:I,MATCH($A72-14,'[1]12月代理实际分时电量'!$C:$C,0))+0.2*INDEX('[1]12月代理实际分时电量'!I:I,MATCH($A72-21,'[1]12月代理实际分时电量'!$C:$C,0))</f>
        <v>1.131138</v>
      </c>
      <c r="J72" s="73" cm="1">
        <f t="array" ref="J72">0.5*INDEX('[1]12月代理实际分时电量'!J:J,MATCH($A72-7,'[1]12月代理实际分时电量'!$C:$C,0))+0.3*INDEX('[1]12月代理实际分时电量'!J:J,MATCH($A72-14,'[1]12月代理实际分时电量'!$C:$C,0))+0.2*INDEX('[1]12月代理实际分时电量'!J:J,MATCH($A72-21,'[1]12月代理实际分时电量'!$C:$C,0))</f>
        <v>1.14215</v>
      </c>
      <c r="K72" s="73" cm="1">
        <f t="array" ref="K72">0.5*INDEX('[1]12月代理实际分时电量'!K:K,MATCH($A72-7,'[1]12月代理实际分时电量'!$C:$C,0))+0.3*INDEX('[1]12月代理实际分时电量'!K:K,MATCH($A72-14,'[1]12月代理实际分时电量'!$C:$C,0))+0.2*INDEX('[1]12月代理实际分时电量'!K:K,MATCH($A72-21,'[1]12月代理实际分时电量'!$C:$C,0))</f>
        <v>1.15445</v>
      </c>
      <c r="L72" s="73" cm="1">
        <f t="array" ref="L72">0.5*INDEX('[1]12月代理实际分时电量'!L:L,MATCH($A72-7,'[1]12月代理实际分时电量'!$C:$C,0))+0.3*INDEX('[1]12月代理实际分时电量'!L:L,MATCH($A72-14,'[1]12月代理实际分时电量'!$C:$C,0))+0.2*INDEX('[1]12月代理实际分时电量'!L:L,MATCH($A72-21,'[1]12月代理实际分时电量'!$C:$C,0))</f>
        <v>1.58434</v>
      </c>
      <c r="M72" s="73" cm="1">
        <f t="array" ref="M72">0.5*INDEX('[1]12月代理实际分时电量'!M:M,MATCH($A72-7,'[1]12月代理实际分时电量'!$C:$C,0))+0.3*INDEX('[1]12月代理实际分时电量'!M:M,MATCH($A72-14,'[1]12月代理实际分时电量'!$C:$C,0))+0.2*INDEX('[1]12月代理实际分时电量'!M:M,MATCH($A72-21,'[1]12月代理实际分时电量'!$C:$C,0))</f>
        <v>3.176867</v>
      </c>
      <c r="N72" s="73" cm="1">
        <f t="array" ref="N72">0.5*INDEX('[1]12月代理实际分时电量'!N:N,MATCH($A72-7,'[1]12月代理实际分时电量'!$C:$C,0))+0.3*INDEX('[1]12月代理实际分时电量'!N:N,MATCH($A72-14,'[1]12月代理实际分时电量'!$C:$C,0))+0.2*INDEX('[1]12月代理实际分时电量'!N:N,MATCH($A72-21,'[1]12月代理实际分时电量'!$C:$C,0))</f>
        <v>3.599899</v>
      </c>
      <c r="O72" s="73" cm="1">
        <f t="array" ref="O72">0.5*INDEX('[1]12月代理实际分时电量'!O:O,MATCH($A72-7,'[1]12月代理实际分时电量'!$C:$C,0))+0.3*INDEX('[1]12月代理实际分时电量'!O:O,MATCH($A72-14,'[1]12月代理实际分时电量'!$C:$C,0))+0.2*INDEX('[1]12月代理实际分时电量'!O:O,MATCH($A72-21,'[1]12月代理实际分时电量'!$C:$C,0))</f>
        <v>2.964027</v>
      </c>
      <c r="P72" s="73" cm="1">
        <f t="array" ref="P72">0.5*INDEX('[1]12月代理实际分时电量'!P:P,MATCH($A72-7,'[1]12月代理实际分时电量'!$C:$C,0))+0.3*INDEX('[1]12月代理实际分时电量'!P:P,MATCH($A72-14,'[1]12月代理实际分时电量'!$C:$C,0))+0.2*INDEX('[1]12月代理实际分时电量'!P:P,MATCH($A72-21,'[1]12月代理实际分时电量'!$C:$C,0))</f>
        <v>2.87244</v>
      </c>
      <c r="Q72" s="73" cm="1">
        <f t="array" ref="Q72">0.5*INDEX('[1]12月代理实际分时电量'!Q:Q,MATCH($A72-7,'[1]12月代理实际分时电量'!$C:$C,0))+0.3*INDEX('[1]12月代理实际分时电量'!Q:Q,MATCH($A72-14,'[1]12月代理实际分时电量'!$C:$C,0))+0.2*INDEX('[1]12月代理实际分时电量'!Q:Q,MATCH($A72-21,'[1]12月代理实际分时电量'!$C:$C,0))</f>
        <v>2.457758</v>
      </c>
      <c r="R72" s="73" cm="1">
        <f t="array" ref="R72">0.5*INDEX('[1]12月代理实际分时电量'!R:R,MATCH($A72-7,'[1]12月代理实际分时电量'!$C:$C,0))+0.3*INDEX('[1]12月代理实际分时电量'!R:R,MATCH($A72-14,'[1]12月代理实际分时电量'!$C:$C,0))+0.2*INDEX('[1]12月代理实际分时电量'!R:R,MATCH($A72-21,'[1]12月代理实际分时电量'!$C:$C,0))</f>
        <v>2.906188</v>
      </c>
      <c r="S72" s="73" cm="1">
        <f t="array" ref="S72">0.5*INDEX('[1]12月代理实际分时电量'!S:S,MATCH($A72-7,'[1]12月代理实际分时电量'!$C:$C,0))+0.3*INDEX('[1]12月代理实际分时电量'!S:S,MATCH($A72-14,'[1]12月代理实际分时电量'!$C:$C,0))+0.2*INDEX('[1]12月代理实际分时电量'!S:S,MATCH($A72-21,'[1]12月代理实际分时电量'!$C:$C,0))</f>
        <v>3.391506</v>
      </c>
      <c r="T72" s="73" cm="1">
        <f t="array" ref="T72">0.5*INDEX('[1]12月代理实际分时电量'!T:T,MATCH($A72-7,'[1]12月代理实际分时电量'!$C:$C,0))+0.3*INDEX('[1]12月代理实际分时电量'!T:T,MATCH($A72-14,'[1]12月代理实际分时电量'!$C:$C,0))+0.2*INDEX('[1]12月代理实际分时电量'!T:T,MATCH($A72-21,'[1]12月代理实际分时电量'!$C:$C,0))</f>
        <v>3.259616</v>
      </c>
      <c r="U72" s="73" cm="1">
        <f t="array" ref="U72">0.5*INDEX('[1]12月代理实际分时电量'!U:U,MATCH($A72-7,'[1]12月代理实际分时电量'!$C:$C,0))+0.3*INDEX('[1]12月代理实际分时电量'!U:U,MATCH($A72-14,'[1]12月代理实际分时电量'!$C:$C,0))+0.2*INDEX('[1]12月代理实际分时电量'!U:U,MATCH($A72-21,'[1]12月代理实际分时电量'!$C:$C,0))</f>
        <v>3.452377</v>
      </c>
      <c r="V72" s="73" cm="1">
        <f t="array" ref="V72">0.5*INDEX('[1]12月代理实际分时电量'!V:V,MATCH($A72-7,'[1]12月代理实际分时电量'!$C:$C,0))+0.3*INDEX('[1]12月代理实际分时电量'!V:V,MATCH($A72-14,'[1]12月代理实际分时电量'!$C:$C,0))+0.2*INDEX('[1]12月代理实际分时电量'!V:V,MATCH($A72-21,'[1]12月代理实际分时电量'!$C:$C,0))</f>
        <v>3.363339</v>
      </c>
      <c r="W72" s="73" cm="1">
        <f t="array" ref="W72">0.5*INDEX('[1]12月代理实际分时电量'!W:W,MATCH($A72-7,'[1]12月代理实际分时电量'!$C:$C,0))+0.3*INDEX('[1]12月代理实际分时电量'!W:W,MATCH($A72-14,'[1]12月代理实际分时电量'!$C:$C,0))+0.2*INDEX('[1]12月代理实际分时电量'!W:W,MATCH($A72-21,'[1]12月代理实际分时电量'!$C:$C,0))</f>
        <v>3.043086</v>
      </c>
      <c r="X72" s="73" cm="1">
        <f t="array" ref="X72">0.5*INDEX('[1]12月代理实际分时电量'!X:X,MATCH($A72-7,'[1]12月代理实际分时电量'!$C:$C,0))+0.3*INDEX('[1]12月代理实际分时电量'!X:X,MATCH($A72-14,'[1]12月代理实际分时电量'!$C:$C,0))+0.2*INDEX('[1]12月代理实际分时电量'!X:X,MATCH($A72-21,'[1]12月代理实际分时电量'!$C:$C,0))</f>
        <v>3.06594</v>
      </c>
      <c r="Y72" s="73" cm="1">
        <f t="array" ref="Y72">0.5*INDEX('[1]12月代理实际分时电量'!Y:Y,MATCH($A72-7,'[1]12月代理实际分时电量'!$C:$C,0))+0.3*INDEX('[1]12月代理实际分时电量'!Y:Y,MATCH($A72-14,'[1]12月代理实际分时电量'!$C:$C,0))+0.2*INDEX('[1]12月代理实际分时电量'!Y:Y,MATCH($A72-21,'[1]12月代理实际分时电量'!$C:$C,0))</f>
        <v>2.67588</v>
      </c>
      <c r="Z72" s="73" cm="1">
        <f t="array" ref="Z72">0.5*INDEX('[1]12月代理实际分时电量'!Z:Z,MATCH($A72-7,'[1]12月代理实际分时电量'!$C:$C,0))+0.3*INDEX('[1]12月代理实际分时电量'!Z:Z,MATCH($A72-14,'[1]12月代理实际分时电量'!$C:$C,0))+0.2*INDEX('[1]12月代理实际分时电量'!Z:Z,MATCH($A72-21,'[1]12月代理实际分时电量'!$C:$C,0))</f>
        <v>2.26205</v>
      </c>
      <c r="AA72" s="73" cm="1">
        <f t="array" ref="AA72">0.5*INDEX('[1]12月代理实际分时电量'!AA:AA,MATCH($A72-7,'[1]12月代理实际分时电量'!$C:$C,0))+0.3*INDEX('[1]12月代理实际分时电量'!AA:AA,MATCH($A72-14,'[1]12月代理实际分时电量'!$C:$C,0))+0.2*INDEX('[1]12月代理实际分时电量'!AA:AA,MATCH($A72-21,'[1]12月代理实际分时电量'!$C:$C,0))</f>
        <v>1.744325</v>
      </c>
      <c r="AB72" s="73" cm="1">
        <f t="array" ref="AB72">0.5*INDEX('[1]12月代理实际分时电量'!AB:AB,MATCH($A72-7,'[1]12月代理实际分时电量'!$C:$C,0))+0.3*INDEX('[1]12月代理实际分时电量'!AB:AB,MATCH($A72-14,'[1]12月代理实际分时电量'!$C:$C,0))+0.2*INDEX('[1]12月代理实际分时电量'!AB:AB,MATCH($A72-21,'[1]12月代理实际分时电量'!$C:$C,0))</f>
        <v>1.485715</v>
      </c>
      <c r="AC72" s="81"/>
    </row>
    <row r="73" spans="1:29">
      <c r="A73" s="4"/>
      <c r="B73" s="68"/>
      <c r="C73" s="2" t="s">
        <v>35</v>
      </c>
      <c r="D73" s="3">
        <f>D74/D72</f>
        <v>0.904863605412261</v>
      </c>
      <c r="E73" s="74">
        <v>1.1</v>
      </c>
      <c r="F73" s="75">
        <v>0.9</v>
      </c>
      <c r="G73" s="75">
        <v>0.9</v>
      </c>
      <c r="H73" s="75">
        <v>0.9</v>
      </c>
      <c r="I73" s="75">
        <v>0.9</v>
      </c>
      <c r="J73" s="75">
        <v>0.9</v>
      </c>
      <c r="K73" s="75">
        <v>0.8</v>
      </c>
      <c r="L73" s="75">
        <v>0.9</v>
      </c>
      <c r="M73" s="75">
        <v>0.9</v>
      </c>
      <c r="N73" s="75">
        <v>0.9</v>
      </c>
      <c r="O73" s="75">
        <v>0.8</v>
      </c>
      <c r="P73" s="75">
        <v>0.8</v>
      </c>
      <c r="Q73" s="75">
        <v>0.8</v>
      </c>
      <c r="R73" s="75">
        <v>0.8</v>
      </c>
      <c r="S73" s="75">
        <v>0.8</v>
      </c>
      <c r="T73" s="75">
        <v>0.8</v>
      </c>
      <c r="U73" s="75">
        <v>1</v>
      </c>
      <c r="V73" s="75">
        <v>1.1</v>
      </c>
      <c r="W73" s="75">
        <v>1.2</v>
      </c>
      <c r="X73" s="75">
        <v>0.9</v>
      </c>
      <c r="Y73" s="75">
        <v>0.9</v>
      </c>
      <c r="Z73" s="75">
        <v>0.9</v>
      </c>
      <c r="AA73" s="75">
        <v>0.9</v>
      </c>
      <c r="AB73" s="75">
        <v>0.9</v>
      </c>
      <c r="AC73" s="81"/>
    </row>
    <row r="74" spans="1:29">
      <c r="A74" s="4"/>
      <c r="B74" s="68"/>
      <c r="C74" s="2" t="s">
        <v>36</v>
      </c>
      <c r="D74" s="3">
        <f>SUM(E74:AB74)</f>
        <v>50.247</v>
      </c>
      <c r="E74" s="13">
        <f t="shared" ref="E74:AB74" si="28">ROUND(E72*E73,3)</f>
        <v>1.318</v>
      </c>
      <c r="F74" s="13">
        <f t="shared" si="28"/>
        <v>1.103</v>
      </c>
      <c r="G74" s="13">
        <f t="shared" si="28"/>
        <v>1.09</v>
      </c>
      <c r="H74" s="13">
        <f t="shared" si="28"/>
        <v>1.046</v>
      </c>
      <c r="I74" s="13">
        <f t="shared" si="28"/>
        <v>1.018</v>
      </c>
      <c r="J74" s="13">
        <f t="shared" si="28"/>
        <v>1.028</v>
      </c>
      <c r="K74" s="13">
        <f t="shared" si="28"/>
        <v>0.924</v>
      </c>
      <c r="L74" s="13">
        <f t="shared" si="28"/>
        <v>1.426</v>
      </c>
      <c r="M74" s="13">
        <f t="shared" si="28"/>
        <v>2.859</v>
      </c>
      <c r="N74" s="13">
        <f t="shared" si="28"/>
        <v>3.24</v>
      </c>
      <c r="O74" s="13">
        <f t="shared" si="28"/>
        <v>2.371</v>
      </c>
      <c r="P74" s="13">
        <f t="shared" si="28"/>
        <v>2.298</v>
      </c>
      <c r="Q74" s="13">
        <f t="shared" si="28"/>
        <v>1.966</v>
      </c>
      <c r="R74" s="13">
        <f t="shared" si="28"/>
        <v>2.325</v>
      </c>
      <c r="S74" s="13">
        <f t="shared" si="28"/>
        <v>2.713</v>
      </c>
      <c r="T74" s="13">
        <f t="shared" si="28"/>
        <v>2.608</v>
      </c>
      <c r="U74" s="13">
        <f t="shared" si="28"/>
        <v>3.452</v>
      </c>
      <c r="V74" s="13">
        <f t="shared" si="28"/>
        <v>3.7</v>
      </c>
      <c r="W74" s="13">
        <f t="shared" si="28"/>
        <v>3.652</v>
      </c>
      <c r="X74" s="13">
        <f t="shared" si="28"/>
        <v>2.759</v>
      </c>
      <c r="Y74" s="13">
        <f t="shared" si="28"/>
        <v>2.408</v>
      </c>
      <c r="Z74" s="13">
        <f t="shared" si="28"/>
        <v>2.036</v>
      </c>
      <c r="AA74" s="13">
        <f t="shared" si="28"/>
        <v>1.57</v>
      </c>
      <c r="AB74" s="13">
        <f t="shared" si="28"/>
        <v>1.337</v>
      </c>
      <c r="AC74" s="81"/>
    </row>
    <row r="75" ht="17" spans="1:29">
      <c r="A75" s="4"/>
      <c r="B75" s="68"/>
      <c r="C75" s="66" t="s">
        <v>37</v>
      </c>
      <c r="D75" s="3">
        <f>SUM(E75:AB75)</f>
        <v>59.9772</v>
      </c>
      <c r="E75" s="13">
        <v>1.1308</v>
      </c>
      <c r="F75" s="13">
        <v>1.2561</v>
      </c>
      <c r="G75" s="13">
        <v>1.2381</v>
      </c>
      <c r="H75" s="13">
        <v>1.1965</v>
      </c>
      <c r="I75" s="13">
        <v>1.1396</v>
      </c>
      <c r="J75" s="13">
        <v>1.1342</v>
      </c>
      <c r="K75" s="13">
        <v>1.1108</v>
      </c>
      <c r="L75" s="13">
        <v>1.6247</v>
      </c>
      <c r="M75" s="13">
        <v>3.5588</v>
      </c>
      <c r="N75" s="13">
        <v>3.8807</v>
      </c>
      <c r="O75" s="13">
        <v>3.2952</v>
      </c>
      <c r="P75" s="13">
        <v>3.1977</v>
      </c>
      <c r="Q75" s="13">
        <v>2.7299</v>
      </c>
      <c r="R75" s="13">
        <v>3.2712</v>
      </c>
      <c r="S75" s="13">
        <v>3.8964</v>
      </c>
      <c r="T75" s="13">
        <v>3.693</v>
      </c>
      <c r="U75" s="13">
        <v>3.8123</v>
      </c>
      <c r="V75" s="13">
        <v>3.5562</v>
      </c>
      <c r="W75" s="13">
        <v>3.2864</v>
      </c>
      <c r="X75" s="13">
        <v>3.386</v>
      </c>
      <c r="Y75" s="13">
        <v>2.8095</v>
      </c>
      <c r="Z75" s="13">
        <v>2.3117</v>
      </c>
      <c r="AA75" s="13">
        <v>1.8959</v>
      </c>
      <c r="AB75" s="13">
        <v>1.5655</v>
      </c>
      <c r="AC75" s="81"/>
    </row>
    <row r="76" spans="1:29">
      <c r="A76" s="69"/>
      <c r="B76" s="68"/>
      <c r="C76" s="64" t="s">
        <v>38</v>
      </c>
      <c r="D76" s="70">
        <f>D75/D72</f>
        <v>1.08008807360703</v>
      </c>
      <c r="E76" s="76">
        <f t="shared" ref="E76:AB76" si="29">1-ABS(E72-E75)/E75</f>
        <v>0.940334276618323</v>
      </c>
      <c r="F76" s="76">
        <f t="shared" si="29"/>
        <v>0.975559270758698</v>
      </c>
      <c r="G76" s="76">
        <f t="shared" si="29"/>
        <v>0.97833777562394</v>
      </c>
      <c r="H76" s="76">
        <f t="shared" si="29"/>
        <v>0.971061429168408</v>
      </c>
      <c r="I76" s="76">
        <f t="shared" si="29"/>
        <v>0.992574587574588</v>
      </c>
      <c r="J76" s="76">
        <f t="shared" si="29"/>
        <v>0.992990654205608</v>
      </c>
      <c r="K76" s="76">
        <f t="shared" si="29"/>
        <v>0.960703997119193</v>
      </c>
      <c r="L76" s="76">
        <f t="shared" si="29"/>
        <v>0.975158490798301</v>
      </c>
      <c r="M76" s="76">
        <f t="shared" si="29"/>
        <v>0.892679273912555</v>
      </c>
      <c r="N76" s="76">
        <f t="shared" si="29"/>
        <v>0.927641662586647</v>
      </c>
      <c r="O76" s="76">
        <f t="shared" si="29"/>
        <v>0.899498361252731</v>
      </c>
      <c r="P76" s="76">
        <f t="shared" si="29"/>
        <v>0.898283141007599</v>
      </c>
      <c r="Q76" s="76">
        <f t="shared" si="29"/>
        <v>0.900310634089161</v>
      </c>
      <c r="R76" s="76">
        <f t="shared" si="29"/>
        <v>0.888416483247738</v>
      </c>
      <c r="S76" s="76">
        <f t="shared" si="29"/>
        <v>0.870420388050508</v>
      </c>
      <c r="T76" s="76">
        <f t="shared" si="29"/>
        <v>0.882647170322231</v>
      </c>
      <c r="U76" s="76">
        <f t="shared" si="29"/>
        <v>0.905589014505679</v>
      </c>
      <c r="V76" s="76">
        <f t="shared" si="29"/>
        <v>0.945767673359204</v>
      </c>
      <c r="W76" s="76">
        <f t="shared" si="29"/>
        <v>0.925963364167478</v>
      </c>
      <c r="X76" s="76">
        <f t="shared" si="29"/>
        <v>0.90547548730065</v>
      </c>
      <c r="Y76" s="76">
        <f t="shared" si="29"/>
        <v>0.952439935931661</v>
      </c>
      <c r="Z76" s="76">
        <f t="shared" si="29"/>
        <v>0.97852229960635</v>
      </c>
      <c r="AA76" s="76">
        <f t="shared" si="29"/>
        <v>0.920051163036025</v>
      </c>
      <c r="AB76" s="76">
        <f t="shared" si="29"/>
        <v>0.94903545193229</v>
      </c>
      <c r="AC76" s="81"/>
    </row>
    <row r="77" spans="1:29">
      <c r="A77" s="4">
        <v>46007</v>
      </c>
      <c r="B77" s="67"/>
      <c r="C77" s="2" t="s">
        <v>33</v>
      </c>
      <c r="D77" s="3">
        <f>SUM(E77:AB77)</f>
        <v>58.045394</v>
      </c>
      <c r="E77" s="73" cm="1">
        <f t="array" ref="E77">0.5*INDEX('[1]12月代理实际分时电量'!E:E,MATCH($A77-7,'[1]12月代理实际分时电量'!$C:$C,0))+0.3*INDEX('[1]12月代理实际分时电量'!E:E,MATCH($A77-14,'[1]12月代理实际分时电量'!$C:$C,0))+0.2*INDEX('[1]12月代理实际分时电量'!E:E,MATCH($A77-21,'[1]12月代理实际分时电量'!$C:$C,0))</f>
        <v>1.39792</v>
      </c>
      <c r="F77" s="73" cm="1">
        <f t="array" ref="F77">0.5*INDEX('[1]12月代理实际分时电量'!F:F,MATCH($A77-7,'[1]12月代理实际分时电量'!$C:$C,0))+0.3*INDEX('[1]12月代理实际分时电量'!F:F,MATCH($A77-14,'[1]12月代理实际分时电量'!$C:$C,0))+0.2*INDEX('[1]12月代理实际分时电量'!F:F,MATCH($A77-21,'[1]12月代理实际分时电量'!$C:$C,0))</f>
        <v>1.43711</v>
      </c>
      <c r="G77" s="73" cm="1">
        <f t="array" ref="G77">0.5*INDEX('[1]12月代理实际分时电量'!G:G,MATCH($A77-7,'[1]12月代理实际分时电量'!$C:$C,0))+0.3*INDEX('[1]12月代理实际分时电量'!G:G,MATCH($A77-14,'[1]12月代理实际分时电量'!$C:$C,0))+0.2*INDEX('[1]12月代理实际分时电量'!G:G,MATCH($A77-21,'[1]12月代理实际分时电量'!$C:$C,0))</f>
        <v>1.39234</v>
      </c>
      <c r="H77" s="73" cm="1">
        <f t="array" ref="H77">0.5*INDEX('[1]12月代理实际分时电量'!H:H,MATCH($A77-7,'[1]12月代理实际分时电量'!$C:$C,0))+0.3*INDEX('[1]12月代理实际分时电量'!H:H,MATCH($A77-14,'[1]12月代理实际分时电量'!$C:$C,0))+0.2*INDEX('[1]12月代理实际分时电量'!H:H,MATCH($A77-21,'[1]12月代理实际分时电量'!$C:$C,0))</f>
        <v>1.35909</v>
      </c>
      <c r="I77" s="73" cm="1">
        <f t="array" ref="I77">0.5*INDEX('[1]12月代理实际分时电量'!I:I,MATCH($A77-7,'[1]12月代理实际分时电量'!$C:$C,0))+0.3*INDEX('[1]12月代理实际分时电量'!I:I,MATCH($A77-14,'[1]12月代理实际分时电量'!$C:$C,0))+0.2*INDEX('[1]12月代理实际分时电量'!I:I,MATCH($A77-21,'[1]12月代理实际分时电量'!$C:$C,0))</f>
        <v>1.370507</v>
      </c>
      <c r="J77" s="73" cm="1">
        <f t="array" ref="J77">0.5*INDEX('[1]12月代理实际分时电量'!J:J,MATCH($A77-7,'[1]12月代理实际分时电量'!$C:$C,0))+0.3*INDEX('[1]12月代理实际分时电量'!J:J,MATCH($A77-14,'[1]12月代理实际分时电量'!$C:$C,0))+0.2*INDEX('[1]12月代理实际分时电量'!J:J,MATCH($A77-21,'[1]12月代理实际分时电量'!$C:$C,0))</f>
        <v>1.392745</v>
      </c>
      <c r="K77" s="73" cm="1">
        <f t="array" ref="K77">0.5*INDEX('[1]12月代理实际分时电量'!K:K,MATCH($A77-7,'[1]12月代理实际分时电量'!$C:$C,0))+0.3*INDEX('[1]12月代理实际分时电量'!K:K,MATCH($A77-14,'[1]12月代理实际分时电量'!$C:$C,0))+0.2*INDEX('[1]12月代理实际分时电量'!K:K,MATCH($A77-21,'[1]12月代理实际分时电量'!$C:$C,0))</f>
        <v>1.33567</v>
      </c>
      <c r="L77" s="73" cm="1">
        <f t="array" ref="L77">0.5*INDEX('[1]12月代理实际分时电量'!L:L,MATCH($A77-7,'[1]12月代理实际分时电量'!$C:$C,0))+0.3*INDEX('[1]12月代理实际分时电量'!L:L,MATCH($A77-14,'[1]12月代理实际分时电量'!$C:$C,0))+0.2*INDEX('[1]12月代理实际分时电量'!L:L,MATCH($A77-21,'[1]12月代理实际分时电量'!$C:$C,0))</f>
        <v>1.70687</v>
      </c>
      <c r="M77" s="73" cm="1">
        <f t="array" ref="M77">0.5*INDEX('[1]12月代理实际分时电量'!M:M,MATCH($A77-7,'[1]12月代理实际分时电量'!$C:$C,0))+0.3*INDEX('[1]12月代理实际分时电量'!M:M,MATCH($A77-14,'[1]12月代理实际分时电量'!$C:$C,0))+0.2*INDEX('[1]12月代理实际分时电量'!M:M,MATCH($A77-21,'[1]12月代理实际分时电量'!$C:$C,0))</f>
        <v>3.433644</v>
      </c>
      <c r="N77" s="73" cm="1">
        <f t="array" ref="N77">0.5*INDEX('[1]12月代理实际分时电量'!N:N,MATCH($A77-7,'[1]12月代理实际分时电量'!$C:$C,0))+0.3*INDEX('[1]12月代理实际分时电量'!N:N,MATCH($A77-14,'[1]12月代理实际分时电量'!$C:$C,0))+0.2*INDEX('[1]12月代理实际分时电量'!N:N,MATCH($A77-21,'[1]12月代理实际分时电量'!$C:$C,0))</f>
        <v>3.649946</v>
      </c>
      <c r="O77" s="73" cm="1">
        <f t="array" ref="O77">0.5*INDEX('[1]12月代理实际分时电量'!O:O,MATCH($A77-7,'[1]12月代理实际分时电量'!$C:$C,0))+0.3*INDEX('[1]12月代理实际分时电量'!O:O,MATCH($A77-14,'[1]12月代理实际分时电量'!$C:$C,0))+0.2*INDEX('[1]12月代理实际分时电量'!O:O,MATCH($A77-21,'[1]12月代理实际分时电量'!$C:$C,0))</f>
        <v>3.210713</v>
      </c>
      <c r="P77" s="73" cm="1">
        <f t="array" ref="P77">0.5*INDEX('[1]12月代理实际分时电量'!P:P,MATCH($A77-7,'[1]12月代理实际分时电量'!$C:$C,0))+0.3*INDEX('[1]12月代理实际分时电量'!P:P,MATCH($A77-14,'[1]12月代理实际分时电量'!$C:$C,0))+0.2*INDEX('[1]12月代理实际分时电量'!P:P,MATCH($A77-21,'[1]12月代理实际分时电量'!$C:$C,0))</f>
        <v>3.031423</v>
      </c>
      <c r="Q77" s="73" cm="1">
        <f t="array" ref="Q77">0.5*INDEX('[1]12月代理实际分时电量'!Q:Q,MATCH($A77-7,'[1]12月代理实际分时电量'!$C:$C,0))+0.3*INDEX('[1]12月代理实际分时电量'!Q:Q,MATCH($A77-14,'[1]12月代理实际分时电量'!$C:$C,0))+0.2*INDEX('[1]12月代理实际分时电量'!Q:Q,MATCH($A77-21,'[1]12月代理实际分时电量'!$C:$C,0))</f>
        <v>2.420131</v>
      </c>
      <c r="R77" s="73" cm="1">
        <f t="array" ref="R77">0.5*INDEX('[1]12月代理实际分时电量'!R:R,MATCH($A77-7,'[1]12月代理实际分时电量'!$C:$C,0))+0.3*INDEX('[1]12月代理实际分时电量'!R:R,MATCH($A77-14,'[1]12月代理实际分时电量'!$C:$C,0))+0.2*INDEX('[1]12月代理实际分时电量'!R:R,MATCH($A77-21,'[1]12月代理实际分时电量'!$C:$C,0))</f>
        <v>2.900372</v>
      </c>
      <c r="S77" s="73" cm="1">
        <f t="array" ref="S77">0.5*INDEX('[1]12月代理实际分时电量'!S:S,MATCH($A77-7,'[1]12月代理实际分时电量'!$C:$C,0))+0.3*INDEX('[1]12月代理实际分时电量'!S:S,MATCH($A77-14,'[1]12月代理实际分时电量'!$C:$C,0))+0.2*INDEX('[1]12月代理实际分时电量'!S:S,MATCH($A77-21,'[1]12月代理实际分时电量'!$C:$C,0))</f>
        <v>3.480426</v>
      </c>
      <c r="T77" s="73" cm="1">
        <f t="array" ref="T77">0.5*INDEX('[1]12月代理实际分时电量'!T:T,MATCH($A77-7,'[1]12月代理实际分时电量'!$C:$C,0))+0.3*INDEX('[1]12月代理实际分时电量'!T:T,MATCH($A77-14,'[1]12月代理实际分时电量'!$C:$C,0))+0.2*INDEX('[1]12月代理实际分时电量'!T:T,MATCH($A77-21,'[1]12月代理实际分时电量'!$C:$C,0))</f>
        <v>3.344096</v>
      </c>
      <c r="U77" s="73" cm="1">
        <f t="array" ref="U77">0.5*INDEX('[1]12月代理实际分时电量'!U:U,MATCH($A77-7,'[1]12月代理实际分时电量'!$C:$C,0))+0.3*INDEX('[1]12月代理实际分时电量'!U:U,MATCH($A77-14,'[1]12月代理实际分时电量'!$C:$C,0))+0.2*INDEX('[1]12月代理实际分时电量'!U:U,MATCH($A77-21,'[1]12月代理实际分时电量'!$C:$C,0))</f>
        <v>3.469756</v>
      </c>
      <c r="V77" s="73" cm="1">
        <f t="array" ref="V77">0.5*INDEX('[1]12月代理实际分时电量'!V:V,MATCH($A77-7,'[1]12月代理实际分时电量'!$C:$C,0))+0.3*INDEX('[1]12月代理实际分时电量'!V:V,MATCH($A77-14,'[1]12月代理实际分时电量'!$C:$C,0))+0.2*INDEX('[1]12月代理实际分时电量'!V:V,MATCH($A77-21,'[1]12月代理实际分时电量'!$C:$C,0))</f>
        <v>3.40105</v>
      </c>
      <c r="W77" s="73" cm="1">
        <f t="array" ref="W77">0.5*INDEX('[1]12月代理实际分时电量'!W:W,MATCH($A77-7,'[1]12月代理实际分时电量'!$C:$C,0))+0.3*INDEX('[1]12月代理实际分时电量'!W:W,MATCH($A77-14,'[1]12月代理实际分时电量'!$C:$C,0))+0.2*INDEX('[1]12月代理实际分时电量'!W:W,MATCH($A77-21,'[1]12月代理实际分时电量'!$C:$C,0))</f>
        <v>3.039843</v>
      </c>
      <c r="X77" s="73" cm="1">
        <f t="array" ref="X77">0.5*INDEX('[1]12月代理实际分时电量'!X:X,MATCH($A77-7,'[1]12月代理实际分时电量'!$C:$C,0))+0.3*INDEX('[1]12月代理实际分时电量'!X:X,MATCH($A77-14,'[1]12月代理实际分时电量'!$C:$C,0))+0.2*INDEX('[1]12月代理实际分时电量'!X:X,MATCH($A77-21,'[1]12月代理实际分时电量'!$C:$C,0))</f>
        <v>3.096264</v>
      </c>
      <c r="Y77" s="73" cm="1">
        <f t="array" ref="Y77">0.5*INDEX('[1]12月代理实际分时电量'!Y:Y,MATCH($A77-7,'[1]12月代理实际分时电量'!$C:$C,0))+0.3*INDEX('[1]12月代理实际分时电量'!Y:Y,MATCH($A77-14,'[1]12月代理实际分时电量'!$C:$C,0))+0.2*INDEX('[1]12月代理实际分时电量'!Y:Y,MATCH($A77-21,'[1]12月代理实际分时电量'!$C:$C,0))</f>
        <v>2.691354</v>
      </c>
      <c r="Z77" s="73" cm="1">
        <f t="array" ref="Z77">0.5*INDEX('[1]12月代理实际分时电量'!Z:Z,MATCH($A77-7,'[1]12月代理实际分时电量'!$C:$C,0))+0.3*INDEX('[1]12月代理实际分时电量'!Z:Z,MATCH($A77-14,'[1]12月代理实际分时电量'!$C:$C,0))+0.2*INDEX('[1]12月代理实际分时电量'!Z:Z,MATCH($A77-21,'[1]12月代理实际分时电量'!$C:$C,0))</f>
        <v>2.224924</v>
      </c>
      <c r="AA77" s="73" cm="1">
        <f t="array" ref="AA77">0.5*INDEX('[1]12月代理实际分时电量'!AA:AA,MATCH($A77-7,'[1]12月代理实际分时电量'!$C:$C,0))+0.3*INDEX('[1]12月代理实际分时电量'!AA:AA,MATCH($A77-14,'[1]12月代理实际分时电量'!$C:$C,0))+0.2*INDEX('[1]12月代理实际分时电量'!AA:AA,MATCH($A77-21,'[1]12月代理实际分时电量'!$C:$C,0))</f>
        <v>1.751006</v>
      </c>
      <c r="AB77" s="73" cm="1">
        <f t="array" ref="AB77">0.5*INDEX('[1]12月代理实际分时电量'!AB:AB,MATCH($A77-7,'[1]12月代理实际分时电量'!$C:$C,0))+0.3*INDEX('[1]12月代理实际分时电量'!AB:AB,MATCH($A77-14,'[1]12月代理实际分时电量'!$C:$C,0))+0.2*INDEX('[1]12月代理实际分时电量'!AB:AB,MATCH($A77-21,'[1]12月代理实际分时电量'!$C:$C,0))</f>
        <v>1.508194</v>
      </c>
      <c r="AC77" s="81"/>
    </row>
    <row r="78" spans="1:29">
      <c r="A78" s="4"/>
      <c r="B78" s="68"/>
      <c r="C78" s="2" t="s">
        <v>35</v>
      </c>
      <c r="D78" s="3">
        <f>D79/D77</f>
        <v>0.912458273605655</v>
      </c>
      <c r="E78" s="74">
        <v>1</v>
      </c>
      <c r="F78" s="75">
        <v>0.9</v>
      </c>
      <c r="G78" s="75">
        <v>0.9</v>
      </c>
      <c r="H78" s="75">
        <v>0.9</v>
      </c>
      <c r="I78" s="75">
        <v>0.9</v>
      </c>
      <c r="J78" s="75">
        <v>0.9</v>
      </c>
      <c r="K78" s="75">
        <v>0.8</v>
      </c>
      <c r="L78" s="75">
        <v>0.9</v>
      </c>
      <c r="M78" s="75">
        <v>0.9</v>
      </c>
      <c r="N78" s="75">
        <v>0.9</v>
      </c>
      <c r="O78" s="75">
        <v>0.8</v>
      </c>
      <c r="P78" s="75">
        <v>0.8</v>
      </c>
      <c r="Q78" s="75">
        <v>0.8</v>
      </c>
      <c r="R78" s="75">
        <v>0.8</v>
      </c>
      <c r="S78" s="75">
        <v>0.8</v>
      </c>
      <c r="T78" s="75">
        <v>0.8</v>
      </c>
      <c r="U78" s="75">
        <v>1</v>
      </c>
      <c r="V78" s="75">
        <v>1.1</v>
      </c>
      <c r="W78" s="75">
        <v>1.2</v>
      </c>
      <c r="X78" s="75">
        <v>1.1</v>
      </c>
      <c r="Y78" s="75">
        <v>0.9</v>
      </c>
      <c r="Z78" s="75">
        <v>0.9</v>
      </c>
      <c r="AA78" s="75">
        <v>0.9</v>
      </c>
      <c r="AB78" s="75">
        <v>0.9</v>
      </c>
      <c r="AC78" s="81"/>
    </row>
    <row r="79" spans="1:29">
      <c r="A79" s="4"/>
      <c r="B79" s="68"/>
      <c r="C79" s="2" t="s">
        <v>36</v>
      </c>
      <c r="D79" s="3">
        <f>SUM(E79:AB79)</f>
        <v>52.964</v>
      </c>
      <c r="E79" s="13">
        <f t="shared" ref="E79:AB79" si="30">ROUND(E77*E78,3)</f>
        <v>1.398</v>
      </c>
      <c r="F79" s="13">
        <f t="shared" si="30"/>
        <v>1.293</v>
      </c>
      <c r="G79" s="13">
        <f t="shared" si="30"/>
        <v>1.253</v>
      </c>
      <c r="H79" s="13">
        <f t="shared" si="30"/>
        <v>1.223</v>
      </c>
      <c r="I79" s="13">
        <f t="shared" si="30"/>
        <v>1.233</v>
      </c>
      <c r="J79" s="13">
        <f t="shared" si="30"/>
        <v>1.253</v>
      </c>
      <c r="K79" s="13">
        <f t="shared" si="30"/>
        <v>1.069</v>
      </c>
      <c r="L79" s="13">
        <f t="shared" si="30"/>
        <v>1.536</v>
      </c>
      <c r="M79" s="13">
        <f t="shared" si="30"/>
        <v>3.09</v>
      </c>
      <c r="N79" s="13">
        <f t="shared" si="30"/>
        <v>3.285</v>
      </c>
      <c r="O79" s="13">
        <f t="shared" si="30"/>
        <v>2.569</v>
      </c>
      <c r="P79" s="13">
        <f t="shared" si="30"/>
        <v>2.425</v>
      </c>
      <c r="Q79" s="13">
        <f t="shared" si="30"/>
        <v>1.936</v>
      </c>
      <c r="R79" s="13">
        <f t="shared" si="30"/>
        <v>2.32</v>
      </c>
      <c r="S79" s="13">
        <f t="shared" si="30"/>
        <v>2.784</v>
      </c>
      <c r="T79" s="13">
        <f t="shared" si="30"/>
        <v>2.675</v>
      </c>
      <c r="U79" s="13">
        <f t="shared" si="30"/>
        <v>3.47</v>
      </c>
      <c r="V79" s="13">
        <f t="shared" si="30"/>
        <v>3.741</v>
      </c>
      <c r="W79" s="13">
        <f t="shared" si="30"/>
        <v>3.648</v>
      </c>
      <c r="X79" s="13">
        <f t="shared" si="30"/>
        <v>3.406</v>
      </c>
      <c r="Y79" s="13">
        <f t="shared" si="30"/>
        <v>2.422</v>
      </c>
      <c r="Z79" s="13">
        <f t="shared" si="30"/>
        <v>2.002</v>
      </c>
      <c r="AA79" s="13">
        <f t="shared" si="30"/>
        <v>1.576</v>
      </c>
      <c r="AB79" s="13">
        <f t="shared" si="30"/>
        <v>1.357</v>
      </c>
      <c r="AC79" s="81"/>
    </row>
    <row r="80" ht="17" spans="1:29">
      <c r="A80" s="4"/>
      <c r="B80" s="68"/>
      <c r="C80" s="66" t="s">
        <v>37</v>
      </c>
      <c r="D80" s="3">
        <f>SUM(E80:AB80)</f>
        <v>63.7332</v>
      </c>
      <c r="E80" s="13">
        <v>1.5793</v>
      </c>
      <c r="F80" s="13">
        <v>1.5397</v>
      </c>
      <c r="G80" s="13">
        <v>1.4509</v>
      </c>
      <c r="H80" s="13">
        <v>1.4609</v>
      </c>
      <c r="I80" s="13">
        <v>1.4252</v>
      </c>
      <c r="J80" s="13">
        <v>1.4746</v>
      </c>
      <c r="K80" s="13">
        <v>1.4335</v>
      </c>
      <c r="L80" s="13">
        <v>1.9513</v>
      </c>
      <c r="M80" s="13">
        <v>3.8755</v>
      </c>
      <c r="N80" s="13">
        <v>4.0091</v>
      </c>
      <c r="O80" s="13">
        <v>3.3842</v>
      </c>
      <c r="P80" s="13">
        <v>3.2806</v>
      </c>
      <c r="Q80" s="13">
        <v>2.738</v>
      </c>
      <c r="R80" s="13">
        <v>3.2293</v>
      </c>
      <c r="S80" s="13">
        <v>3.8041</v>
      </c>
      <c r="T80" s="13">
        <v>3.7353</v>
      </c>
      <c r="U80" s="13">
        <v>3.8959</v>
      </c>
      <c r="V80" s="13">
        <v>3.6179</v>
      </c>
      <c r="W80" s="13">
        <v>3.2504</v>
      </c>
      <c r="X80" s="13">
        <v>3.4123</v>
      </c>
      <c r="Y80" s="13">
        <v>3.0077</v>
      </c>
      <c r="Z80" s="13">
        <v>2.5158</v>
      </c>
      <c r="AA80" s="13">
        <v>2.0067</v>
      </c>
      <c r="AB80" s="13">
        <v>1.655</v>
      </c>
      <c r="AC80" s="81"/>
    </row>
    <row r="81" spans="1:29">
      <c r="A81" s="69"/>
      <c r="B81" s="68"/>
      <c r="C81" s="64" t="s">
        <v>38</v>
      </c>
      <c r="D81" s="70">
        <f>D80/D77</f>
        <v>1.09798892914742</v>
      </c>
      <c r="E81" s="76">
        <f t="shared" ref="E81:AB81" si="31">1-ABS(E77-E80)/E80</f>
        <v>0.885151649464953</v>
      </c>
      <c r="F81" s="76">
        <f t="shared" si="31"/>
        <v>0.933370137039683</v>
      </c>
      <c r="G81" s="76">
        <f t="shared" si="31"/>
        <v>0.959638844854918</v>
      </c>
      <c r="H81" s="76">
        <f t="shared" si="31"/>
        <v>0.930310082825655</v>
      </c>
      <c r="I81" s="76">
        <f t="shared" si="31"/>
        <v>0.961624333426887</v>
      </c>
      <c r="J81" s="76">
        <f t="shared" si="31"/>
        <v>0.9444900311949</v>
      </c>
      <c r="K81" s="76">
        <f t="shared" si="31"/>
        <v>0.931754447157307</v>
      </c>
      <c r="L81" s="76">
        <f t="shared" si="31"/>
        <v>0.874734792189822</v>
      </c>
      <c r="M81" s="76">
        <f t="shared" si="31"/>
        <v>0.885987356470133</v>
      </c>
      <c r="N81" s="76">
        <f t="shared" si="31"/>
        <v>0.910415305180714</v>
      </c>
      <c r="O81" s="76">
        <f t="shared" si="31"/>
        <v>0.948736185804621</v>
      </c>
      <c r="P81" s="76">
        <f t="shared" si="31"/>
        <v>0.924045296592087</v>
      </c>
      <c r="Q81" s="76">
        <f t="shared" si="31"/>
        <v>0.883904674945216</v>
      </c>
      <c r="R81" s="76">
        <f t="shared" si="31"/>
        <v>0.898142631530053</v>
      </c>
      <c r="S81" s="76">
        <f t="shared" si="31"/>
        <v>0.914914434426014</v>
      </c>
      <c r="T81" s="76">
        <f t="shared" si="31"/>
        <v>0.895268385404118</v>
      </c>
      <c r="U81" s="76">
        <f t="shared" si="31"/>
        <v>0.890617315639518</v>
      </c>
      <c r="V81" s="76">
        <f t="shared" si="31"/>
        <v>0.940061914370215</v>
      </c>
      <c r="W81" s="76">
        <f t="shared" si="31"/>
        <v>0.935221203544179</v>
      </c>
      <c r="X81" s="76">
        <f t="shared" si="31"/>
        <v>0.907383289863142</v>
      </c>
      <c r="Y81" s="76">
        <f t="shared" si="31"/>
        <v>0.894821292017156</v>
      </c>
      <c r="Z81" s="76">
        <f t="shared" si="31"/>
        <v>0.88438031640035</v>
      </c>
      <c r="AA81" s="76">
        <f t="shared" si="31"/>
        <v>0.87257985747745</v>
      </c>
      <c r="AB81" s="76">
        <f t="shared" si="31"/>
        <v>0.911295468277946</v>
      </c>
      <c r="AC81" s="81"/>
    </row>
    <row r="82" spans="1:29">
      <c r="A82" s="4">
        <v>46008</v>
      </c>
      <c r="B82" s="67"/>
      <c r="C82" s="2" t="s">
        <v>33</v>
      </c>
      <c r="D82" s="3">
        <f>SUM(E82:AB82)</f>
        <v>52.536572</v>
      </c>
      <c r="E82" s="73" cm="1">
        <f t="array" ref="E82">0.5*INDEX('[1]12月代理实际分时电量'!E:E,MATCH($A82-7,'[1]12月代理实际分时电量'!$C:$C,0))+0.3*INDEX('[1]12月代理实际分时电量'!E:E,MATCH($A82-14,'[1]12月代理实际分时电量'!$C:$C,0))+0.2*INDEX('[1]12月代理实际分时电量'!E:E,MATCH($A82-21,'[1]12月代理实际分时电量'!$C:$C,0))</f>
        <v>1.278152</v>
      </c>
      <c r="F82" s="73" cm="1">
        <f t="array" ref="F82">0.5*INDEX('[1]12月代理实际分时电量'!F:F,MATCH($A82-7,'[1]12月代理实际分时电量'!$C:$C,0))+0.3*INDEX('[1]12月代理实际分时电量'!F:F,MATCH($A82-14,'[1]12月代理实际分时电量'!$C:$C,0))+0.2*INDEX('[1]12月代理实际分时电量'!F:F,MATCH($A82-21,'[1]12月代理实际分时电量'!$C:$C,0))</f>
        <v>1.299629</v>
      </c>
      <c r="G82" s="73" cm="1">
        <f t="array" ref="G82">0.5*INDEX('[1]12月代理实际分时电量'!G:G,MATCH($A82-7,'[1]12月代理实际分时电量'!$C:$C,0))+0.3*INDEX('[1]12月代理实际分时电量'!G:G,MATCH($A82-14,'[1]12月代理实际分时电量'!$C:$C,0))+0.2*INDEX('[1]12月代理实际分时电量'!G:G,MATCH($A82-21,'[1]12月代理实际分时电量'!$C:$C,0))</f>
        <v>1.285434</v>
      </c>
      <c r="H82" s="73" cm="1">
        <f t="array" ref="H82">0.5*INDEX('[1]12月代理实际分时电量'!H:H,MATCH($A82-7,'[1]12月代理实际分时电量'!$C:$C,0))+0.3*INDEX('[1]12月代理实际分时电量'!H:H,MATCH($A82-14,'[1]12月代理实际分时电量'!$C:$C,0))+0.2*INDEX('[1]12月代理实际分时电量'!H:H,MATCH($A82-21,'[1]12月代理实际分时电量'!$C:$C,0))</f>
        <v>1.253921</v>
      </c>
      <c r="I82" s="73" cm="1">
        <f t="array" ref="I82">0.5*INDEX('[1]12月代理实际分时电量'!I:I,MATCH($A82-7,'[1]12月代理实际分时电量'!$C:$C,0))+0.3*INDEX('[1]12月代理实际分时电量'!I:I,MATCH($A82-14,'[1]12月代理实际分时电量'!$C:$C,0))+0.2*INDEX('[1]12月代理实际分时电量'!I:I,MATCH($A82-21,'[1]12月代理实际分时电量'!$C:$C,0))</f>
        <v>1.281964</v>
      </c>
      <c r="J82" s="73" cm="1">
        <f t="array" ref="J82">0.5*INDEX('[1]12月代理实际分时电量'!J:J,MATCH($A82-7,'[1]12月代理实际分时电量'!$C:$C,0))+0.3*INDEX('[1]12月代理实际分时电量'!J:J,MATCH($A82-14,'[1]12月代理实际分时电量'!$C:$C,0))+0.2*INDEX('[1]12月代理实际分时电量'!J:J,MATCH($A82-21,'[1]12月代理实际分时电量'!$C:$C,0))</f>
        <v>1.335864</v>
      </c>
      <c r="K82" s="73" cm="1">
        <f t="array" ref="K82">0.5*INDEX('[1]12月代理实际分时电量'!K:K,MATCH($A82-7,'[1]12月代理实际分时电量'!$C:$C,0))+0.3*INDEX('[1]12月代理实际分时电量'!K:K,MATCH($A82-14,'[1]12月代理实际分时电量'!$C:$C,0))+0.2*INDEX('[1]12月代理实际分时电量'!K:K,MATCH($A82-21,'[1]12月代理实际分时电量'!$C:$C,0))</f>
        <v>1.276144</v>
      </c>
      <c r="L82" s="73" cm="1">
        <f t="array" ref="L82">0.5*INDEX('[1]12月代理实际分时电量'!L:L,MATCH($A82-7,'[1]12月代理实际分时电量'!$C:$C,0))+0.3*INDEX('[1]12月代理实际分时电量'!L:L,MATCH($A82-14,'[1]12月代理实际分时电量'!$C:$C,0))+0.2*INDEX('[1]12月代理实际分时电量'!L:L,MATCH($A82-21,'[1]12月代理实际分时电量'!$C:$C,0))</f>
        <v>1.655024</v>
      </c>
      <c r="M82" s="73" cm="1">
        <f t="array" ref="M82">0.5*INDEX('[1]12月代理实际分时电量'!M:M,MATCH($A82-7,'[1]12月代理实际分时电量'!$C:$C,0))+0.3*INDEX('[1]12月代理实际分时电量'!M:M,MATCH($A82-14,'[1]12月代理实际分时电量'!$C:$C,0))+0.2*INDEX('[1]12月代理实际分时电量'!M:M,MATCH($A82-21,'[1]12月代理实际分时电量'!$C:$C,0))</f>
        <v>3.106994</v>
      </c>
      <c r="N82" s="73" cm="1">
        <f t="array" ref="N82">0.5*INDEX('[1]12月代理实际分时电量'!N:N,MATCH($A82-7,'[1]12月代理实际分时电量'!$C:$C,0))+0.3*INDEX('[1]12月代理实际分时电量'!N:N,MATCH($A82-14,'[1]12月代理实际分时电量'!$C:$C,0))+0.2*INDEX('[1]12月代理实际分时电量'!N:N,MATCH($A82-21,'[1]12月代理实际分时电量'!$C:$C,0))</f>
        <v>3.323024</v>
      </c>
      <c r="O82" s="73" cm="1">
        <f t="array" ref="O82">0.5*INDEX('[1]12月代理实际分时电量'!O:O,MATCH($A82-7,'[1]12月代理实际分时电量'!$C:$C,0))+0.3*INDEX('[1]12月代理实际分时电量'!O:O,MATCH($A82-14,'[1]12月代理实际分时电量'!$C:$C,0))+0.2*INDEX('[1]12月代理实际分时电量'!O:O,MATCH($A82-21,'[1]12月代理实际分时电量'!$C:$C,0))</f>
        <v>2.853901</v>
      </c>
      <c r="P82" s="73" cm="1">
        <f t="array" ref="P82">0.5*INDEX('[1]12月代理实际分时电量'!P:P,MATCH($A82-7,'[1]12月代理实际分时电量'!$C:$C,0))+0.3*INDEX('[1]12月代理实际分时电量'!P:P,MATCH($A82-14,'[1]12月代理实际分时电量'!$C:$C,0))+0.2*INDEX('[1]12月代理实际分时电量'!P:P,MATCH($A82-21,'[1]12月代理实际分时电量'!$C:$C,0))</f>
        <v>2.806078</v>
      </c>
      <c r="Q82" s="73" cm="1">
        <f t="array" ref="Q82">0.5*INDEX('[1]12月代理实际分时电量'!Q:Q,MATCH($A82-7,'[1]12月代理实际分时电量'!$C:$C,0))+0.3*INDEX('[1]12月代理实际分时电量'!Q:Q,MATCH($A82-14,'[1]12月代理实际分时电量'!$C:$C,0))+0.2*INDEX('[1]12月代理实际分时电量'!Q:Q,MATCH($A82-21,'[1]12月代理实际分时电量'!$C:$C,0))</f>
        <v>2.211387</v>
      </c>
      <c r="R82" s="73" cm="1">
        <f t="array" ref="R82">0.5*INDEX('[1]12月代理实际分时电量'!R:R,MATCH($A82-7,'[1]12月代理实际分时电量'!$C:$C,0))+0.3*INDEX('[1]12月代理实际分时电量'!R:R,MATCH($A82-14,'[1]12月代理实际分时电量'!$C:$C,0))+0.2*INDEX('[1]12月代理实际分时电量'!R:R,MATCH($A82-21,'[1]12月代理实际分时电量'!$C:$C,0))</f>
        <v>2.622761</v>
      </c>
      <c r="S82" s="73" cm="1">
        <f t="array" ref="S82">0.5*INDEX('[1]12月代理实际分时电量'!S:S,MATCH($A82-7,'[1]12月代理实际分时电量'!$C:$C,0))+0.3*INDEX('[1]12月代理实际分时电量'!S:S,MATCH($A82-14,'[1]12月代理实际分时电量'!$C:$C,0))+0.2*INDEX('[1]12月代理实际分时电量'!S:S,MATCH($A82-21,'[1]12月代理实际分时电量'!$C:$C,0))</f>
        <v>3.145498</v>
      </c>
      <c r="T82" s="73" cm="1">
        <f t="array" ref="T82">0.5*INDEX('[1]12月代理实际分时电量'!T:T,MATCH($A82-7,'[1]12月代理实际分时电量'!$C:$C,0))+0.3*INDEX('[1]12月代理实际分时电量'!T:T,MATCH($A82-14,'[1]12月代理实际分时电量'!$C:$C,0))+0.2*INDEX('[1]12月代理实际分时电量'!T:T,MATCH($A82-21,'[1]12月代理实际分时电量'!$C:$C,0))</f>
        <v>3.067843</v>
      </c>
      <c r="U82" s="73" cm="1">
        <f t="array" ref="U82">0.5*INDEX('[1]12月代理实际分时电量'!U:U,MATCH($A82-7,'[1]12月代理实际分时电量'!$C:$C,0))+0.3*INDEX('[1]12月代理实际分时电量'!U:U,MATCH($A82-14,'[1]12月代理实际分时电量'!$C:$C,0))+0.2*INDEX('[1]12月代理实际分时电量'!U:U,MATCH($A82-21,'[1]12月代理实际分时电量'!$C:$C,0))</f>
        <v>3.183347</v>
      </c>
      <c r="V82" s="73" cm="1">
        <f t="array" ref="V82">0.5*INDEX('[1]12月代理实际分时电量'!V:V,MATCH($A82-7,'[1]12月代理实际分时电量'!$C:$C,0))+0.3*INDEX('[1]12月代理实际分时电量'!V:V,MATCH($A82-14,'[1]12月代理实际分时电量'!$C:$C,0))+0.2*INDEX('[1]12月代理实际分时电量'!V:V,MATCH($A82-21,'[1]12月代理实际分时电量'!$C:$C,0))</f>
        <v>2.961783</v>
      </c>
      <c r="W82" s="73" cm="1">
        <f t="array" ref="W82">0.5*INDEX('[1]12月代理实际分时电量'!W:W,MATCH($A82-7,'[1]12月代理实际分时电量'!$C:$C,0))+0.3*INDEX('[1]12月代理实际分时电量'!W:W,MATCH($A82-14,'[1]12月代理实际分时电量'!$C:$C,0))+0.2*INDEX('[1]12月代理实际分时电量'!W:W,MATCH($A82-21,'[1]12月代理实际分时电量'!$C:$C,0))</f>
        <v>2.588489</v>
      </c>
      <c r="X82" s="73" cm="1">
        <f t="array" ref="X82">0.5*INDEX('[1]12月代理实际分时电量'!X:X,MATCH($A82-7,'[1]12月代理实际分时电量'!$C:$C,0))+0.3*INDEX('[1]12月代理实际分时电量'!X:X,MATCH($A82-14,'[1]12月代理实际分时电量'!$C:$C,0))+0.2*INDEX('[1]12月代理实际分时电量'!X:X,MATCH($A82-21,'[1]12月代理实际分时电量'!$C:$C,0))</f>
        <v>2.727475</v>
      </c>
      <c r="Y82" s="73" cm="1">
        <f t="array" ref="Y82">0.5*INDEX('[1]12月代理实际分时电量'!Y:Y,MATCH($A82-7,'[1]12月代理实际分时电量'!$C:$C,0))+0.3*INDEX('[1]12月代理实际分时电量'!Y:Y,MATCH($A82-14,'[1]12月代理实际分时电量'!$C:$C,0))+0.2*INDEX('[1]12月代理实际分时电量'!Y:Y,MATCH($A82-21,'[1]12月代理实际分时电量'!$C:$C,0))</f>
        <v>2.34684</v>
      </c>
      <c r="Z82" s="73" cm="1">
        <f t="array" ref="Z82">0.5*INDEX('[1]12月代理实际分时电量'!Z:Z,MATCH($A82-7,'[1]12月代理实际分时电量'!$C:$C,0))+0.3*INDEX('[1]12月代理实际分时电量'!Z:Z,MATCH($A82-14,'[1]12月代理实际分时电量'!$C:$C,0))+0.2*INDEX('[1]12月代理实际分时电量'!Z:Z,MATCH($A82-21,'[1]12月代理实际分时电量'!$C:$C,0))</f>
        <v>1.98681</v>
      </c>
      <c r="AA82" s="73" cm="1">
        <f t="array" ref="AA82">0.5*INDEX('[1]12月代理实际分时电量'!AA:AA,MATCH($A82-7,'[1]12月代理实际分时电量'!$C:$C,0))+0.3*INDEX('[1]12月代理实际分时电量'!AA:AA,MATCH($A82-14,'[1]12月代理实际分时电量'!$C:$C,0))+0.2*INDEX('[1]12月代理实际分时电量'!AA:AA,MATCH($A82-21,'[1]12月代理实际分时电量'!$C:$C,0))</f>
        <v>1.616005</v>
      </c>
      <c r="AB82" s="73" cm="1">
        <f t="array" ref="AB82">0.5*INDEX('[1]12月代理实际分时电量'!AB:AB,MATCH($A82-7,'[1]12月代理实际分时电量'!$C:$C,0))+0.3*INDEX('[1]12月代理实际分时电量'!AB:AB,MATCH($A82-14,'[1]12月代理实际分时电量'!$C:$C,0))+0.2*INDEX('[1]12月代理实际分时电量'!AB:AB,MATCH($A82-21,'[1]12月代理实际分时电量'!$C:$C,0))</f>
        <v>1.322205</v>
      </c>
      <c r="AC82" s="81"/>
    </row>
    <row r="83" spans="1:29">
      <c r="A83" s="4"/>
      <c r="B83" s="68"/>
      <c r="C83" s="2" t="s">
        <v>35</v>
      </c>
      <c r="D83" s="3">
        <f>D84/D82</f>
        <v>0.892330774836242</v>
      </c>
      <c r="E83" s="74">
        <v>1</v>
      </c>
      <c r="F83" s="75">
        <v>0.9</v>
      </c>
      <c r="G83" s="82">
        <v>0.9</v>
      </c>
      <c r="H83" s="82">
        <v>0.8</v>
      </c>
      <c r="I83" s="82">
        <v>0.8</v>
      </c>
      <c r="J83" s="82">
        <v>0.8</v>
      </c>
      <c r="K83" s="75">
        <v>0.8</v>
      </c>
      <c r="L83" s="75">
        <v>0.9</v>
      </c>
      <c r="M83" s="75">
        <v>0.9</v>
      </c>
      <c r="N83" s="75">
        <v>0.9</v>
      </c>
      <c r="O83" s="75">
        <v>0.8</v>
      </c>
      <c r="P83" s="75">
        <v>0.8</v>
      </c>
      <c r="Q83" s="75">
        <v>0.8</v>
      </c>
      <c r="R83" s="75">
        <v>0.8</v>
      </c>
      <c r="S83" s="75">
        <v>0.8</v>
      </c>
      <c r="T83" s="75">
        <v>0.8</v>
      </c>
      <c r="U83" s="75">
        <v>0.9</v>
      </c>
      <c r="V83" s="82">
        <v>1.1</v>
      </c>
      <c r="W83" s="82">
        <v>1.1</v>
      </c>
      <c r="X83" s="82">
        <v>1.1</v>
      </c>
      <c r="Y83" s="75">
        <v>0.9</v>
      </c>
      <c r="Z83" s="75">
        <v>0.9</v>
      </c>
      <c r="AA83" s="75">
        <v>0.9</v>
      </c>
      <c r="AB83" s="75">
        <v>0.9</v>
      </c>
      <c r="AC83" s="81"/>
    </row>
    <row r="84" spans="1:29">
      <c r="A84" s="4"/>
      <c r="B84" s="68"/>
      <c r="C84" s="2" t="s">
        <v>36</v>
      </c>
      <c r="D84" s="3">
        <f>SUM(E84:AB84)</f>
        <v>46.88</v>
      </c>
      <c r="E84" s="13">
        <f t="shared" ref="E84:AB84" si="32">ROUND(E82*E83,3)</f>
        <v>1.278</v>
      </c>
      <c r="F84" s="13">
        <f t="shared" si="32"/>
        <v>1.17</v>
      </c>
      <c r="G84" s="13">
        <f t="shared" si="32"/>
        <v>1.157</v>
      </c>
      <c r="H84" s="13">
        <f t="shared" si="32"/>
        <v>1.003</v>
      </c>
      <c r="I84" s="13">
        <f t="shared" si="32"/>
        <v>1.026</v>
      </c>
      <c r="J84" s="13">
        <f t="shared" si="32"/>
        <v>1.069</v>
      </c>
      <c r="K84" s="13">
        <f t="shared" si="32"/>
        <v>1.021</v>
      </c>
      <c r="L84" s="13">
        <f t="shared" si="32"/>
        <v>1.49</v>
      </c>
      <c r="M84" s="13">
        <f t="shared" si="32"/>
        <v>2.796</v>
      </c>
      <c r="N84" s="13">
        <f t="shared" si="32"/>
        <v>2.991</v>
      </c>
      <c r="O84" s="13">
        <f t="shared" si="32"/>
        <v>2.283</v>
      </c>
      <c r="P84" s="13">
        <f t="shared" si="32"/>
        <v>2.245</v>
      </c>
      <c r="Q84" s="13">
        <f t="shared" si="32"/>
        <v>1.769</v>
      </c>
      <c r="R84" s="13">
        <f t="shared" si="32"/>
        <v>2.098</v>
      </c>
      <c r="S84" s="13">
        <f t="shared" si="32"/>
        <v>2.516</v>
      </c>
      <c r="T84" s="13">
        <f t="shared" si="32"/>
        <v>2.454</v>
      </c>
      <c r="U84" s="13">
        <f t="shared" si="32"/>
        <v>2.865</v>
      </c>
      <c r="V84" s="13">
        <f t="shared" si="32"/>
        <v>3.258</v>
      </c>
      <c r="W84" s="13">
        <f t="shared" si="32"/>
        <v>2.847</v>
      </c>
      <c r="X84" s="13">
        <f t="shared" si="32"/>
        <v>3</v>
      </c>
      <c r="Y84" s="13">
        <f t="shared" si="32"/>
        <v>2.112</v>
      </c>
      <c r="Z84" s="13">
        <f t="shared" si="32"/>
        <v>1.788</v>
      </c>
      <c r="AA84" s="13">
        <f t="shared" si="32"/>
        <v>1.454</v>
      </c>
      <c r="AB84" s="13">
        <f t="shared" si="32"/>
        <v>1.19</v>
      </c>
      <c r="AC84" s="81"/>
    </row>
    <row r="85" ht="17" spans="1:29">
      <c r="A85" s="4"/>
      <c r="B85" s="68"/>
      <c r="C85" s="66" t="s">
        <v>37</v>
      </c>
      <c r="D85" s="3">
        <f>SUM(E85:AB85)</f>
        <v>67.101</v>
      </c>
      <c r="E85" s="13">
        <v>1.6909</v>
      </c>
      <c r="F85" s="13">
        <v>1.7109</v>
      </c>
      <c r="G85" s="13">
        <v>1.7308</v>
      </c>
      <c r="H85" s="13">
        <v>1.7888</v>
      </c>
      <c r="I85" s="13">
        <v>1.7353</v>
      </c>
      <c r="J85" s="13">
        <v>1.6373</v>
      </c>
      <c r="K85" s="13">
        <v>1.527</v>
      </c>
      <c r="L85" s="13">
        <v>1.9531</v>
      </c>
      <c r="M85" s="13">
        <v>4.0147</v>
      </c>
      <c r="N85" s="13">
        <v>4.1669</v>
      </c>
      <c r="O85" s="13">
        <v>3.5606</v>
      </c>
      <c r="P85" s="13">
        <v>3.4377</v>
      </c>
      <c r="Q85" s="13">
        <v>2.799</v>
      </c>
      <c r="R85" s="13">
        <v>3.3643</v>
      </c>
      <c r="S85" s="13">
        <v>3.8725</v>
      </c>
      <c r="T85" s="13">
        <v>3.7113</v>
      </c>
      <c r="U85" s="13">
        <v>3.946</v>
      </c>
      <c r="V85" s="13">
        <v>3.7151</v>
      </c>
      <c r="W85" s="13">
        <v>3.506</v>
      </c>
      <c r="X85" s="13">
        <v>3.5549</v>
      </c>
      <c r="Y85" s="13">
        <v>3.1656</v>
      </c>
      <c r="Z85" s="13">
        <v>2.5897</v>
      </c>
      <c r="AA85" s="13">
        <v>2.0592</v>
      </c>
      <c r="AB85" s="13">
        <v>1.8634</v>
      </c>
      <c r="AC85" s="81"/>
    </row>
    <row r="86" spans="1:29">
      <c r="A86" s="69"/>
      <c r="B86" s="68"/>
      <c r="C86" s="64" t="s">
        <v>38</v>
      </c>
      <c r="D86" s="70">
        <f>D85/D82</f>
        <v>1.2772245589225</v>
      </c>
      <c r="E86" s="76">
        <f t="shared" ref="E86:AB86" si="33">1-ABS(E82-E85)/E85</f>
        <v>0.75590040806671</v>
      </c>
      <c r="F86" s="76">
        <f t="shared" si="33"/>
        <v>0.75961716055877</v>
      </c>
      <c r="G86" s="76">
        <f t="shared" si="33"/>
        <v>0.742681996764502</v>
      </c>
      <c r="H86" s="76">
        <f t="shared" si="33"/>
        <v>0.700984458855098</v>
      </c>
      <c r="I86" s="76">
        <f t="shared" si="33"/>
        <v>0.738756410995217</v>
      </c>
      <c r="J86" s="76">
        <f t="shared" si="33"/>
        <v>0.815894460392109</v>
      </c>
      <c r="K86" s="76">
        <f t="shared" si="33"/>
        <v>0.835719711853307</v>
      </c>
      <c r="L86" s="76">
        <f t="shared" si="33"/>
        <v>0.847383134504122</v>
      </c>
      <c r="M86" s="76">
        <f t="shared" si="33"/>
        <v>0.77390440132513</v>
      </c>
      <c r="N86" s="76">
        <f t="shared" si="33"/>
        <v>0.797481101058341</v>
      </c>
      <c r="O86" s="76">
        <f t="shared" si="33"/>
        <v>0.801522496208504</v>
      </c>
      <c r="P86" s="76">
        <f t="shared" si="33"/>
        <v>0.816266108153707</v>
      </c>
      <c r="Q86" s="76">
        <f t="shared" si="33"/>
        <v>0.790063236870311</v>
      </c>
      <c r="R86" s="76">
        <f t="shared" si="33"/>
        <v>0.77958594655649</v>
      </c>
      <c r="S86" s="76">
        <f t="shared" si="33"/>
        <v>0.812265461588121</v>
      </c>
      <c r="T86" s="76">
        <f t="shared" si="33"/>
        <v>0.826622207851696</v>
      </c>
      <c r="U86" s="76">
        <f t="shared" si="33"/>
        <v>0.806727572225038</v>
      </c>
      <c r="V86" s="76">
        <f t="shared" si="33"/>
        <v>0.797228338402735</v>
      </c>
      <c r="W86" s="76">
        <f t="shared" si="33"/>
        <v>0.738302624073018</v>
      </c>
      <c r="X86" s="76">
        <f t="shared" si="33"/>
        <v>0.767243804326423</v>
      </c>
      <c r="Y86" s="76">
        <f t="shared" si="33"/>
        <v>0.741357088703563</v>
      </c>
      <c r="Z86" s="76">
        <f t="shared" si="33"/>
        <v>0.767196972622311</v>
      </c>
      <c r="AA86" s="76">
        <f t="shared" si="33"/>
        <v>0.784773212898213</v>
      </c>
      <c r="AB86" s="76">
        <f t="shared" si="33"/>
        <v>0.709565847375765</v>
      </c>
      <c r="AC86" s="81"/>
    </row>
    <row r="87" spans="1:29">
      <c r="A87" s="4">
        <v>46009</v>
      </c>
      <c r="B87" s="67"/>
      <c r="C87" s="2" t="s">
        <v>33</v>
      </c>
      <c r="D87" s="3">
        <f>SUM(E87:AB87)</f>
        <v>66.531776</v>
      </c>
      <c r="E87" s="73" cm="1">
        <f t="array" ref="E87">0.5*INDEX('[1]12月代理实际分时电量'!E:E,MATCH($A87-7,'[1]12月代理实际分时电量'!$C:$C,0))+0.3*INDEX('[1]12月代理实际分时电量'!E:E,MATCH($A87-14,'[1]12月代理实际分时电量'!$C:$C,0))+0.2*INDEX('[1]12月代理实际分时电量'!E:E,MATCH($A87-21,'[1]12月代理实际分时电量'!$C:$C,0))</f>
        <v>1.61084</v>
      </c>
      <c r="F87" s="73" cm="1">
        <f t="array" ref="F87">0.5*INDEX('[1]12月代理实际分时电量'!F:F,MATCH($A87-7,'[1]12月代理实际分时电量'!$C:$C,0))+0.3*INDEX('[1]12月代理实际分时电量'!F:F,MATCH($A87-14,'[1]12月代理实际分时电量'!$C:$C,0))+0.2*INDEX('[1]12月代理实际分时电量'!F:F,MATCH($A87-21,'[1]12月代理实际分时电量'!$C:$C,0))</f>
        <v>1.680887</v>
      </c>
      <c r="G87" s="73" cm="1">
        <f t="array" ref="G87">0.5*INDEX('[1]12月代理实际分时电量'!G:G,MATCH($A87-7,'[1]12月代理实际分时电量'!$C:$C,0))+0.3*INDEX('[1]12月代理实际分时电量'!G:G,MATCH($A87-14,'[1]12月代理实际分时电量'!$C:$C,0))+0.2*INDEX('[1]12月代理实际分时电量'!G:G,MATCH($A87-21,'[1]12月代理实际分时电量'!$C:$C,0))</f>
        <v>1.59306</v>
      </c>
      <c r="H87" s="73" cm="1">
        <f t="array" ref="H87">0.5*INDEX('[1]12月代理实际分时电量'!H:H,MATCH($A87-7,'[1]12月代理实际分时电量'!$C:$C,0))+0.3*INDEX('[1]12月代理实际分时电量'!H:H,MATCH($A87-14,'[1]12月代理实际分时电量'!$C:$C,0))+0.2*INDEX('[1]12月代理实际分时电量'!H:H,MATCH($A87-21,'[1]12月代理实际分时电量'!$C:$C,0))</f>
        <v>1.64758</v>
      </c>
      <c r="I87" s="73" cm="1">
        <f t="array" ref="I87">0.5*INDEX('[1]12月代理实际分时电量'!I:I,MATCH($A87-7,'[1]12月代理实际分时电量'!$C:$C,0))+0.3*INDEX('[1]12月代理实际分时电量'!I:I,MATCH($A87-14,'[1]12月代理实际分时电量'!$C:$C,0))+0.2*INDEX('[1]12月代理实际分时电量'!I:I,MATCH($A87-21,'[1]12月代理实际分时电量'!$C:$C,0))</f>
        <v>1.601123</v>
      </c>
      <c r="J87" s="73" cm="1">
        <f t="array" ref="J87">0.5*INDEX('[1]12月代理实际分时电量'!J:J,MATCH($A87-7,'[1]12月代理实际分时电量'!$C:$C,0))+0.3*INDEX('[1]12月代理实际分时电量'!J:J,MATCH($A87-14,'[1]12月代理实际分时电量'!$C:$C,0))+0.2*INDEX('[1]12月代理实际分时电量'!J:J,MATCH($A87-21,'[1]12月代理实际分时电量'!$C:$C,0))</f>
        <v>1.59799</v>
      </c>
      <c r="K87" s="73" cm="1">
        <f t="array" ref="K87">0.5*INDEX('[1]12月代理实际分时电量'!K:K,MATCH($A87-7,'[1]12月代理实际分时电量'!$C:$C,0))+0.3*INDEX('[1]12月代理实际分时电量'!K:K,MATCH($A87-14,'[1]12月代理实际分时电量'!$C:$C,0))+0.2*INDEX('[1]12月代理实际分时电量'!K:K,MATCH($A87-21,'[1]12月代理实际分时电量'!$C:$C,0))</f>
        <v>1.55725</v>
      </c>
      <c r="L87" s="73" cm="1">
        <f t="array" ref="L87">0.5*INDEX('[1]12月代理实际分时电量'!L:L,MATCH($A87-7,'[1]12月代理实际分时电量'!$C:$C,0))+0.3*INDEX('[1]12月代理实际分时电量'!L:L,MATCH($A87-14,'[1]12月代理实际分时电量'!$C:$C,0))+0.2*INDEX('[1]12月代理实际分时电量'!L:L,MATCH($A87-21,'[1]12月代理实际分时电量'!$C:$C,0))</f>
        <v>1.927957</v>
      </c>
      <c r="M87" s="73" cm="1">
        <f t="array" ref="M87">0.5*INDEX('[1]12月代理实际分时电量'!M:M,MATCH($A87-7,'[1]12月代理实际分时电量'!$C:$C,0))+0.3*INDEX('[1]12月代理实际分时电量'!M:M,MATCH($A87-14,'[1]12月代理实际分时电量'!$C:$C,0))+0.2*INDEX('[1]12月代理实际分时电量'!M:M,MATCH($A87-21,'[1]12月代理实际分时电量'!$C:$C,0))</f>
        <v>3.975181</v>
      </c>
      <c r="N87" s="73" cm="1">
        <f t="array" ref="N87">0.5*INDEX('[1]12月代理实际分时电量'!N:N,MATCH($A87-7,'[1]12月代理实际分时电量'!$C:$C,0))+0.3*INDEX('[1]12月代理实际分时电量'!N:N,MATCH($A87-14,'[1]12月代理实际分时电量'!$C:$C,0))+0.2*INDEX('[1]12月代理实际分时电量'!N:N,MATCH($A87-21,'[1]12月代理实际分时电量'!$C:$C,0))</f>
        <v>4.355793</v>
      </c>
      <c r="O87" s="73" cm="1">
        <f t="array" ref="O87">0.5*INDEX('[1]12月代理实际分时电量'!O:O,MATCH($A87-7,'[1]12月代理实际分时电量'!$C:$C,0))+0.3*INDEX('[1]12月代理实际分时电量'!O:O,MATCH($A87-14,'[1]12月代理实际分时电量'!$C:$C,0))+0.2*INDEX('[1]12月代理实际分时电量'!O:O,MATCH($A87-21,'[1]12月代理实际分时电量'!$C:$C,0))</f>
        <v>3.746888</v>
      </c>
      <c r="P87" s="73" cm="1">
        <f t="array" ref="P87">0.5*INDEX('[1]12月代理实际分时电量'!P:P,MATCH($A87-7,'[1]12月代理实际分时电量'!$C:$C,0))+0.3*INDEX('[1]12月代理实际分时电量'!P:P,MATCH($A87-14,'[1]12月代理实际分时电量'!$C:$C,0))+0.2*INDEX('[1]12月代理实际分时电量'!P:P,MATCH($A87-21,'[1]12月代理实际分时电量'!$C:$C,0))</f>
        <v>3.446919</v>
      </c>
      <c r="Q87" s="73" cm="1">
        <f t="array" ref="Q87">0.5*INDEX('[1]12月代理实际分时电量'!Q:Q,MATCH($A87-7,'[1]12月代理实际分时电量'!$C:$C,0))+0.3*INDEX('[1]12月代理实际分时电量'!Q:Q,MATCH($A87-14,'[1]12月代理实际分时电量'!$C:$C,0))+0.2*INDEX('[1]12月代理实际分时电量'!Q:Q,MATCH($A87-21,'[1]12月代理实际分时电量'!$C:$C,0))</f>
        <v>2.779755</v>
      </c>
      <c r="R87" s="73" cm="1">
        <f t="array" ref="R87">0.5*INDEX('[1]12月代理实际分时电量'!R:R,MATCH($A87-7,'[1]12月代理实际分时电量'!$C:$C,0))+0.3*INDEX('[1]12月代理实际分时电量'!R:R,MATCH($A87-14,'[1]12月代理实际分时电量'!$C:$C,0))+0.2*INDEX('[1]12月代理实际分时电量'!R:R,MATCH($A87-21,'[1]12月代理实际分时电量'!$C:$C,0))</f>
        <v>3.300259</v>
      </c>
      <c r="S87" s="73" cm="1">
        <f t="array" ref="S87">0.5*INDEX('[1]12月代理实际分时电量'!S:S,MATCH($A87-7,'[1]12月代理实际分时电量'!$C:$C,0))+0.3*INDEX('[1]12月代理实际分时电量'!S:S,MATCH($A87-14,'[1]12月代理实际分时电量'!$C:$C,0))+0.2*INDEX('[1]12月代理实际分时电量'!S:S,MATCH($A87-21,'[1]12月代理实际分时电量'!$C:$C,0))</f>
        <v>4.006235</v>
      </c>
      <c r="T87" s="73" cm="1">
        <f t="array" ref="T87">0.5*INDEX('[1]12月代理实际分时电量'!T:T,MATCH($A87-7,'[1]12月代理实际分时电量'!$C:$C,0))+0.3*INDEX('[1]12月代理实际分时电量'!T:T,MATCH($A87-14,'[1]12月代理实际分时电量'!$C:$C,0))+0.2*INDEX('[1]12月代理实际分时电量'!T:T,MATCH($A87-21,'[1]12月代理实际分时电量'!$C:$C,0))</f>
        <v>3.815138</v>
      </c>
      <c r="U87" s="73" cm="1">
        <f t="array" ref="U87">0.5*INDEX('[1]12月代理实际分时电量'!U:U,MATCH($A87-7,'[1]12月代理实际分时电量'!$C:$C,0))+0.3*INDEX('[1]12月代理实际分时电量'!U:U,MATCH($A87-14,'[1]12月代理实际分时电量'!$C:$C,0))+0.2*INDEX('[1]12月代理实际分时电量'!U:U,MATCH($A87-21,'[1]12月代理实际分时电量'!$C:$C,0))</f>
        <v>4.052192</v>
      </c>
      <c r="V87" s="73" cm="1">
        <f t="array" ref="V87">0.5*INDEX('[1]12月代理实际分时电量'!V:V,MATCH($A87-7,'[1]12月代理实际分时电量'!$C:$C,0))+0.3*INDEX('[1]12月代理实际分时电量'!V:V,MATCH($A87-14,'[1]12月代理实际分时电量'!$C:$C,0))+0.2*INDEX('[1]12月代理实际分时电量'!V:V,MATCH($A87-21,'[1]12月代理实际分时电量'!$C:$C,0))</f>
        <v>3.809126</v>
      </c>
      <c r="W87" s="73" cm="1">
        <f t="array" ref="W87">0.5*INDEX('[1]12月代理实际分时电量'!W:W,MATCH($A87-7,'[1]12月代理实际分时电量'!$C:$C,0))+0.3*INDEX('[1]12月代理实际分时电量'!W:W,MATCH($A87-14,'[1]12月代理实际分时电量'!$C:$C,0))+0.2*INDEX('[1]12月代理实际分时电量'!W:W,MATCH($A87-21,'[1]12月代理实际分时电量'!$C:$C,0))</f>
        <v>3.380646</v>
      </c>
      <c r="X87" s="73" cm="1">
        <f t="array" ref="X87">0.5*INDEX('[1]12月代理实际分时电量'!X:X,MATCH($A87-7,'[1]12月代理实际分时电量'!$C:$C,0))+0.3*INDEX('[1]12月代理实际分时电量'!X:X,MATCH($A87-14,'[1]12月代理实际分时电量'!$C:$C,0))+0.2*INDEX('[1]12月代理实际分时电量'!X:X,MATCH($A87-21,'[1]12月代理实际分时电量'!$C:$C,0))</f>
        <v>3.495052</v>
      </c>
      <c r="Y87" s="73" cm="1">
        <f t="array" ref="Y87">0.5*INDEX('[1]12月代理实际分时电量'!Y:Y,MATCH($A87-7,'[1]12月代理实际分时电量'!$C:$C,0))+0.3*INDEX('[1]12月代理实际分时电量'!Y:Y,MATCH($A87-14,'[1]12月代理实际分时电量'!$C:$C,0))+0.2*INDEX('[1]12月代理实际分时电量'!Y:Y,MATCH($A87-21,'[1]12月代理实际分时电量'!$C:$C,0))</f>
        <v>3.02981</v>
      </c>
      <c r="Z87" s="73" cm="1">
        <f t="array" ref="Z87">0.5*INDEX('[1]12月代理实际分时电量'!Z:Z,MATCH($A87-7,'[1]12月代理实际分时电量'!$C:$C,0))+0.3*INDEX('[1]12月代理实际分时电量'!Z:Z,MATCH($A87-14,'[1]12月代理实际分时电量'!$C:$C,0))+0.2*INDEX('[1]12月代理实际分时电量'!Z:Z,MATCH($A87-21,'[1]12月代理实际分时电量'!$C:$C,0))</f>
        <v>2.46942</v>
      </c>
      <c r="AA87" s="73" cm="1">
        <f t="array" ref="AA87">0.5*INDEX('[1]12月代理实际分时电量'!AA:AA,MATCH($A87-7,'[1]12月代理实际分时电量'!$C:$C,0))+0.3*INDEX('[1]12月代理实际分时电量'!AA:AA,MATCH($A87-14,'[1]12月代理实际分时电量'!$C:$C,0))+0.2*INDEX('[1]12月代理实际分时电量'!AA:AA,MATCH($A87-21,'[1]12月代理实际分时电量'!$C:$C,0))</f>
        <v>1.952955</v>
      </c>
      <c r="AB87" s="73" cm="1">
        <f t="array" ref="AB87">0.5*INDEX('[1]12月代理实际分时电量'!AB:AB,MATCH($A87-7,'[1]12月代理实际分时电量'!$C:$C,0))+0.3*INDEX('[1]12月代理实际分时电量'!AB:AB,MATCH($A87-14,'[1]12月代理实际分时电量'!$C:$C,0))+0.2*INDEX('[1]12月代理实际分时电量'!AB:AB,MATCH($A87-21,'[1]12月代理实际分时电量'!$C:$C,0))</f>
        <v>1.69972</v>
      </c>
      <c r="AC87" s="81"/>
    </row>
    <row r="88" spans="1:29">
      <c r="A88" s="4"/>
      <c r="B88" s="68"/>
      <c r="C88" s="2" t="s">
        <v>35</v>
      </c>
      <c r="D88" s="3">
        <f>D89/D87</f>
        <v>0.95382994135013</v>
      </c>
      <c r="E88" s="83">
        <v>0.9</v>
      </c>
      <c r="F88" s="83">
        <v>0.9</v>
      </c>
      <c r="G88" s="83">
        <v>0.9</v>
      </c>
      <c r="H88" s="83">
        <v>0.9</v>
      </c>
      <c r="I88" s="83">
        <v>0.9</v>
      </c>
      <c r="J88" s="83">
        <v>0.8</v>
      </c>
      <c r="K88" s="83">
        <v>0.8</v>
      </c>
      <c r="L88" s="83">
        <v>0.9</v>
      </c>
      <c r="M88" s="83">
        <v>1.1</v>
      </c>
      <c r="N88" s="83">
        <v>1.2</v>
      </c>
      <c r="O88" s="83">
        <v>1.1</v>
      </c>
      <c r="P88" s="83">
        <v>0.9</v>
      </c>
      <c r="Q88" s="83">
        <v>0.8</v>
      </c>
      <c r="R88" s="83">
        <v>0.8</v>
      </c>
      <c r="S88" s="83">
        <v>0.8</v>
      </c>
      <c r="T88" s="83">
        <v>0.9</v>
      </c>
      <c r="U88" s="83">
        <v>1.1</v>
      </c>
      <c r="V88" s="83">
        <v>1.1</v>
      </c>
      <c r="W88" s="83">
        <v>1.1</v>
      </c>
      <c r="X88" s="83">
        <v>0.9</v>
      </c>
      <c r="Y88" s="83">
        <v>0.9</v>
      </c>
      <c r="Z88" s="83">
        <v>0.9</v>
      </c>
      <c r="AA88" s="83">
        <v>0.8</v>
      </c>
      <c r="AB88" s="83">
        <v>0.9</v>
      </c>
      <c r="AC88" s="81"/>
    </row>
    <row r="89" spans="1:29">
      <c r="A89" s="4"/>
      <c r="B89" s="68"/>
      <c r="C89" s="2" t="s">
        <v>36</v>
      </c>
      <c r="D89" s="3">
        <f>SUM(E89:AB89)</f>
        <v>63.46</v>
      </c>
      <c r="E89" s="13">
        <f t="shared" ref="E89:AB89" si="34">ROUND(E87*E88,3)</f>
        <v>1.45</v>
      </c>
      <c r="F89" s="13">
        <f t="shared" si="34"/>
        <v>1.513</v>
      </c>
      <c r="G89" s="13">
        <f t="shared" si="34"/>
        <v>1.434</v>
      </c>
      <c r="H89" s="13">
        <f t="shared" si="34"/>
        <v>1.483</v>
      </c>
      <c r="I89" s="13">
        <f t="shared" si="34"/>
        <v>1.441</v>
      </c>
      <c r="J89" s="13">
        <f t="shared" si="34"/>
        <v>1.278</v>
      </c>
      <c r="K89" s="13">
        <f t="shared" si="34"/>
        <v>1.246</v>
      </c>
      <c r="L89" s="13">
        <f t="shared" si="34"/>
        <v>1.735</v>
      </c>
      <c r="M89" s="13">
        <f t="shared" si="34"/>
        <v>4.373</v>
      </c>
      <c r="N89" s="13">
        <f t="shared" si="34"/>
        <v>5.227</v>
      </c>
      <c r="O89" s="13">
        <f t="shared" si="34"/>
        <v>4.122</v>
      </c>
      <c r="P89" s="13">
        <f t="shared" si="34"/>
        <v>3.102</v>
      </c>
      <c r="Q89" s="13">
        <f t="shared" si="34"/>
        <v>2.224</v>
      </c>
      <c r="R89" s="13">
        <f t="shared" si="34"/>
        <v>2.64</v>
      </c>
      <c r="S89" s="13">
        <f t="shared" si="34"/>
        <v>3.205</v>
      </c>
      <c r="T89" s="13">
        <f t="shared" si="34"/>
        <v>3.434</v>
      </c>
      <c r="U89" s="13">
        <f t="shared" si="34"/>
        <v>4.457</v>
      </c>
      <c r="V89" s="13">
        <f t="shared" si="34"/>
        <v>4.19</v>
      </c>
      <c r="W89" s="13">
        <f t="shared" si="34"/>
        <v>3.719</v>
      </c>
      <c r="X89" s="13">
        <f t="shared" si="34"/>
        <v>3.146</v>
      </c>
      <c r="Y89" s="13">
        <f t="shared" si="34"/>
        <v>2.727</v>
      </c>
      <c r="Z89" s="13">
        <f t="shared" si="34"/>
        <v>2.222</v>
      </c>
      <c r="AA89" s="13">
        <f t="shared" si="34"/>
        <v>1.562</v>
      </c>
      <c r="AB89" s="13">
        <f t="shared" si="34"/>
        <v>1.53</v>
      </c>
      <c r="AC89" s="81"/>
    </row>
    <row r="90" ht="17" spans="1:29">
      <c r="A90" s="4"/>
      <c r="B90" s="68"/>
      <c r="C90" s="66" t="s">
        <v>37</v>
      </c>
      <c r="D90" s="3">
        <f>SUM(E90:AB90)</f>
        <v>68.2237</v>
      </c>
      <c r="E90" s="13">
        <v>1.8796</v>
      </c>
      <c r="F90" s="13">
        <v>1.9074</v>
      </c>
      <c r="G90" s="13">
        <v>1.879</v>
      </c>
      <c r="H90" s="13">
        <v>1.8632</v>
      </c>
      <c r="I90" s="13">
        <v>1.8232</v>
      </c>
      <c r="J90" s="13">
        <v>1.8105</v>
      </c>
      <c r="K90" s="13">
        <v>1.7297</v>
      </c>
      <c r="L90" s="13">
        <v>2.1007</v>
      </c>
      <c r="M90" s="13">
        <v>3.9442</v>
      </c>
      <c r="N90" s="13">
        <v>4.0941</v>
      </c>
      <c r="O90" s="13">
        <v>3.4234</v>
      </c>
      <c r="P90" s="13">
        <v>3.2998</v>
      </c>
      <c r="Q90" s="13">
        <v>2.7068</v>
      </c>
      <c r="R90" s="13">
        <v>3.3488</v>
      </c>
      <c r="S90" s="13">
        <v>4.0085</v>
      </c>
      <c r="T90" s="13">
        <v>3.8214</v>
      </c>
      <c r="U90" s="13">
        <v>3.9916</v>
      </c>
      <c r="V90" s="13">
        <v>3.832</v>
      </c>
      <c r="W90" s="13">
        <v>3.4581</v>
      </c>
      <c r="X90" s="13">
        <v>3.7546</v>
      </c>
      <c r="Y90" s="13">
        <v>3.2017</v>
      </c>
      <c r="Z90" s="13">
        <v>2.5682</v>
      </c>
      <c r="AA90" s="13">
        <v>1.9114</v>
      </c>
      <c r="AB90" s="13">
        <v>1.8658</v>
      </c>
      <c r="AC90" s="81"/>
    </row>
    <row r="91" spans="1:29">
      <c r="A91" s="69"/>
      <c r="B91" s="68"/>
      <c r="C91" s="64" t="s">
        <v>38</v>
      </c>
      <c r="D91" s="70">
        <f>D90/D87</f>
        <v>1.02543031468151</v>
      </c>
      <c r="E91" s="76">
        <f t="shared" ref="E91:AB91" si="35">1-ABS(E87-E90)/E90</f>
        <v>0.857012130240477</v>
      </c>
      <c r="F91" s="76">
        <f t="shared" si="35"/>
        <v>0.881245150466604</v>
      </c>
      <c r="G91" s="76">
        <f t="shared" si="35"/>
        <v>0.847823310271421</v>
      </c>
      <c r="H91" s="76">
        <f t="shared" si="35"/>
        <v>0.884274366680979</v>
      </c>
      <c r="I91" s="76">
        <f t="shared" si="35"/>
        <v>0.878193835015358</v>
      </c>
      <c r="J91" s="76">
        <f t="shared" si="35"/>
        <v>0.882623584645126</v>
      </c>
      <c r="K91" s="76">
        <f t="shared" si="35"/>
        <v>0.900300630167081</v>
      </c>
      <c r="L91" s="76">
        <f t="shared" si="35"/>
        <v>0.917768838958443</v>
      </c>
      <c r="M91" s="76">
        <f t="shared" si="35"/>
        <v>0.992145175193956</v>
      </c>
      <c r="N91" s="76">
        <f t="shared" si="35"/>
        <v>0.93608045724335</v>
      </c>
      <c r="O91" s="76">
        <f t="shared" si="35"/>
        <v>0.9055068060992</v>
      </c>
      <c r="P91" s="76">
        <f t="shared" si="35"/>
        <v>0.955415782774714</v>
      </c>
      <c r="Q91" s="76">
        <f t="shared" si="35"/>
        <v>0.973047509974878</v>
      </c>
      <c r="R91" s="76">
        <f t="shared" si="35"/>
        <v>0.985504956999522</v>
      </c>
      <c r="S91" s="76">
        <f t="shared" si="35"/>
        <v>0.999434950729699</v>
      </c>
      <c r="T91" s="76">
        <f t="shared" si="35"/>
        <v>0.998361333542681</v>
      </c>
      <c r="U91" s="76">
        <f t="shared" si="35"/>
        <v>0.984820122256739</v>
      </c>
      <c r="V91" s="76">
        <f t="shared" si="35"/>
        <v>0.994030793319415</v>
      </c>
      <c r="W91" s="76">
        <f t="shared" si="35"/>
        <v>0.977602151470461</v>
      </c>
      <c r="X91" s="76">
        <f t="shared" si="35"/>
        <v>0.930871997016993</v>
      </c>
      <c r="Y91" s="76">
        <f t="shared" si="35"/>
        <v>0.946312896273855</v>
      </c>
      <c r="Z91" s="76">
        <f t="shared" si="35"/>
        <v>0.961537263453002</v>
      </c>
      <c r="AA91" s="76">
        <f t="shared" si="35"/>
        <v>0.978259391022287</v>
      </c>
      <c r="AB91" s="76">
        <f t="shared" si="35"/>
        <v>0.910987244077608</v>
      </c>
      <c r="AC91" s="81"/>
    </row>
    <row r="92" spans="1:29">
      <c r="A92" s="4">
        <v>46010</v>
      </c>
      <c r="B92" s="67"/>
      <c r="C92" s="2" t="s">
        <v>33</v>
      </c>
      <c r="D92" s="3">
        <f>SUM(E92:AB92)</f>
        <v>56.788296</v>
      </c>
      <c r="E92" s="73" cm="1">
        <f t="array" ref="E92">0.5*INDEX('[1]12月代理实际分时电量'!E:E,MATCH($A92-7,'[1]12月代理实际分时电量'!$C:$C,0))+0.3*INDEX('[1]12月代理实际分时电量'!E:E,MATCH($A92-14,'[1]12月代理实际分时电量'!$C:$C,0))+0.2*INDEX('[1]12月代理实际分时电量'!E:E,MATCH($A92-21,'[1]12月代理实际分时电量'!$C:$C,0))</f>
        <v>1.450145</v>
      </c>
      <c r="F92" s="73" cm="1">
        <f t="array" ref="F92">0.5*INDEX('[1]12月代理实际分时电量'!F:F,MATCH($A92-7,'[1]12月代理实际分时电量'!$C:$C,0))+0.3*INDEX('[1]12月代理实际分时电量'!F:F,MATCH($A92-14,'[1]12月代理实际分时电量'!$C:$C,0))+0.2*INDEX('[1]12月代理实际分时电量'!F:F,MATCH($A92-21,'[1]12月代理实际分时电量'!$C:$C,0))</f>
        <v>1.42863</v>
      </c>
      <c r="G92" s="73" cm="1">
        <f t="array" ref="G92">0.5*INDEX('[1]12月代理实际分时电量'!G:G,MATCH($A92-7,'[1]12月代理实际分时电量'!$C:$C,0))+0.3*INDEX('[1]12月代理实际分时电量'!G:G,MATCH($A92-14,'[1]12月代理实际分时电量'!$C:$C,0))+0.2*INDEX('[1]12月代理实际分时电量'!G:G,MATCH($A92-21,'[1]12月代理实际分时电量'!$C:$C,0))</f>
        <v>1.425915</v>
      </c>
      <c r="H92" s="73" cm="1">
        <f t="array" ref="H92">0.5*INDEX('[1]12月代理实际分时电量'!H:H,MATCH($A92-7,'[1]12月代理实际分时电量'!$C:$C,0))+0.3*INDEX('[1]12月代理实际分时电量'!H:H,MATCH($A92-14,'[1]12月代理实际分时电量'!$C:$C,0))+0.2*INDEX('[1]12月代理实际分时电量'!H:H,MATCH($A92-21,'[1]12月代理实际分时电量'!$C:$C,0))</f>
        <v>1.38738</v>
      </c>
      <c r="I92" s="73" cm="1">
        <f t="array" ref="I92">0.5*INDEX('[1]12月代理实际分时电量'!I:I,MATCH($A92-7,'[1]12月代理实际分时电量'!$C:$C,0))+0.3*INDEX('[1]12月代理实际分时电量'!I:I,MATCH($A92-14,'[1]12月代理实际分时电量'!$C:$C,0))+0.2*INDEX('[1]12月代理实际分时电量'!I:I,MATCH($A92-21,'[1]12月代理实际分时电量'!$C:$C,0))</f>
        <v>1.39654</v>
      </c>
      <c r="J92" s="73" cm="1">
        <f t="array" ref="J92">0.5*INDEX('[1]12月代理实际分时电量'!J:J,MATCH($A92-7,'[1]12月代理实际分时电量'!$C:$C,0))+0.3*INDEX('[1]12月代理实际分时电量'!J:J,MATCH($A92-14,'[1]12月代理实际分时电量'!$C:$C,0))+0.2*INDEX('[1]12月代理实际分时电量'!J:J,MATCH($A92-21,'[1]12月代理实际分时电量'!$C:$C,0))</f>
        <v>1.380937</v>
      </c>
      <c r="K92" s="73" cm="1">
        <f t="array" ref="K92">0.5*INDEX('[1]12月代理实际分时电量'!K:K,MATCH($A92-7,'[1]12月代理实际分时电量'!$C:$C,0))+0.3*INDEX('[1]12月代理实际分时电量'!K:K,MATCH($A92-14,'[1]12月代理实际分时电量'!$C:$C,0))+0.2*INDEX('[1]12月代理实际分时电量'!K:K,MATCH($A92-21,'[1]12月代理实际分时电量'!$C:$C,0))</f>
        <v>1.3514</v>
      </c>
      <c r="L92" s="73" cm="1">
        <f t="array" ref="L92">0.5*INDEX('[1]12月代理实际分时电量'!L:L,MATCH($A92-7,'[1]12月代理实际分时电量'!$C:$C,0))+0.3*INDEX('[1]12月代理实际分时电量'!L:L,MATCH($A92-14,'[1]12月代理实际分时电量'!$C:$C,0))+0.2*INDEX('[1]12月代理实际分时电量'!L:L,MATCH($A92-21,'[1]12月代理实际分时电量'!$C:$C,0))</f>
        <v>1.75711</v>
      </c>
      <c r="M92" s="73" cm="1">
        <f t="array" ref="M92">0.5*INDEX('[1]12月代理实际分时电量'!M:M,MATCH($A92-7,'[1]12月代理实际分时电量'!$C:$C,0))+0.3*INDEX('[1]12月代理实际分时电量'!M:M,MATCH($A92-14,'[1]12月代理实际分时电量'!$C:$C,0))+0.2*INDEX('[1]12月代理实际分时电量'!M:M,MATCH($A92-21,'[1]12月代理实际分时电量'!$C:$C,0))</f>
        <v>3.396048</v>
      </c>
      <c r="N92" s="73" cm="1">
        <f t="array" ref="N92">0.5*INDEX('[1]12月代理实际分时电量'!N:N,MATCH($A92-7,'[1]12月代理实际分时电量'!$C:$C,0))+0.3*INDEX('[1]12月代理实际分时电量'!N:N,MATCH($A92-14,'[1]12月代理实际分时电量'!$C:$C,0))+0.2*INDEX('[1]12月代理实际分时电量'!N:N,MATCH($A92-21,'[1]12月代理实际分时电量'!$C:$C,0))</f>
        <v>3.555685</v>
      </c>
      <c r="O92" s="73" cm="1">
        <f t="array" ref="O92">0.5*INDEX('[1]12月代理实际分时电量'!O:O,MATCH($A92-7,'[1]12月代理实际分时电量'!$C:$C,0))+0.3*INDEX('[1]12月代理实际分时电量'!O:O,MATCH($A92-14,'[1]12月代理实际分时电量'!$C:$C,0))+0.2*INDEX('[1]12月代理实际分时电量'!O:O,MATCH($A92-21,'[1]12月代理实际分时电量'!$C:$C,0))</f>
        <v>3.138832</v>
      </c>
      <c r="P92" s="73" cm="1">
        <f t="array" ref="P92">0.5*INDEX('[1]12月代理实际分时电量'!P:P,MATCH($A92-7,'[1]12月代理实际分时电量'!$C:$C,0))+0.3*INDEX('[1]12月代理实际分时电量'!P:P,MATCH($A92-14,'[1]12月代理实际分时电量'!$C:$C,0))+0.2*INDEX('[1]12月代理实际分时电量'!P:P,MATCH($A92-21,'[1]12月代理实际分时电量'!$C:$C,0))</f>
        <v>2.952148</v>
      </c>
      <c r="Q92" s="73" cm="1">
        <f t="array" ref="Q92">0.5*INDEX('[1]12月代理实际分时电量'!Q:Q,MATCH($A92-7,'[1]12月代理实际分时电量'!$C:$C,0))+0.3*INDEX('[1]12月代理实际分时电量'!Q:Q,MATCH($A92-14,'[1]12月代理实际分时电量'!$C:$C,0))+0.2*INDEX('[1]12月代理实际分时电量'!Q:Q,MATCH($A92-21,'[1]12月代理实际分时电量'!$C:$C,0))</f>
        <v>2.303873</v>
      </c>
      <c r="R92" s="73" cm="1">
        <f t="array" ref="R92">0.5*INDEX('[1]12月代理实际分时电量'!R:R,MATCH($A92-7,'[1]12月代理实际分时电量'!$C:$C,0))+0.3*INDEX('[1]12月代理实际分时电量'!R:R,MATCH($A92-14,'[1]12月代理实际分时电量'!$C:$C,0))+0.2*INDEX('[1]12月代理实际分时电量'!R:R,MATCH($A92-21,'[1]12月代理实际分时电量'!$C:$C,0))</f>
        <v>2.70119</v>
      </c>
      <c r="S92" s="73" cm="1">
        <f t="array" ref="S92">0.5*INDEX('[1]12月代理实际分时电量'!S:S,MATCH($A92-7,'[1]12月代理实际分时电量'!$C:$C,0))+0.3*INDEX('[1]12月代理实际分时电量'!S:S,MATCH($A92-14,'[1]12月代理实际分时电量'!$C:$C,0))+0.2*INDEX('[1]12月代理实际分时电量'!S:S,MATCH($A92-21,'[1]12月代理实际分时电量'!$C:$C,0))</f>
        <v>3.312653</v>
      </c>
      <c r="T92" s="73" cm="1">
        <f t="array" ref="T92">0.5*INDEX('[1]12月代理实际分时电量'!T:T,MATCH($A92-7,'[1]12月代理实际分时电量'!$C:$C,0))+0.3*INDEX('[1]12月代理实际分时电量'!T:T,MATCH($A92-14,'[1]12月代理实际分时电量'!$C:$C,0))+0.2*INDEX('[1]12月代理实际分时电量'!T:T,MATCH($A92-21,'[1]12月代理实际分时电量'!$C:$C,0))</f>
        <v>3.346543</v>
      </c>
      <c r="U92" s="73" cm="1">
        <f t="array" ref="U92">0.5*INDEX('[1]12月代理实际分时电量'!U:U,MATCH($A92-7,'[1]12月代理实际分时电量'!$C:$C,0))+0.3*INDEX('[1]12月代理实际分时电量'!U:U,MATCH($A92-14,'[1]12月代理实际分时电量'!$C:$C,0))+0.2*INDEX('[1]12月代理实际分时电量'!U:U,MATCH($A92-21,'[1]12月代理实际分时电量'!$C:$C,0))</f>
        <v>3.427402</v>
      </c>
      <c r="V92" s="73" cm="1">
        <f t="array" ref="V92">0.5*INDEX('[1]12月代理实际分时电量'!V:V,MATCH($A92-7,'[1]12月代理实际分时电量'!$C:$C,0))+0.3*INDEX('[1]12月代理实际分时电量'!V:V,MATCH($A92-14,'[1]12月代理实际分时电量'!$C:$C,0))+0.2*INDEX('[1]12月代理实际分时电量'!V:V,MATCH($A92-21,'[1]12月代理实际分时电量'!$C:$C,0))</f>
        <v>3.270864</v>
      </c>
      <c r="W92" s="73" cm="1">
        <f t="array" ref="W92">0.5*INDEX('[1]12月代理实际分时电量'!W:W,MATCH($A92-7,'[1]12月代理实际分时电量'!$C:$C,0))+0.3*INDEX('[1]12月代理实际分时电量'!W:W,MATCH($A92-14,'[1]12月代理实际分时电量'!$C:$C,0))+0.2*INDEX('[1]12月代理实际分时电量'!W:W,MATCH($A92-21,'[1]12月代理实际分时电量'!$C:$C,0))</f>
        <v>2.954216</v>
      </c>
      <c r="X92" s="73" cm="1">
        <f t="array" ref="X92">0.5*INDEX('[1]12月代理实际分时电量'!X:X,MATCH($A92-7,'[1]12月代理实际分时电量'!$C:$C,0))+0.3*INDEX('[1]12月代理实际分时电量'!X:X,MATCH($A92-14,'[1]12月代理实际分时电量'!$C:$C,0))+0.2*INDEX('[1]12月代理实际分时电量'!X:X,MATCH($A92-21,'[1]12月代理实际分时电量'!$C:$C,0))</f>
        <v>2.987743</v>
      </c>
      <c r="Y92" s="73" cm="1">
        <f t="array" ref="Y92">0.5*INDEX('[1]12月代理实际分时电量'!Y:Y,MATCH($A92-7,'[1]12月代理实际分时电量'!$C:$C,0))+0.3*INDEX('[1]12月代理实际分时电量'!Y:Y,MATCH($A92-14,'[1]12月代理实际分时电量'!$C:$C,0))+0.2*INDEX('[1]12月代理实际分时电量'!Y:Y,MATCH($A92-21,'[1]12月代理实际分时电量'!$C:$C,0))</f>
        <v>2.60381</v>
      </c>
      <c r="Z92" s="73" cm="1">
        <f t="array" ref="Z92">0.5*INDEX('[1]12月代理实际分时电量'!Z:Z,MATCH($A92-7,'[1]12月代理实际分时电量'!$C:$C,0))+0.3*INDEX('[1]12月代理实际分时电量'!Z:Z,MATCH($A92-14,'[1]12月代理实际分时电量'!$C:$C,0))+0.2*INDEX('[1]12月代理实际分时电量'!Z:Z,MATCH($A92-21,'[1]12月代理实际分时电量'!$C:$C,0))</f>
        <v>2.09853</v>
      </c>
      <c r="AA92" s="73" cm="1">
        <f t="array" ref="AA92">0.5*INDEX('[1]12月代理实际分时电量'!AA:AA,MATCH($A92-7,'[1]12月代理实际分时电量'!$C:$C,0))+0.3*INDEX('[1]12月代理实际分时电量'!AA:AA,MATCH($A92-14,'[1]12月代理实际分时电量'!$C:$C,0))+0.2*INDEX('[1]12月代理实际分时电量'!AA:AA,MATCH($A92-21,'[1]12月代理实际分时电量'!$C:$C,0))</f>
        <v>1.649222</v>
      </c>
      <c r="AB92" s="73" cm="1">
        <f t="array" ref="AB92">0.5*INDEX('[1]12月代理实际分时电量'!AB:AB,MATCH($A92-7,'[1]12月代理实际分时电量'!$C:$C,0))+0.3*INDEX('[1]12月代理实际分时电量'!AB:AB,MATCH($A92-14,'[1]12月代理实际分时电量'!$C:$C,0))+0.2*INDEX('[1]12月代理实际分时电量'!AB:AB,MATCH($A92-21,'[1]12月代理实际分时电量'!$C:$C,0))</f>
        <v>1.51148</v>
      </c>
      <c r="AC92" s="81"/>
    </row>
    <row r="93" spans="1:29">
      <c r="A93" s="4"/>
      <c r="B93" s="68"/>
      <c r="C93" s="2" t="s">
        <v>35</v>
      </c>
      <c r="D93" s="3">
        <f>D94/D92</f>
        <v>0.872239589650656</v>
      </c>
      <c r="E93" s="74">
        <v>0.9</v>
      </c>
      <c r="F93" s="75">
        <v>0.9</v>
      </c>
      <c r="G93" s="75">
        <v>0.9</v>
      </c>
      <c r="H93" s="75">
        <v>0.9</v>
      </c>
      <c r="I93" s="75">
        <v>0.9</v>
      </c>
      <c r="J93" s="75">
        <v>0.8</v>
      </c>
      <c r="K93" s="75">
        <v>0.8</v>
      </c>
      <c r="L93" s="75">
        <v>0.9</v>
      </c>
      <c r="M93" s="75">
        <v>0.9</v>
      </c>
      <c r="N93" s="75">
        <v>0.9</v>
      </c>
      <c r="O93" s="75">
        <v>0.8</v>
      </c>
      <c r="P93" s="75">
        <v>0.8</v>
      </c>
      <c r="Q93" s="75">
        <v>0.8</v>
      </c>
      <c r="R93" s="75">
        <v>0.8</v>
      </c>
      <c r="S93" s="75">
        <v>0.8</v>
      </c>
      <c r="T93" s="75">
        <v>0.9</v>
      </c>
      <c r="U93" s="75">
        <v>0.9</v>
      </c>
      <c r="V93" s="75">
        <v>0.9</v>
      </c>
      <c r="W93" s="75">
        <v>0.9</v>
      </c>
      <c r="X93" s="75">
        <v>0.9</v>
      </c>
      <c r="Y93" s="75">
        <v>0.9</v>
      </c>
      <c r="Z93" s="75">
        <v>0.9</v>
      </c>
      <c r="AA93" s="75">
        <v>0.8</v>
      </c>
      <c r="AB93" s="75">
        <v>1.1</v>
      </c>
      <c r="AC93" s="81"/>
    </row>
    <row r="94" spans="1:29">
      <c r="A94" s="4"/>
      <c r="B94" s="68"/>
      <c r="C94" s="2" t="s">
        <v>36</v>
      </c>
      <c r="D94" s="3">
        <f>SUM(E94:AB94)</f>
        <v>49.533</v>
      </c>
      <c r="E94" s="13">
        <f t="shared" ref="E94:AB94" si="36">ROUND(E92*E93,3)</f>
        <v>1.305</v>
      </c>
      <c r="F94" s="13">
        <f t="shared" si="36"/>
        <v>1.286</v>
      </c>
      <c r="G94" s="13">
        <f t="shared" si="36"/>
        <v>1.283</v>
      </c>
      <c r="H94" s="13">
        <f t="shared" si="36"/>
        <v>1.249</v>
      </c>
      <c r="I94" s="13">
        <f t="shared" si="36"/>
        <v>1.257</v>
      </c>
      <c r="J94" s="13">
        <f t="shared" si="36"/>
        <v>1.105</v>
      </c>
      <c r="K94" s="13">
        <f t="shared" si="36"/>
        <v>1.081</v>
      </c>
      <c r="L94" s="13">
        <f t="shared" si="36"/>
        <v>1.581</v>
      </c>
      <c r="M94" s="13">
        <f t="shared" si="36"/>
        <v>3.056</v>
      </c>
      <c r="N94" s="13">
        <f t="shared" si="36"/>
        <v>3.2</v>
      </c>
      <c r="O94" s="13">
        <f t="shared" si="36"/>
        <v>2.511</v>
      </c>
      <c r="P94" s="13">
        <f t="shared" si="36"/>
        <v>2.362</v>
      </c>
      <c r="Q94" s="13">
        <f t="shared" si="36"/>
        <v>1.843</v>
      </c>
      <c r="R94" s="13">
        <f t="shared" si="36"/>
        <v>2.161</v>
      </c>
      <c r="S94" s="13">
        <f t="shared" si="36"/>
        <v>2.65</v>
      </c>
      <c r="T94" s="13">
        <f t="shared" si="36"/>
        <v>3.012</v>
      </c>
      <c r="U94" s="13">
        <f t="shared" si="36"/>
        <v>3.085</v>
      </c>
      <c r="V94" s="13">
        <f t="shared" si="36"/>
        <v>2.944</v>
      </c>
      <c r="W94" s="13">
        <f t="shared" si="36"/>
        <v>2.659</v>
      </c>
      <c r="X94" s="13">
        <f t="shared" si="36"/>
        <v>2.689</v>
      </c>
      <c r="Y94" s="13">
        <f t="shared" si="36"/>
        <v>2.343</v>
      </c>
      <c r="Z94" s="13">
        <f t="shared" si="36"/>
        <v>1.889</v>
      </c>
      <c r="AA94" s="13">
        <f t="shared" si="36"/>
        <v>1.319</v>
      </c>
      <c r="AB94" s="13">
        <f t="shared" si="36"/>
        <v>1.663</v>
      </c>
      <c r="AC94" s="81"/>
    </row>
    <row r="95" ht="17" spans="1:29">
      <c r="A95" s="4"/>
      <c r="B95" s="68"/>
      <c r="C95" s="66" t="s">
        <v>37</v>
      </c>
      <c r="D95" s="3">
        <f>SUM(E95:AB95)</f>
        <v>71.381</v>
      </c>
      <c r="E95" s="13">
        <v>1.886</v>
      </c>
      <c r="F95" s="13">
        <v>1.921</v>
      </c>
      <c r="G95" s="13">
        <v>1.915</v>
      </c>
      <c r="H95" s="13">
        <v>1.8169</v>
      </c>
      <c r="I95" s="13">
        <v>1.7748</v>
      </c>
      <c r="J95" s="13">
        <v>1.8623</v>
      </c>
      <c r="K95" s="13">
        <v>1.7454</v>
      </c>
      <c r="L95" s="13">
        <v>2.1454</v>
      </c>
      <c r="M95" s="13">
        <v>4.1406</v>
      </c>
      <c r="N95" s="13">
        <v>4.3079</v>
      </c>
      <c r="O95" s="13">
        <v>3.8378</v>
      </c>
      <c r="P95" s="13">
        <v>3.8074</v>
      </c>
      <c r="Q95" s="13">
        <v>2.9516</v>
      </c>
      <c r="R95" s="13">
        <v>3.5495</v>
      </c>
      <c r="S95" s="13">
        <v>4.24</v>
      </c>
      <c r="T95" s="13">
        <v>3.9499</v>
      </c>
      <c r="U95" s="13">
        <v>4.0738</v>
      </c>
      <c r="V95" s="13">
        <v>3.9214</v>
      </c>
      <c r="W95" s="13">
        <v>3.5182</v>
      </c>
      <c r="X95" s="13">
        <v>3.8202</v>
      </c>
      <c r="Y95" s="13">
        <v>3.4038</v>
      </c>
      <c r="Z95" s="13">
        <v>2.8079</v>
      </c>
      <c r="AA95" s="13">
        <v>2.2022</v>
      </c>
      <c r="AB95" s="13">
        <v>1.782</v>
      </c>
      <c r="AC95" s="81"/>
    </row>
    <row r="96" spans="1:29">
      <c r="A96" s="69"/>
      <c r="B96" s="68"/>
      <c r="C96" s="64" t="s">
        <v>38</v>
      </c>
      <c r="D96" s="70">
        <f>D95/D92</f>
        <v>1.25696675244491</v>
      </c>
      <c r="E96" s="76">
        <f t="shared" ref="E96:AB96" si="37">1-ABS(E92-E95)/E95</f>
        <v>0.768899787910923</v>
      </c>
      <c r="F96" s="76">
        <f t="shared" si="37"/>
        <v>0.743690786048933</v>
      </c>
      <c r="G96" s="76">
        <f t="shared" si="37"/>
        <v>0.744603133159269</v>
      </c>
      <c r="H96" s="76">
        <f t="shared" si="37"/>
        <v>0.763597336121966</v>
      </c>
      <c r="I96" s="76">
        <f t="shared" si="37"/>
        <v>0.786871760198332</v>
      </c>
      <c r="J96" s="76">
        <f t="shared" si="37"/>
        <v>0.741522311120657</v>
      </c>
      <c r="K96" s="76">
        <f t="shared" si="37"/>
        <v>0.774263779076429</v>
      </c>
      <c r="L96" s="76">
        <f t="shared" si="37"/>
        <v>0.81901277151114</v>
      </c>
      <c r="M96" s="76">
        <f t="shared" si="37"/>
        <v>0.820182582234459</v>
      </c>
      <c r="N96" s="76">
        <f t="shared" si="37"/>
        <v>0.825387079551522</v>
      </c>
      <c r="O96" s="76">
        <f t="shared" si="37"/>
        <v>0.81787273959039</v>
      </c>
      <c r="P96" s="76">
        <f t="shared" si="37"/>
        <v>0.775371119399065</v>
      </c>
      <c r="Q96" s="76">
        <f t="shared" si="37"/>
        <v>0.780550548854859</v>
      </c>
      <c r="R96" s="76">
        <f t="shared" si="37"/>
        <v>0.761005775461333</v>
      </c>
      <c r="S96" s="76">
        <f t="shared" si="37"/>
        <v>0.78128608490566</v>
      </c>
      <c r="T96" s="76">
        <f t="shared" si="37"/>
        <v>0.847247525253804</v>
      </c>
      <c r="U96" s="76">
        <f t="shared" si="37"/>
        <v>0.841327998428985</v>
      </c>
      <c r="V96" s="76">
        <f t="shared" si="37"/>
        <v>0.834106186566022</v>
      </c>
      <c r="W96" s="76">
        <f t="shared" si="37"/>
        <v>0.839695298732306</v>
      </c>
      <c r="X96" s="76">
        <f t="shared" si="37"/>
        <v>0.782090728234124</v>
      </c>
      <c r="Y96" s="76">
        <f t="shared" si="37"/>
        <v>0.764971502438451</v>
      </c>
      <c r="Z96" s="76">
        <f t="shared" si="37"/>
        <v>0.747366359200826</v>
      </c>
      <c r="AA96" s="76">
        <f t="shared" si="37"/>
        <v>0.748897466170193</v>
      </c>
      <c r="AB96" s="76">
        <f t="shared" si="37"/>
        <v>0.848193041526375</v>
      </c>
      <c r="AC96" s="81"/>
    </row>
    <row r="97" spans="1:29">
      <c r="A97" s="4">
        <v>46011</v>
      </c>
      <c r="B97" s="67"/>
      <c r="C97" s="2" t="s">
        <v>33</v>
      </c>
      <c r="D97" s="3">
        <f>SUM(E97:AB97)</f>
        <v>64.360052</v>
      </c>
      <c r="E97" s="73" cm="1">
        <f t="array" ref="E97">0.5*INDEX('[1]12月代理实际分时电量'!E:E,MATCH($A97-7,'[1]12月代理实际分时电量'!$C:$C,0))+0.3*INDEX('[1]12月代理实际分时电量'!E:E,MATCH($A97-14,'[1]12月代理实际分时电量'!$C:$C,0))+0.2*INDEX('[1]12月代理实际分时电量'!E:E,MATCH($A97-21,'[1]12月代理实际分时电量'!$C:$C,0))</f>
        <v>1.620448</v>
      </c>
      <c r="F97" s="73" cm="1">
        <f t="array" ref="F97">0.5*INDEX('[1]12月代理实际分时电量'!F:F,MATCH($A97-7,'[1]12月代理实际分时电量'!$C:$C,0))+0.3*INDEX('[1]12月代理实际分时电量'!F:F,MATCH($A97-14,'[1]12月代理实际分时电量'!$C:$C,0))+0.2*INDEX('[1]12月代理实际分时电量'!F:F,MATCH($A97-21,'[1]12月代理实际分时电量'!$C:$C,0))</f>
        <v>1.6505</v>
      </c>
      <c r="G97" s="73" cm="1">
        <f t="array" ref="G97">0.5*INDEX('[1]12月代理实际分时电量'!G:G,MATCH($A97-7,'[1]12月代理实际分时电量'!$C:$C,0))+0.3*INDEX('[1]12月代理实际分时电量'!G:G,MATCH($A97-14,'[1]12月代理实际分时电量'!$C:$C,0))+0.2*INDEX('[1]12月代理实际分时电量'!G:G,MATCH($A97-21,'[1]12月代理实际分时电量'!$C:$C,0))</f>
        <v>1.60487</v>
      </c>
      <c r="H97" s="73" cm="1">
        <f t="array" ref="H97">0.5*INDEX('[1]12月代理实际分时电量'!H:H,MATCH($A97-7,'[1]12月代理实际分时电量'!$C:$C,0))+0.3*INDEX('[1]12月代理实际分时电量'!H:H,MATCH($A97-14,'[1]12月代理实际分时电量'!$C:$C,0))+0.2*INDEX('[1]12月代理实际分时电量'!H:H,MATCH($A97-21,'[1]12月代理实际分时电量'!$C:$C,0))</f>
        <v>1.612385</v>
      </c>
      <c r="I97" s="73" cm="1">
        <f t="array" ref="I97">0.5*INDEX('[1]12月代理实际分时电量'!I:I,MATCH($A97-7,'[1]12月代理实际分时电量'!$C:$C,0))+0.3*INDEX('[1]12月代理实际分时电量'!I:I,MATCH($A97-14,'[1]12月代理实际分时电量'!$C:$C,0))+0.2*INDEX('[1]12月代理实际分时电量'!I:I,MATCH($A97-21,'[1]12月代理实际分时电量'!$C:$C,0))</f>
        <v>1.60059</v>
      </c>
      <c r="J97" s="73" cm="1">
        <f t="array" ref="J97">0.5*INDEX('[1]12月代理实际分时电量'!J:J,MATCH($A97-7,'[1]12月代理实际分时电量'!$C:$C,0))+0.3*INDEX('[1]12月代理实际分时电量'!J:J,MATCH($A97-14,'[1]12月代理实际分时电量'!$C:$C,0))+0.2*INDEX('[1]12月代理实际分时电量'!J:J,MATCH($A97-21,'[1]12月代理实际分时电量'!$C:$C,0))</f>
        <v>1.61704</v>
      </c>
      <c r="K97" s="73" cm="1">
        <f t="array" ref="K97">0.5*INDEX('[1]12月代理实际分时电量'!K:K,MATCH($A97-7,'[1]12月代理实际分时电量'!$C:$C,0))+0.3*INDEX('[1]12月代理实际分时电量'!K:K,MATCH($A97-14,'[1]12月代理实际分时电量'!$C:$C,0))+0.2*INDEX('[1]12月代理实际分时电量'!K:K,MATCH($A97-21,'[1]12月代理实际分时电量'!$C:$C,0))</f>
        <v>1.587365</v>
      </c>
      <c r="L97" s="73" cm="1">
        <f t="array" ref="L97">0.5*INDEX('[1]12月代理实际分时电量'!L:L,MATCH($A97-7,'[1]12月代理实际分时电量'!$C:$C,0))+0.3*INDEX('[1]12月代理实际分时电量'!L:L,MATCH($A97-14,'[1]12月代理实际分时电量'!$C:$C,0))+0.2*INDEX('[1]12月代理实际分时电量'!L:L,MATCH($A97-21,'[1]12月代理实际分时电量'!$C:$C,0))</f>
        <v>1.94839</v>
      </c>
      <c r="M97" s="73" cm="1">
        <f t="array" ref="M97">0.5*INDEX('[1]12月代理实际分时电量'!M:M,MATCH($A97-7,'[1]12月代理实际分时电量'!$C:$C,0))+0.3*INDEX('[1]12月代理实际分时电量'!M:M,MATCH($A97-14,'[1]12月代理实际分时电量'!$C:$C,0))+0.2*INDEX('[1]12月代理实际分时电量'!M:M,MATCH($A97-21,'[1]12月代理实际分时电量'!$C:$C,0))</f>
        <v>3.820522</v>
      </c>
      <c r="N97" s="73" cm="1">
        <f t="array" ref="N97">0.5*INDEX('[1]12月代理实际分时电量'!N:N,MATCH($A97-7,'[1]12月代理实际分时电量'!$C:$C,0))+0.3*INDEX('[1]12月代理实际分时电量'!N:N,MATCH($A97-14,'[1]12月代理实际分时电量'!$C:$C,0))+0.2*INDEX('[1]12月代理实际分时电量'!N:N,MATCH($A97-21,'[1]12月代理实际分时电量'!$C:$C,0))</f>
        <v>4.200383</v>
      </c>
      <c r="O97" s="73" cm="1">
        <f t="array" ref="O97">0.5*INDEX('[1]12月代理实际分时电量'!O:O,MATCH($A97-7,'[1]12月代理实际分时电量'!$C:$C,0))+0.3*INDEX('[1]12月代理实际分时电量'!O:O,MATCH($A97-14,'[1]12月代理实际分时电量'!$C:$C,0))+0.2*INDEX('[1]12月代理实际分时电量'!O:O,MATCH($A97-21,'[1]12月代理实际分时电量'!$C:$C,0))</f>
        <v>3.51676</v>
      </c>
      <c r="P97" s="73" cm="1">
        <f t="array" ref="P97">0.5*INDEX('[1]12月代理实际分时电量'!P:P,MATCH($A97-7,'[1]12月代理实际分时电量'!$C:$C,0))+0.3*INDEX('[1]12月代理实际分时电量'!P:P,MATCH($A97-14,'[1]12月代理实际分时电量'!$C:$C,0))+0.2*INDEX('[1]12月代理实际分时电量'!P:P,MATCH($A97-21,'[1]12月代理实际分时电量'!$C:$C,0))</f>
        <v>3.435737</v>
      </c>
      <c r="Q97" s="73" cm="1">
        <f t="array" ref="Q97">0.5*INDEX('[1]12月代理实际分时电量'!Q:Q,MATCH($A97-7,'[1]12月代理实际分时电量'!$C:$C,0))+0.3*INDEX('[1]12月代理实际分时电量'!Q:Q,MATCH($A97-14,'[1]12月代理实际分时电量'!$C:$C,0))+0.2*INDEX('[1]12月代理实际分时电量'!Q:Q,MATCH($A97-21,'[1]12月代理实际分时电量'!$C:$C,0))</f>
        <v>2.886655</v>
      </c>
      <c r="R97" s="73" cm="1">
        <f t="array" ref="R97">0.5*INDEX('[1]12月代理实际分时电量'!R:R,MATCH($A97-7,'[1]12月代理实际分时电量'!$C:$C,0))+0.3*INDEX('[1]12月代理实际分时电量'!R:R,MATCH($A97-14,'[1]12月代理实际分时电量'!$C:$C,0))+0.2*INDEX('[1]12月代理实际分时电量'!R:R,MATCH($A97-21,'[1]12月代理实际分时电量'!$C:$C,0))</f>
        <v>3.50167</v>
      </c>
      <c r="S97" s="73" cm="1">
        <f t="array" ref="S97">0.5*INDEX('[1]12月代理实际分时电量'!S:S,MATCH($A97-7,'[1]12月代理实际分时电量'!$C:$C,0))+0.3*INDEX('[1]12月代理实际分时电量'!S:S,MATCH($A97-14,'[1]12月代理实际分时电量'!$C:$C,0))+0.2*INDEX('[1]12月代理实际分时电量'!S:S,MATCH($A97-21,'[1]12月代理实际分时电量'!$C:$C,0))</f>
        <v>3.976687</v>
      </c>
      <c r="T97" s="73" cm="1">
        <f t="array" ref="T97">0.5*INDEX('[1]12月代理实际分时电量'!T:T,MATCH($A97-7,'[1]12月代理实际分时电量'!$C:$C,0))+0.3*INDEX('[1]12月代理实际分时电量'!T:T,MATCH($A97-14,'[1]12月代理实际分时电量'!$C:$C,0))+0.2*INDEX('[1]12月代理实际分时电量'!T:T,MATCH($A97-21,'[1]12月代理实际分时电量'!$C:$C,0))</f>
        <v>3.854933</v>
      </c>
      <c r="U97" s="73" cm="1">
        <f t="array" ref="U97">0.5*INDEX('[1]12月代理实际分时电量'!U:U,MATCH($A97-7,'[1]12月代理实际分时电量'!$C:$C,0))+0.3*INDEX('[1]12月代理实际分时电量'!U:U,MATCH($A97-14,'[1]12月代理实际分时电量'!$C:$C,0))+0.2*INDEX('[1]12月代理实际分时电量'!U:U,MATCH($A97-21,'[1]12月代理实际分时电量'!$C:$C,0))</f>
        <v>3.828652</v>
      </c>
      <c r="V97" s="73" cm="1">
        <f t="array" ref="V97">0.5*INDEX('[1]12月代理实际分时电量'!V:V,MATCH($A97-7,'[1]12月代理实际分时电量'!$C:$C,0))+0.3*INDEX('[1]12月代理实际分时电量'!V:V,MATCH($A97-14,'[1]12月代理实际分时电量'!$C:$C,0))+0.2*INDEX('[1]12月代理实际分时电量'!V:V,MATCH($A97-21,'[1]12月代理实际分时电量'!$C:$C,0))</f>
        <v>3.57396</v>
      </c>
      <c r="W97" s="73" cm="1">
        <f t="array" ref="W97">0.5*INDEX('[1]12月代理实际分时电量'!W:W,MATCH($A97-7,'[1]12月代理实际分时电量'!$C:$C,0))+0.3*INDEX('[1]12月代理实际分时电量'!W:W,MATCH($A97-14,'[1]12月代理实际分时电量'!$C:$C,0))+0.2*INDEX('[1]12月代理实际分时电量'!W:W,MATCH($A97-21,'[1]12月代理实际分时电量'!$C:$C,0))</f>
        <v>2.97329</v>
      </c>
      <c r="X97" s="73" cm="1">
        <f t="array" ref="X97">0.5*INDEX('[1]12月代理实际分时电量'!X:X,MATCH($A97-7,'[1]12月代理实际分时电量'!$C:$C,0))+0.3*INDEX('[1]12月代理实际分时电量'!X:X,MATCH($A97-14,'[1]12月代理实际分时电量'!$C:$C,0))+0.2*INDEX('[1]12月代理实际分时电量'!X:X,MATCH($A97-21,'[1]12月代理实际分时电量'!$C:$C,0))</f>
        <v>2.97192</v>
      </c>
      <c r="Y97" s="73" cm="1">
        <f t="array" ref="Y97">0.5*INDEX('[1]12月代理实际分时电量'!Y:Y,MATCH($A97-7,'[1]12月代理实际分时电量'!$C:$C,0))+0.3*INDEX('[1]12月代理实际分时电量'!Y:Y,MATCH($A97-14,'[1]12月代理实际分时电量'!$C:$C,0))+0.2*INDEX('[1]12月代理实际分时电量'!Y:Y,MATCH($A97-21,'[1]12月代理实际分时电量'!$C:$C,0))</f>
        <v>2.646885</v>
      </c>
      <c r="Z97" s="73" cm="1">
        <f t="array" ref="Z97">0.5*INDEX('[1]12月代理实际分时电量'!Z:Z,MATCH($A97-7,'[1]12月代理实际分时电量'!$C:$C,0))+0.3*INDEX('[1]12月代理实际分时电量'!Z:Z,MATCH($A97-14,'[1]12月代理实际分时电量'!$C:$C,0))+0.2*INDEX('[1]12月代理实际分时电量'!Z:Z,MATCH($A97-21,'[1]12月代理实际分时电量'!$C:$C,0))</f>
        <v>2.273997</v>
      </c>
      <c r="AA97" s="73" cm="1">
        <f t="array" ref="AA97">0.5*INDEX('[1]12月代理实际分时电量'!AA:AA,MATCH($A97-7,'[1]12月代理实际分时电量'!$C:$C,0))+0.3*INDEX('[1]12月代理实际分时电量'!AA:AA,MATCH($A97-14,'[1]12月代理实际分时电量'!$C:$C,0))+0.2*INDEX('[1]12月代理实际分时电量'!AA:AA,MATCH($A97-21,'[1]12月代理实际分时电量'!$C:$C,0))</f>
        <v>1.945493</v>
      </c>
      <c r="AB97" s="73" cm="1">
        <f t="array" ref="AB97">0.5*INDEX('[1]12月代理实际分时电量'!AB:AB,MATCH($A97-7,'[1]12月代理实际分时电量'!$C:$C,0))+0.3*INDEX('[1]12月代理实际分时电量'!AB:AB,MATCH($A97-14,'[1]12月代理实际分时电量'!$C:$C,0))+0.2*INDEX('[1]12月代理实际分时电量'!AB:AB,MATCH($A97-21,'[1]12月代理实际分时电量'!$C:$C,0))</f>
        <v>1.71092</v>
      </c>
      <c r="AC97" s="81"/>
    </row>
    <row r="98" spans="1:29">
      <c r="A98" s="4"/>
      <c r="B98" s="68"/>
      <c r="C98" s="2" t="s">
        <v>35</v>
      </c>
      <c r="D98" s="3">
        <f>D99/D97</f>
        <v>0.925807207240914</v>
      </c>
      <c r="E98" s="79">
        <v>0.8</v>
      </c>
      <c r="F98" s="79">
        <v>0.8</v>
      </c>
      <c r="G98" s="79">
        <v>0.8</v>
      </c>
      <c r="H98" s="80">
        <v>1.2</v>
      </c>
      <c r="I98" s="80">
        <v>1</v>
      </c>
      <c r="J98" s="80">
        <v>1</v>
      </c>
      <c r="K98" s="80">
        <v>1</v>
      </c>
      <c r="L98" s="80">
        <v>1</v>
      </c>
      <c r="M98" s="80">
        <v>1</v>
      </c>
      <c r="N98" s="80">
        <v>0.8</v>
      </c>
      <c r="O98" s="80">
        <v>0.8</v>
      </c>
      <c r="P98" s="80">
        <v>0.8</v>
      </c>
      <c r="Q98" s="80">
        <v>0.8</v>
      </c>
      <c r="R98" s="80">
        <v>0.8</v>
      </c>
      <c r="S98" s="80">
        <v>0.8</v>
      </c>
      <c r="T98" s="80">
        <v>0.8</v>
      </c>
      <c r="U98" s="80">
        <v>1.2</v>
      </c>
      <c r="V98" s="80">
        <v>1.2</v>
      </c>
      <c r="W98" s="80">
        <v>1.2</v>
      </c>
      <c r="X98" s="80">
        <v>1.2</v>
      </c>
      <c r="Y98" s="80">
        <v>0.8</v>
      </c>
      <c r="Z98" s="80">
        <v>0.8</v>
      </c>
      <c r="AA98" s="80">
        <v>0.8</v>
      </c>
      <c r="AB98" s="80">
        <v>0.8</v>
      </c>
      <c r="AC98" s="81"/>
    </row>
    <row r="99" spans="1:29">
      <c r="A99" s="4"/>
      <c r="B99" s="68"/>
      <c r="C99" s="2" t="s">
        <v>36</v>
      </c>
      <c r="D99" s="3">
        <f>SUM(E99:AB99)</f>
        <v>59.585</v>
      </c>
      <c r="E99" s="13">
        <f t="shared" ref="E99:AB99" si="38">ROUND(E97*E98,3)</f>
        <v>1.296</v>
      </c>
      <c r="F99" s="13">
        <f t="shared" si="38"/>
        <v>1.32</v>
      </c>
      <c r="G99" s="13">
        <f t="shared" si="38"/>
        <v>1.284</v>
      </c>
      <c r="H99" s="13">
        <f t="shared" si="38"/>
        <v>1.935</v>
      </c>
      <c r="I99" s="13">
        <f t="shared" si="38"/>
        <v>1.601</v>
      </c>
      <c r="J99" s="13">
        <f t="shared" si="38"/>
        <v>1.617</v>
      </c>
      <c r="K99" s="13">
        <f t="shared" si="38"/>
        <v>1.587</v>
      </c>
      <c r="L99" s="13">
        <f t="shared" si="38"/>
        <v>1.948</v>
      </c>
      <c r="M99" s="13">
        <f t="shared" si="38"/>
        <v>3.821</v>
      </c>
      <c r="N99" s="13">
        <f t="shared" si="38"/>
        <v>3.36</v>
      </c>
      <c r="O99" s="13">
        <f t="shared" si="38"/>
        <v>2.813</v>
      </c>
      <c r="P99" s="13">
        <f t="shared" si="38"/>
        <v>2.749</v>
      </c>
      <c r="Q99" s="13">
        <f t="shared" si="38"/>
        <v>2.309</v>
      </c>
      <c r="R99" s="13">
        <f t="shared" si="38"/>
        <v>2.801</v>
      </c>
      <c r="S99" s="13">
        <f t="shared" si="38"/>
        <v>3.181</v>
      </c>
      <c r="T99" s="13">
        <f t="shared" si="38"/>
        <v>3.084</v>
      </c>
      <c r="U99" s="13">
        <f t="shared" si="38"/>
        <v>4.594</v>
      </c>
      <c r="V99" s="13">
        <f t="shared" si="38"/>
        <v>4.289</v>
      </c>
      <c r="W99" s="13">
        <f t="shared" si="38"/>
        <v>3.568</v>
      </c>
      <c r="X99" s="13">
        <f t="shared" si="38"/>
        <v>3.566</v>
      </c>
      <c r="Y99" s="13">
        <f t="shared" si="38"/>
        <v>2.118</v>
      </c>
      <c r="Z99" s="13">
        <f t="shared" si="38"/>
        <v>1.819</v>
      </c>
      <c r="AA99" s="13">
        <f t="shared" si="38"/>
        <v>1.556</v>
      </c>
      <c r="AB99" s="13">
        <f t="shared" si="38"/>
        <v>1.369</v>
      </c>
      <c r="AC99" s="81"/>
    </row>
    <row r="100" ht="17" spans="1:29">
      <c r="A100" s="4"/>
      <c r="B100" s="68"/>
      <c r="C100" s="66" t="s">
        <v>37</v>
      </c>
      <c r="D100" s="3">
        <f>SUM(E100:AB100)</f>
        <v>66.2765</v>
      </c>
      <c r="E100" s="13">
        <v>1.8671</v>
      </c>
      <c r="F100" s="13">
        <v>1.8788</v>
      </c>
      <c r="G100" s="13">
        <v>1.8638</v>
      </c>
      <c r="H100" s="13">
        <v>1.8551</v>
      </c>
      <c r="I100" s="13">
        <v>1.8132</v>
      </c>
      <c r="J100" s="13">
        <v>1.8266</v>
      </c>
      <c r="K100" s="13">
        <v>1.7026</v>
      </c>
      <c r="L100" s="13">
        <v>1.992</v>
      </c>
      <c r="M100" s="13">
        <v>4.1181</v>
      </c>
      <c r="N100" s="13">
        <v>4.2235</v>
      </c>
      <c r="O100" s="13">
        <v>3.6303</v>
      </c>
      <c r="P100" s="13">
        <v>3.4053</v>
      </c>
      <c r="Q100" s="13">
        <v>2.7456</v>
      </c>
      <c r="R100" s="13">
        <v>3.2922</v>
      </c>
      <c r="S100" s="13">
        <v>3.6809</v>
      </c>
      <c r="T100" s="13">
        <v>3.6145</v>
      </c>
      <c r="U100" s="13">
        <v>3.7971</v>
      </c>
      <c r="V100" s="13">
        <v>3.6434</v>
      </c>
      <c r="W100" s="13">
        <v>3.0952</v>
      </c>
      <c r="X100" s="13">
        <v>3.238</v>
      </c>
      <c r="Y100" s="13">
        <v>2.9454</v>
      </c>
      <c r="Z100" s="13">
        <v>2.5736</v>
      </c>
      <c r="AA100" s="13">
        <v>1.8122</v>
      </c>
      <c r="AB100" s="13">
        <v>1.662</v>
      </c>
      <c r="AC100" s="81"/>
    </row>
    <row r="101" spans="1:29">
      <c r="A101" s="69"/>
      <c r="B101" s="68"/>
      <c r="C101" s="64" t="s">
        <v>38</v>
      </c>
      <c r="D101" s="70">
        <f>D100/D97</f>
        <v>1.02977698029206</v>
      </c>
      <c r="E101" s="76">
        <f t="shared" ref="E101:AB101" si="39">1-ABS(E97-E100)/E100</f>
        <v>0.867895667077286</v>
      </c>
      <c r="F101" s="76">
        <f t="shared" si="39"/>
        <v>0.87848626783053</v>
      </c>
      <c r="G101" s="76">
        <f t="shared" si="39"/>
        <v>0.861074149586866</v>
      </c>
      <c r="H101" s="76">
        <f t="shared" si="39"/>
        <v>0.869163387418468</v>
      </c>
      <c r="I101" s="76">
        <f t="shared" si="39"/>
        <v>0.882743216412972</v>
      </c>
      <c r="J101" s="76">
        <f t="shared" si="39"/>
        <v>0.885273185152743</v>
      </c>
      <c r="K101" s="76">
        <f t="shared" si="39"/>
        <v>0.932318219194174</v>
      </c>
      <c r="L101" s="76">
        <f t="shared" si="39"/>
        <v>0.978107429718875</v>
      </c>
      <c r="M101" s="76">
        <f t="shared" si="39"/>
        <v>0.927739005852213</v>
      </c>
      <c r="N101" s="76">
        <f t="shared" si="39"/>
        <v>0.99452657748313</v>
      </c>
      <c r="O101" s="76">
        <f t="shared" si="39"/>
        <v>0.96872434785004</v>
      </c>
      <c r="P101" s="76">
        <f t="shared" si="39"/>
        <v>0.991061874137374</v>
      </c>
      <c r="Q101" s="76">
        <f t="shared" si="39"/>
        <v>0.948625072843823</v>
      </c>
      <c r="R101" s="76">
        <f t="shared" si="39"/>
        <v>0.936373853350343</v>
      </c>
      <c r="S101" s="76">
        <f t="shared" si="39"/>
        <v>0.919642750414301</v>
      </c>
      <c r="T101" s="76">
        <f t="shared" si="39"/>
        <v>0.933480979388574</v>
      </c>
      <c r="U101" s="76">
        <f t="shared" si="39"/>
        <v>0.991690500645229</v>
      </c>
      <c r="V101" s="76">
        <f t="shared" si="39"/>
        <v>0.980940879398364</v>
      </c>
      <c r="W101" s="76">
        <f t="shared" si="39"/>
        <v>0.96061320754717</v>
      </c>
      <c r="X101" s="76">
        <f t="shared" si="39"/>
        <v>0.917825818406424</v>
      </c>
      <c r="Y101" s="76">
        <f t="shared" si="39"/>
        <v>0.898650437971074</v>
      </c>
      <c r="Z101" s="76">
        <f t="shared" si="39"/>
        <v>0.883586027354678</v>
      </c>
      <c r="AA101" s="76">
        <f t="shared" si="39"/>
        <v>0.926446860169959</v>
      </c>
      <c r="AB101" s="76">
        <f t="shared" si="39"/>
        <v>0.970565583634176</v>
      </c>
      <c r="AC101" s="81"/>
    </row>
    <row r="102" spans="1:29">
      <c r="A102" s="4">
        <v>46012</v>
      </c>
      <c r="B102" s="67"/>
      <c r="C102" s="2" t="s">
        <v>33</v>
      </c>
      <c r="D102" s="3">
        <f>SUM(E102:AB102)</f>
        <v>44.637843</v>
      </c>
      <c r="E102" s="73" cm="1">
        <f t="array" ref="E102">0.5*INDEX('[1]12月代理实际分时电量'!E:E,MATCH($A102-7,'[1]12月代理实际分时电量'!$C:$C,0))+0.3*INDEX('[1]12月代理实际分时电量'!E:E,MATCH($A102-14,'[1]12月代理实际分时电量'!$C:$C,0))+0.2*INDEX('[1]12月代理实际分时电量'!E:E,MATCH($A102-21,'[1]12月代理实际分时电量'!$C:$C,0))</f>
        <v>1.696062</v>
      </c>
      <c r="F102" s="73" cm="1">
        <f t="array" ref="F102">0.5*INDEX('[1]12月代理实际分时电量'!F:F,MATCH($A102-7,'[1]12月代理实际分时电量'!$C:$C,0))+0.3*INDEX('[1]12月代理实际分时电量'!F:F,MATCH($A102-14,'[1]12月代理实际分时电量'!$C:$C,0))+0.2*INDEX('[1]12月代理实际分时电量'!F:F,MATCH($A102-21,'[1]12月代理实际分时电量'!$C:$C,0))</f>
        <v>1.670096</v>
      </c>
      <c r="G102" s="73" cm="1">
        <f t="array" ref="G102">0.5*INDEX('[1]12月代理实际分时电量'!G:G,MATCH($A102-7,'[1]12月代理实际分时电量'!$C:$C,0))+0.3*INDEX('[1]12月代理实际分时电量'!G:G,MATCH($A102-14,'[1]12月代理实际分时电量'!$C:$C,0))+0.2*INDEX('[1]12月代理实际分时电量'!G:G,MATCH($A102-21,'[1]12月代理实际分时电量'!$C:$C,0))</f>
        <v>1.62976</v>
      </c>
      <c r="H102" s="73" cm="1">
        <f t="array" ref="H102">0.5*INDEX('[1]12月代理实际分时电量'!H:H,MATCH($A102-7,'[1]12月代理实际分时电量'!$C:$C,0))+0.3*INDEX('[1]12月代理实际分时电量'!H:H,MATCH($A102-14,'[1]12月代理实际分时电量'!$C:$C,0))+0.2*INDEX('[1]12月代理实际分时电量'!H:H,MATCH($A102-21,'[1]12月代理实际分时电量'!$C:$C,0))</f>
        <v>1.553689</v>
      </c>
      <c r="I102" s="73" cm="1">
        <f t="array" ref="I102">0.5*INDEX('[1]12月代理实际分时电量'!I:I,MATCH($A102-7,'[1]12月代理实际分时电量'!$C:$C,0))+0.3*INDEX('[1]12月代理实际分时电量'!I:I,MATCH($A102-14,'[1]12月代理实际分时电量'!$C:$C,0))+0.2*INDEX('[1]12月代理实际分时电量'!I:I,MATCH($A102-21,'[1]12月代理实际分时电量'!$C:$C,0))</f>
        <v>1.535766</v>
      </c>
      <c r="J102" s="73" cm="1">
        <f t="array" ref="J102">0.5*INDEX('[1]12月代理实际分时电量'!J:J,MATCH($A102-7,'[1]12月代理实际分时电量'!$C:$C,0))+0.3*INDEX('[1]12月代理实际分时电量'!J:J,MATCH($A102-14,'[1]12月代理实际分时电量'!$C:$C,0))+0.2*INDEX('[1]12月代理实际分时电量'!J:J,MATCH($A102-21,'[1]12月代理实际分时电量'!$C:$C,0))</f>
        <v>1.505698</v>
      </c>
      <c r="K102" s="73" cm="1">
        <f t="array" ref="K102">0.5*INDEX('[1]12月代理实际分时电量'!K:K,MATCH($A102-7,'[1]12月代理实际分时电量'!$C:$C,0))+0.3*INDEX('[1]12月代理实际分时电量'!K:K,MATCH($A102-14,'[1]12月代理实际分时电量'!$C:$C,0))+0.2*INDEX('[1]12月代理实际分时电量'!K:K,MATCH($A102-21,'[1]12月代理实际分时电量'!$C:$C,0))</f>
        <v>1.441309</v>
      </c>
      <c r="L102" s="73" cm="1">
        <f t="array" ref="L102">0.5*INDEX('[1]12月代理实际分时电量'!L:L,MATCH($A102-7,'[1]12月代理实际分时电量'!$C:$C,0))+0.3*INDEX('[1]12月代理实际分时电量'!L:L,MATCH($A102-14,'[1]12月代理实际分时电量'!$C:$C,0))+0.2*INDEX('[1]12月代理实际分时电量'!L:L,MATCH($A102-21,'[1]12月代理实际分时电量'!$C:$C,0))</f>
        <v>1.508987</v>
      </c>
      <c r="M102" s="73" cm="1">
        <f t="array" ref="M102">0.5*INDEX('[1]12月代理实际分时电量'!M:M,MATCH($A102-7,'[1]12月代理实际分时电量'!$C:$C,0))+0.3*INDEX('[1]12月代理实际分时电量'!M:M,MATCH($A102-14,'[1]12月代理实际分时电量'!$C:$C,0))+0.2*INDEX('[1]12月代理实际分时电量'!M:M,MATCH($A102-21,'[1]12月代理实际分时电量'!$C:$C,0))</f>
        <v>2.507477</v>
      </c>
      <c r="N102" s="73" cm="1">
        <f t="array" ref="N102">0.5*INDEX('[1]12月代理实际分时电量'!N:N,MATCH($A102-7,'[1]12月代理实际分时电量'!$C:$C,0))+0.3*INDEX('[1]12月代理实际分时电量'!N:N,MATCH($A102-14,'[1]12月代理实际分时电量'!$C:$C,0))+0.2*INDEX('[1]12月代理实际分时电量'!N:N,MATCH($A102-21,'[1]12月代理实际分时电量'!$C:$C,0))</f>
        <v>2.774515</v>
      </c>
      <c r="O102" s="73" cm="1">
        <f t="array" ref="O102">0.5*INDEX('[1]12月代理实际分时电量'!O:O,MATCH($A102-7,'[1]12月代理实际分时电量'!$C:$C,0))+0.3*INDEX('[1]12月代理实际分时电量'!O:O,MATCH($A102-14,'[1]12月代理实际分时电量'!$C:$C,0))+0.2*INDEX('[1]12月代理实际分时电量'!O:O,MATCH($A102-21,'[1]12月代理实际分时电量'!$C:$C,0))</f>
        <v>2.439751</v>
      </c>
      <c r="P102" s="73" cm="1">
        <f t="array" ref="P102">0.5*INDEX('[1]12月代理实际分时电量'!P:P,MATCH($A102-7,'[1]12月代理实际分时电量'!$C:$C,0))+0.3*INDEX('[1]12月代理实际分时电量'!P:P,MATCH($A102-14,'[1]12月代理实际分时电量'!$C:$C,0))+0.2*INDEX('[1]12月代理实际分时电量'!P:P,MATCH($A102-21,'[1]12月代理实际分时电量'!$C:$C,0))</f>
        <v>2.317681</v>
      </c>
      <c r="Q102" s="73" cm="1">
        <f t="array" ref="Q102">0.5*INDEX('[1]12月代理实际分时电量'!Q:Q,MATCH($A102-7,'[1]12月代理实际分时电量'!$C:$C,0))+0.3*INDEX('[1]12月代理实际分时电量'!Q:Q,MATCH($A102-14,'[1]12月代理实际分时电量'!$C:$C,0))+0.2*INDEX('[1]12月代理实际分时电量'!Q:Q,MATCH($A102-21,'[1]12月代理实际分时电量'!$C:$C,0))</f>
        <v>2.13458</v>
      </c>
      <c r="R102" s="73" cm="1">
        <f t="array" ref="R102">0.5*INDEX('[1]12月代理实际分时电量'!R:R,MATCH($A102-7,'[1]12月代理实际分时电量'!$C:$C,0))+0.3*INDEX('[1]12月代理实际分时电量'!R:R,MATCH($A102-14,'[1]12月代理实际分时电量'!$C:$C,0))+0.2*INDEX('[1]12月代理实际分时电量'!R:R,MATCH($A102-21,'[1]12月代理实际分时电量'!$C:$C,0))</f>
        <v>2.000389</v>
      </c>
      <c r="S102" s="73" cm="1">
        <f t="array" ref="S102">0.5*INDEX('[1]12月代理实际分时电量'!S:S,MATCH($A102-7,'[1]12月代理实际分时电量'!$C:$C,0))+0.3*INDEX('[1]12月代理实际分时电量'!S:S,MATCH($A102-14,'[1]12月代理实际分时电量'!$C:$C,0))+0.2*INDEX('[1]12月代理实际分时电量'!S:S,MATCH($A102-21,'[1]12月代理实际分时电量'!$C:$C,0))</f>
        <v>2.462579</v>
      </c>
      <c r="T102" s="73" cm="1">
        <f t="array" ref="T102">0.5*INDEX('[1]12月代理实际分时电量'!T:T,MATCH($A102-7,'[1]12月代理实际分时电量'!$C:$C,0))+0.3*INDEX('[1]12月代理实际分时电量'!T:T,MATCH($A102-14,'[1]12月代理实际分时电量'!$C:$C,0))+0.2*INDEX('[1]12月代理实际分时电量'!T:T,MATCH($A102-21,'[1]12月代理实际分时电量'!$C:$C,0))</f>
        <v>2.396512</v>
      </c>
      <c r="U102" s="73" cm="1">
        <f t="array" ref="U102">0.5*INDEX('[1]12月代理实际分时电量'!U:U,MATCH($A102-7,'[1]12月代理实际分时电量'!$C:$C,0))+0.3*INDEX('[1]12月代理实际分时电量'!U:U,MATCH($A102-14,'[1]12月代理实际分时电量'!$C:$C,0))+0.2*INDEX('[1]12月代理实际分时电量'!U:U,MATCH($A102-21,'[1]12月代理实际分时电量'!$C:$C,0))</f>
        <v>2.39124</v>
      </c>
      <c r="V102" s="73" cm="1">
        <f t="array" ref="V102">0.5*INDEX('[1]12月代理实际分时电量'!V:V,MATCH($A102-7,'[1]12月代理实际分时电量'!$C:$C,0))+0.3*INDEX('[1]12月代理实际分时电量'!V:V,MATCH($A102-14,'[1]12月代理实际分时电量'!$C:$C,0))+0.2*INDEX('[1]12月代理实际分时电量'!V:V,MATCH($A102-21,'[1]12月代理实际分时电量'!$C:$C,0))</f>
        <v>2.38492</v>
      </c>
      <c r="W102" s="73" cm="1">
        <f t="array" ref="W102">0.5*INDEX('[1]12月代理实际分时电量'!W:W,MATCH($A102-7,'[1]12月代理实际分时电量'!$C:$C,0))+0.3*INDEX('[1]12月代理实际分时电量'!W:W,MATCH($A102-14,'[1]12月代理实际分时电量'!$C:$C,0))+0.2*INDEX('[1]12月代理实际分时电量'!W:W,MATCH($A102-21,'[1]12月代理实际分时电量'!$C:$C,0))</f>
        <v>1.614182</v>
      </c>
      <c r="X102" s="73" cm="1">
        <f t="array" ref="X102">0.5*INDEX('[1]12月代理实际分时电量'!X:X,MATCH($A102-7,'[1]12月代理实际分时电量'!$C:$C,0))+0.3*INDEX('[1]12月代理实际分时电量'!X:X,MATCH($A102-14,'[1]12月代理实际分时电量'!$C:$C,0))+0.2*INDEX('[1]12月代理实际分时电量'!X:X,MATCH($A102-21,'[1]12月代理实际分时电量'!$C:$C,0))</f>
        <v>1.560866</v>
      </c>
      <c r="Y102" s="73" cm="1">
        <f t="array" ref="Y102">0.5*INDEX('[1]12月代理实际分时电量'!Y:Y,MATCH($A102-7,'[1]12月代理实际分时电量'!$C:$C,0))+0.3*INDEX('[1]12月代理实际分时电量'!Y:Y,MATCH($A102-14,'[1]12月代理实际分时电量'!$C:$C,0))+0.2*INDEX('[1]12月代理实际分时电量'!Y:Y,MATCH($A102-21,'[1]12月代理实际分时电量'!$C:$C,0))</f>
        <v>1.407522</v>
      </c>
      <c r="Z102" s="73" cm="1">
        <f t="array" ref="Z102">0.5*INDEX('[1]12月代理实际分时电量'!Z:Z,MATCH($A102-7,'[1]12月代理实际分时电量'!$C:$C,0))+0.3*INDEX('[1]12月代理实际分时电量'!Z:Z,MATCH($A102-14,'[1]12月代理实际分时电量'!$C:$C,0))+0.2*INDEX('[1]12月代理实际分时电量'!Z:Z,MATCH($A102-21,'[1]12月代理实际分时电量'!$C:$C,0))</f>
        <v>1.316788</v>
      </c>
      <c r="AA102" s="73" cm="1">
        <f t="array" ref="AA102">0.5*INDEX('[1]12月代理实际分时电量'!AA:AA,MATCH($A102-7,'[1]12月代理实际分时电量'!$C:$C,0))+0.3*INDEX('[1]12月代理实际分时电量'!AA:AA,MATCH($A102-14,'[1]12月代理实际分时电量'!$C:$C,0))+0.2*INDEX('[1]12月代理实际分时电量'!AA:AA,MATCH($A102-21,'[1]12月代理实际分时电量'!$C:$C,0))</f>
        <v>1.243128</v>
      </c>
      <c r="AB102" s="73" cm="1">
        <f t="array" ref="AB102">0.5*INDEX('[1]12月代理实际分时电量'!AB:AB,MATCH($A102-7,'[1]12月代理实际分时电量'!$C:$C,0))+0.3*INDEX('[1]12月代理实际分时电量'!AB:AB,MATCH($A102-14,'[1]12月代理实际分时电量'!$C:$C,0))+0.2*INDEX('[1]12月代理实际分时电量'!AB:AB,MATCH($A102-21,'[1]12月代理实际分时电量'!$C:$C,0))</f>
        <v>1.144346</v>
      </c>
      <c r="AC102" s="81"/>
    </row>
    <row r="103" spans="1:29">
      <c r="A103" s="4"/>
      <c r="B103" s="68"/>
      <c r="C103" s="2" t="s">
        <v>35</v>
      </c>
      <c r="D103" s="3">
        <f>D104/D102</f>
        <v>0.92323009424985</v>
      </c>
      <c r="E103" s="79">
        <v>0.8</v>
      </c>
      <c r="F103" s="79">
        <v>0.8</v>
      </c>
      <c r="G103" s="79">
        <v>0.8</v>
      </c>
      <c r="H103" s="80">
        <v>1.2</v>
      </c>
      <c r="I103" s="80">
        <v>1</v>
      </c>
      <c r="J103" s="80">
        <v>1</v>
      </c>
      <c r="K103" s="80">
        <v>1</v>
      </c>
      <c r="L103" s="80">
        <v>1</v>
      </c>
      <c r="M103" s="80">
        <v>1</v>
      </c>
      <c r="N103" s="80">
        <v>0.8</v>
      </c>
      <c r="O103" s="80">
        <v>0.8</v>
      </c>
      <c r="P103" s="80">
        <v>0.8</v>
      </c>
      <c r="Q103" s="80">
        <v>0.8</v>
      </c>
      <c r="R103" s="80">
        <v>0.8</v>
      </c>
      <c r="S103" s="80">
        <v>0.8</v>
      </c>
      <c r="T103" s="80">
        <v>0.8</v>
      </c>
      <c r="U103" s="80">
        <v>1.2</v>
      </c>
      <c r="V103" s="80">
        <v>1.2</v>
      </c>
      <c r="W103" s="80">
        <v>1.2</v>
      </c>
      <c r="X103" s="80">
        <v>1.2</v>
      </c>
      <c r="Y103" s="80">
        <v>0.8</v>
      </c>
      <c r="Z103" s="80">
        <v>0.8</v>
      </c>
      <c r="AA103" s="80">
        <v>0.8</v>
      </c>
      <c r="AB103" s="80">
        <v>0.8</v>
      </c>
      <c r="AC103" s="81"/>
    </row>
    <row r="104" spans="1:29">
      <c r="A104" s="4"/>
      <c r="B104" s="68"/>
      <c r="C104" s="2" t="s">
        <v>36</v>
      </c>
      <c r="D104" s="3">
        <f>SUM(E104:AB104)</f>
        <v>41.211</v>
      </c>
      <c r="E104" s="13">
        <f t="shared" ref="E104:AB104" si="40">ROUND(E102*E103,3)</f>
        <v>1.357</v>
      </c>
      <c r="F104" s="13">
        <f t="shared" si="40"/>
        <v>1.336</v>
      </c>
      <c r="G104" s="13">
        <f t="shared" si="40"/>
        <v>1.304</v>
      </c>
      <c r="H104" s="13">
        <f t="shared" si="40"/>
        <v>1.864</v>
      </c>
      <c r="I104" s="13">
        <f t="shared" si="40"/>
        <v>1.536</v>
      </c>
      <c r="J104" s="13">
        <f t="shared" si="40"/>
        <v>1.506</v>
      </c>
      <c r="K104" s="13">
        <f t="shared" si="40"/>
        <v>1.441</v>
      </c>
      <c r="L104" s="13">
        <f t="shared" si="40"/>
        <v>1.509</v>
      </c>
      <c r="M104" s="13">
        <f t="shared" si="40"/>
        <v>2.507</v>
      </c>
      <c r="N104" s="13">
        <f t="shared" si="40"/>
        <v>2.22</v>
      </c>
      <c r="O104" s="13">
        <f t="shared" si="40"/>
        <v>1.952</v>
      </c>
      <c r="P104" s="13">
        <f t="shared" si="40"/>
        <v>1.854</v>
      </c>
      <c r="Q104" s="13">
        <f t="shared" si="40"/>
        <v>1.708</v>
      </c>
      <c r="R104" s="13">
        <f t="shared" si="40"/>
        <v>1.6</v>
      </c>
      <c r="S104" s="13">
        <f t="shared" si="40"/>
        <v>1.97</v>
      </c>
      <c r="T104" s="13">
        <f t="shared" si="40"/>
        <v>1.917</v>
      </c>
      <c r="U104" s="13">
        <f t="shared" si="40"/>
        <v>2.869</v>
      </c>
      <c r="V104" s="13">
        <f t="shared" si="40"/>
        <v>2.862</v>
      </c>
      <c r="W104" s="13">
        <f t="shared" si="40"/>
        <v>1.937</v>
      </c>
      <c r="X104" s="13">
        <f t="shared" si="40"/>
        <v>1.873</v>
      </c>
      <c r="Y104" s="13">
        <f t="shared" si="40"/>
        <v>1.126</v>
      </c>
      <c r="Z104" s="13">
        <f t="shared" si="40"/>
        <v>1.053</v>
      </c>
      <c r="AA104" s="13">
        <f t="shared" si="40"/>
        <v>0.995</v>
      </c>
      <c r="AB104" s="13">
        <f t="shared" si="40"/>
        <v>0.915</v>
      </c>
      <c r="AC104" s="81"/>
    </row>
    <row r="105" ht="17" spans="1:29">
      <c r="A105" s="4"/>
      <c r="B105" s="68"/>
      <c r="C105" s="66" t="s">
        <v>37</v>
      </c>
      <c r="D105" s="3">
        <f>SUM(E105:AB105)</f>
        <v>44.8546</v>
      </c>
      <c r="E105" s="13">
        <v>1.6937</v>
      </c>
      <c r="F105" s="13">
        <v>1.7784</v>
      </c>
      <c r="G105" s="13">
        <v>1.6873</v>
      </c>
      <c r="H105" s="13">
        <v>1.6261</v>
      </c>
      <c r="I105" s="13">
        <v>1.614</v>
      </c>
      <c r="J105" s="13">
        <v>1.5929</v>
      </c>
      <c r="K105" s="13">
        <v>1.487</v>
      </c>
      <c r="L105" s="13">
        <v>1.3209</v>
      </c>
      <c r="M105" s="13">
        <v>2.4881</v>
      </c>
      <c r="N105" s="13">
        <v>2.6597</v>
      </c>
      <c r="O105" s="13">
        <v>2.2652</v>
      </c>
      <c r="P105" s="13">
        <v>2.2288</v>
      </c>
      <c r="Q105" s="13">
        <v>1.9046</v>
      </c>
      <c r="R105" s="13">
        <v>2.1045</v>
      </c>
      <c r="S105" s="13">
        <v>2.495</v>
      </c>
      <c r="T105" s="13">
        <v>2.4225</v>
      </c>
      <c r="U105" s="13">
        <v>2.5434</v>
      </c>
      <c r="V105" s="13">
        <v>2.2688</v>
      </c>
      <c r="W105" s="13">
        <v>1.5889</v>
      </c>
      <c r="X105" s="13">
        <v>1.4966</v>
      </c>
      <c r="Y105" s="13">
        <v>1.4514</v>
      </c>
      <c r="Z105" s="13">
        <v>1.4429</v>
      </c>
      <c r="AA105" s="13">
        <v>1.3423</v>
      </c>
      <c r="AB105" s="13">
        <v>1.3516</v>
      </c>
      <c r="AC105" s="81"/>
    </row>
    <row r="106" spans="1:29">
      <c r="A106" s="69"/>
      <c r="B106" s="68"/>
      <c r="C106" s="64" t="s">
        <v>38</v>
      </c>
      <c r="D106" s="70">
        <f>D105/D102</f>
        <v>1.0048559021994</v>
      </c>
      <c r="E106" s="76">
        <f t="shared" ref="E106:AB106" si="41">1-ABS(E102-E105)/E105</f>
        <v>0.998605420086202</v>
      </c>
      <c r="F106" s="76">
        <f t="shared" si="41"/>
        <v>0.939100314889789</v>
      </c>
      <c r="G106" s="76">
        <f t="shared" si="41"/>
        <v>0.965898180525099</v>
      </c>
      <c r="H106" s="76">
        <f t="shared" si="41"/>
        <v>0.955469528319292</v>
      </c>
      <c r="I106" s="76">
        <f t="shared" si="41"/>
        <v>0.951527881040892</v>
      </c>
      <c r="J106" s="76">
        <f t="shared" si="41"/>
        <v>0.94525582271329</v>
      </c>
      <c r="K106" s="76">
        <f t="shared" si="41"/>
        <v>0.969273032952253</v>
      </c>
      <c r="L106" s="76">
        <f t="shared" si="41"/>
        <v>0.857606934665758</v>
      </c>
      <c r="M106" s="76">
        <f t="shared" si="41"/>
        <v>0.992212129737551</v>
      </c>
      <c r="N106" s="76">
        <f t="shared" si="41"/>
        <v>0.956831597548595</v>
      </c>
      <c r="O106" s="76">
        <f t="shared" si="41"/>
        <v>0.922942345046795</v>
      </c>
      <c r="P106" s="76">
        <f t="shared" si="41"/>
        <v>0.960121590093324</v>
      </c>
      <c r="Q106" s="76">
        <f t="shared" si="41"/>
        <v>0.879250236270083</v>
      </c>
      <c r="R106" s="76">
        <f t="shared" si="41"/>
        <v>0.950529341886434</v>
      </c>
      <c r="S106" s="76">
        <f t="shared" si="41"/>
        <v>0.987005611222445</v>
      </c>
      <c r="T106" s="76">
        <f t="shared" si="41"/>
        <v>0.989272239422085</v>
      </c>
      <c r="U106" s="76">
        <f t="shared" si="41"/>
        <v>0.940174569473933</v>
      </c>
      <c r="V106" s="76">
        <f t="shared" si="41"/>
        <v>0.948818758815233</v>
      </c>
      <c r="W106" s="76">
        <f t="shared" si="41"/>
        <v>0.98408836301844</v>
      </c>
      <c r="X106" s="76">
        <f t="shared" si="41"/>
        <v>0.957058666310303</v>
      </c>
      <c r="Y106" s="76">
        <f t="shared" si="41"/>
        <v>0.969768499379909</v>
      </c>
      <c r="Z106" s="76">
        <f t="shared" si="41"/>
        <v>0.912598239656248</v>
      </c>
      <c r="AA106" s="76">
        <f t="shared" si="41"/>
        <v>0.926117857408925</v>
      </c>
      <c r="AB106" s="76">
        <f t="shared" si="41"/>
        <v>0.84666025451317</v>
      </c>
      <c r="AC106" s="81"/>
    </row>
    <row r="107" spans="1:29">
      <c r="A107" s="4">
        <v>46013</v>
      </c>
      <c r="B107" s="67"/>
      <c r="C107" s="2" t="s">
        <v>33</v>
      </c>
      <c r="D107" s="3">
        <f>SUM(E107:AB107)</f>
        <v>57.07457</v>
      </c>
      <c r="E107" s="73" cm="1">
        <f t="array" ref="E107">0.5*INDEX('[1]12月代理实际分时电量'!E:E,MATCH($A107-7,'[1]12月代理实际分时电量'!$C:$C,0))+0.3*INDEX('[1]12月代理实际分时电量'!E:E,MATCH($A107-14,'[1]12月代理实际分时电量'!$C:$C,0))+0.2*INDEX('[1]12月代理实际分时电量'!E:E,MATCH($A107-21,'[1]12月代理实际分时电量'!$C:$C,0))</f>
        <v>1.1479</v>
      </c>
      <c r="F107" s="73" cm="1">
        <f t="array" ref="F107">0.5*INDEX('[1]12月代理实际分时电量'!F:F,MATCH($A107-7,'[1]12月代理实际分时电量'!$C:$C,0))+0.3*INDEX('[1]12月代理实际分时电量'!F:F,MATCH($A107-14,'[1]12月代理实际分时电量'!$C:$C,0))+0.2*INDEX('[1]12月代理实际分时电量'!F:F,MATCH($A107-21,'[1]12月代理实际分时电量'!$C:$C,0))</f>
        <v>1.21916</v>
      </c>
      <c r="G107" s="73" cm="1">
        <f t="array" ref="G107">0.5*INDEX('[1]12月代理实际分时电量'!G:G,MATCH($A107-7,'[1]12月代理实际分时电量'!$C:$C,0))+0.3*INDEX('[1]12月代理实际分时电量'!G:G,MATCH($A107-14,'[1]12月代理实际分时电量'!$C:$C,0))+0.2*INDEX('[1]12月代理实际分时电量'!G:G,MATCH($A107-21,'[1]12月代理实际分时电量'!$C:$C,0))</f>
        <v>1.20654</v>
      </c>
      <c r="H107" s="73" cm="1">
        <f t="array" ref="H107">0.5*INDEX('[1]12月代理实际分时电量'!H:H,MATCH($A107-7,'[1]12月代理实际分时电量'!$C:$C,0))+0.3*INDEX('[1]12月代理实际分时电量'!H:H,MATCH($A107-14,'[1]12月代理实际分时电量'!$C:$C,0))+0.2*INDEX('[1]12月代理实际分时电量'!H:H,MATCH($A107-21,'[1]12月代理实际分时电量'!$C:$C,0))</f>
        <v>1.165187</v>
      </c>
      <c r="I107" s="73" cm="1">
        <f t="array" ref="I107">0.5*INDEX('[1]12月代理实际分时电量'!I:I,MATCH($A107-7,'[1]12月代理实际分时电量'!$C:$C,0))+0.3*INDEX('[1]12月代理实际分时电量'!I:I,MATCH($A107-14,'[1]12月代理实际分时电量'!$C:$C,0))+0.2*INDEX('[1]12月代理实际分时电量'!I:I,MATCH($A107-21,'[1]12月代理实际分时电量'!$C:$C,0))</f>
        <v>1.11373</v>
      </c>
      <c r="J107" s="73" cm="1">
        <f t="array" ref="J107">0.5*INDEX('[1]12月代理实际分时电量'!J:J,MATCH($A107-7,'[1]12月代理实际分时电量'!$C:$C,0))+0.3*INDEX('[1]12月代理实际分时电量'!J:J,MATCH($A107-14,'[1]12月代理实际分时电量'!$C:$C,0))+0.2*INDEX('[1]12月代理实际分时电量'!J:J,MATCH($A107-21,'[1]12月代理实际分时电量'!$C:$C,0))</f>
        <v>1.12292</v>
      </c>
      <c r="K107" s="73" cm="1">
        <f t="array" ref="K107">0.5*INDEX('[1]12月代理实际分时电量'!K:K,MATCH($A107-7,'[1]12月代理实际分时电量'!$C:$C,0))+0.3*INDEX('[1]12月代理实际分时电量'!K:K,MATCH($A107-14,'[1]12月代理实际分时电量'!$C:$C,0))+0.2*INDEX('[1]12月代理实际分时电量'!K:K,MATCH($A107-21,'[1]12月代理实际分时电量'!$C:$C,0))</f>
        <v>1.120295</v>
      </c>
      <c r="L107" s="73" cm="1">
        <f t="array" ref="L107">0.5*INDEX('[1]12月代理实际分时电量'!L:L,MATCH($A107-7,'[1]12月代理实际分时电量'!$C:$C,0))+0.3*INDEX('[1]12月代理实际分时电量'!L:L,MATCH($A107-14,'[1]12月代理实际分时电量'!$C:$C,0))+0.2*INDEX('[1]12月代理实际分时电量'!L:L,MATCH($A107-21,'[1]12月代理实际分时电量'!$C:$C,0))</f>
        <v>1.58838</v>
      </c>
      <c r="M107" s="73" cm="1">
        <f t="array" ref="M107">0.5*INDEX('[1]12月代理实际分时电量'!M:M,MATCH($A107-7,'[1]12月代理实际分时电量'!$C:$C,0))+0.3*INDEX('[1]12月代理实际分时电量'!M:M,MATCH($A107-14,'[1]12月代理实际分时电量'!$C:$C,0))+0.2*INDEX('[1]12月代理实际分时电量'!M:M,MATCH($A107-21,'[1]12月代理实际分时电量'!$C:$C,0))</f>
        <v>3.333472</v>
      </c>
      <c r="N107" s="73" cm="1">
        <f t="array" ref="N107">0.5*INDEX('[1]12月代理实际分时电量'!N:N,MATCH($A107-7,'[1]12月代理实际分时电量'!$C:$C,0))+0.3*INDEX('[1]12月代理实际分时电量'!N:N,MATCH($A107-14,'[1]12月代理实际分时电量'!$C:$C,0))+0.2*INDEX('[1]12月代理实际分时电量'!N:N,MATCH($A107-21,'[1]12月代理实际分时电量'!$C:$C,0))</f>
        <v>3.71324</v>
      </c>
      <c r="O107" s="73" cm="1">
        <f t="array" ref="O107">0.5*INDEX('[1]12月代理实际分时电量'!O:O,MATCH($A107-7,'[1]12月代理实际分时电量'!$C:$C,0))+0.3*INDEX('[1]12月代理实际分时电量'!O:O,MATCH($A107-14,'[1]12月代理实际分时电量'!$C:$C,0))+0.2*INDEX('[1]12月代理实际分时电量'!O:O,MATCH($A107-21,'[1]12月代理实际分时电量'!$C:$C,0))</f>
        <v>3.089937</v>
      </c>
      <c r="P107" s="73" cm="1">
        <f t="array" ref="P107">0.5*INDEX('[1]12月代理实际分时电量'!P:P,MATCH($A107-7,'[1]12月代理实际分时电量'!$C:$C,0))+0.3*INDEX('[1]12月代理实际分时电量'!P:P,MATCH($A107-14,'[1]12月代理实际分时电量'!$C:$C,0))+0.2*INDEX('[1]12月代理实际分时电量'!P:P,MATCH($A107-21,'[1]12月代理实际分时电量'!$C:$C,0))</f>
        <v>2.98202</v>
      </c>
      <c r="Q107" s="73" cm="1">
        <f t="array" ref="Q107">0.5*INDEX('[1]12月代理实际分时电量'!Q:Q,MATCH($A107-7,'[1]12月代理实际分时电量'!$C:$C,0))+0.3*INDEX('[1]12月代理实际分时电量'!Q:Q,MATCH($A107-14,'[1]12月代理实际分时电量'!$C:$C,0))+0.2*INDEX('[1]12月代理实际分时电量'!Q:Q,MATCH($A107-21,'[1]12月代理实际分时电量'!$C:$C,0))</f>
        <v>2.568711</v>
      </c>
      <c r="R107" s="73" cm="1">
        <f t="array" ref="R107">0.5*INDEX('[1]12月代理实际分时电量'!R:R,MATCH($A107-7,'[1]12月代理实际分时电量'!$C:$C,0))+0.3*INDEX('[1]12月代理实际分时电量'!R:R,MATCH($A107-14,'[1]12月代理实际分时电量'!$C:$C,0))+0.2*INDEX('[1]12月代理实际分时电量'!R:R,MATCH($A107-21,'[1]12月代理实际分时电量'!$C:$C,0))</f>
        <v>3.067071</v>
      </c>
      <c r="S107" s="73" cm="1">
        <f t="array" ref="S107">0.5*INDEX('[1]12月代理实际分时电量'!S:S,MATCH($A107-7,'[1]12月代理实际分时电量'!$C:$C,0))+0.3*INDEX('[1]12月代理实际分时电量'!S:S,MATCH($A107-14,'[1]12月代理实际分时电量'!$C:$C,0))+0.2*INDEX('[1]12月代理实际分时电量'!S:S,MATCH($A107-21,'[1]12月代理实际分时电量'!$C:$C,0))</f>
        <v>3.597477</v>
      </c>
      <c r="T107" s="73" cm="1">
        <f t="array" ref="T107">0.5*INDEX('[1]12月代理实际分时电量'!T:T,MATCH($A107-7,'[1]12月代理实际分时电量'!$C:$C,0))+0.3*INDEX('[1]12月代理实际分时电量'!T:T,MATCH($A107-14,'[1]12月代理实际分时电量'!$C:$C,0))+0.2*INDEX('[1]12月代理实际分时电量'!T:T,MATCH($A107-21,'[1]12月代理实际分时电量'!$C:$C,0))</f>
        <v>3.431139</v>
      </c>
      <c r="U107" s="73" cm="1">
        <f t="array" ref="U107">0.5*INDEX('[1]12月代理实际分时电量'!U:U,MATCH($A107-7,'[1]12月代理实际分时电量'!$C:$C,0))+0.3*INDEX('[1]12月代理实际分时电量'!U:U,MATCH($A107-14,'[1]12月代理实际分时电量'!$C:$C,0))+0.2*INDEX('[1]12月代理实际分时电量'!U:U,MATCH($A107-21,'[1]12月代理实际分时电量'!$C:$C,0))</f>
        <v>3.571823</v>
      </c>
      <c r="V107" s="73" cm="1">
        <f t="array" ref="V107">0.5*INDEX('[1]12月代理实际分时电量'!V:V,MATCH($A107-7,'[1]12月代理实际分时电量'!$C:$C,0))+0.3*INDEX('[1]12月代理实际分时电量'!V:V,MATCH($A107-14,'[1]12月代理实际分时电量'!$C:$C,0))+0.2*INDEX('[1]12月代理实际分时电量'!V:V,MATCH($A107-21,'[1]12月代理实际分时电量'!$C:$C,0))</f>
        <v>3.416935</v>
      </c>
      <c r="W107" s="73" cm="1">
        <f t="array" ref="W107">0.5*INDEX('[1]12月代理实际分时电量'!W:W,MATCH($A107-7,'[1]12月代理实际分时电量'!$C:$C,0))+0.3*INDEX('[1]12月代理实际分时电量'!W:W,MATCH($A107-14,'[1]12月代理实际分时电量'!$C:$C,0))+0.2*INDEX('[1]12月代理实际分时电量'!W:W,MATCH($A107-21,'[1]12月代理实际分时电量'!$C:$C,0))</f>
        <v>3.120507</v>
      </c>
      <c r="X107" s="73" cm="1">
        <f t="array" ref="X107">0.5*INDEX('[1]12月代理实际分时电量'!X:X,MATCH($A107-7,'[1]12月代理实际分时电量'!$C:$C,0))+0.3*INDEX('[1]12月代理实际分时电量'!X:X,MATCH($A107-14,'[1]12月代理实际分时电量'!$C:$C,0))+0.2*INDEX('[1]12月代理实际分时电量'!X:X,MATCH($A107-21,'[1]12月代理实际分时电量'!$C:$C,0))</f>
        <v>3.178055</v>
      </c>
      <c r="Y107" s="73" cm="1">
        <f t="array" ref="Y107">0.5*INDEX('[1]12月代理实际分时电量'!Y:Y,MATCH($A107-7,'[1]12月代理实际分时电量'!$C:$C,0))+0.3*INDEX('[1]12月代理实际分时电量'!Y:Y,MATCH($A107-14,'[1]12月代理实际分时电量'!$C:$C,0))+0.2*INDEX('[1]12月代理实际分时电量'!Y:Y,MATCH($A107-21,'[1]12月代理实际分时电量'!$C:$C,0))</f>
        <v>2.717615</v>
      </c>
      <c r="Z107" s="73" cm="1">
        <f t="array" ref="Z107">0.5*INDEX('[1]12月代理实际分时电量'!Z:Z,MATCH($A107-7,'[1]12月代理实际分时电量'!$C:$C,0))+0.3*INDEX('[1]12月代理实际分时电量'!Z:Z,MATCH($A107-14,'[1]12月代理实际分时电量'!$C:$C,0))+0.2*INDEX('[1]12月代理实际分时电量'!Z:Z,MATCH($A107-21,'[1]12月代理实际分时电量'!$C:$C,0))</f>
        <v>2.27448</v>
      </c>
      <c r="AA107" s="73" cm="1">
        <f t="array" ref="AA107">0.5*INDEX('[1]12月代理实际分时电量'!AA:AA,MATCH($A107-7,'[1]12月代理实际分时电量'!$C:$C,0))+0.3*INDEX('[1]12月代理实际分时电量'!AA:AA,MATCH($A107-14,'[1]12月代理实际分时电量'!$C:$C,0))+0.2*INDEX('[1]12月代理实际分时电量'!AA:AA,MATCH($A107-21,'[1]12月代理实际分时电量'!$C:$C,0))</f>
        <v>1.807433</v>
      </c>
      <c r="AB107" s="73" cm="1">
        <f t="array" ref="AB107">0.5*INDEX('[1]12月代理实际分时电量'!AB:AB,MATCH($A107-7,'[1]12月代理实际分时电量'!$C:$C,0))+0.3*INDEX('[1]12月代理实际分时电量'!AB:AB,MATCH($A107-14,'[1]12月代理实际分时电量'!$C:$C,0))+0.2*INDEX('[1]12月代理实际分时电量'!AB:AB,MATCH($A107-21,'[1]12月代理实际分时电量'!$C:$C,0))</f>
        <v>1.520543</v>
      </c>
      <c r="AC107" s="81"/>
    </row>
    <row r="108" spans="1:29">
      <c r="A108" s="4"/>
      <c r="B108" s="68"/>
      <c r="C108" s="2" t="s">
        <v>35</v>
      </c>
      <c r="D108" s="3">
        <f>D109/D107</f>
        <v>0.933515574449356</v>
      </c>
      <c r="E108" s="84">
        <v>0.9</v>
      </c>
      <c r="F108" s="84">
        <v>0.9</v>
      </c>
      <c r="G108" s="84">
        <v>0.8</v>
      </c>
      <c r="H108" s="84">
        <v>0.8</v>
      </c>
      <c r="I108" s="84">
        <v>0.8</v>
      </c>
      <c r="J108" s="84">
        <v>0.8</v>
      </c>
      <c r="K108" s="84">
        <v>0.8</v>
      </c>
      <c r="L108" s="84">
        <v>1</v>
      </c>
      <c r="M108" s="84">
        <v>1</v>
      </c>
      <c r="N108" s="84">
        <v>1</v>
      </c>
      <c r="O108" s="84">
        <v>0.8</v>
      </c>
      <c r="P108" s="84">
        <v>0.8</v>
      </c>
      <c r="Q108" s="84">
        <v>0.8</v>
      </c>
      <c r="R108" s="84">
        <v>0.8</v>
      </c>
      <c r="S108" s="84">
        <v>0.8</v>
      </c>
      <c r="T108" s="84">
        <v>1</v>
      </c>
      <c r="U108" s="84">
        <v>1.1</v>
      </c>
      <c r="V108" s="84">
        <v>1.1</v>
      </c>
      <c r="W108" s="84">
        <v>1.1</v>
      </c>
      <c r="X108" s="84">
        <v>1.1</v>
      </c>
      <c r="Y108" s="84">
        <v>0.9</v>
      </c>
      <c r="Z108" s="84">
        <v>0.9</v>
      </c>
      <c r="AA108" s="84">
        <v>0.9</v>
      </c>
      <c r="AB108" s="84">
        <v>1</v>
      </c>
      <c r="AC108" s="81"/>
    </row>
    <row r="109" spans="1:29">
      <c r="A109" s="4"/>
      <c r="B109" s="68"/>
      <c r="C109" s="2" t="s">
        <v>36</v>
      </c>
      <c r="D109" s="3">
        <f>SUM(E109:AB109)</f>
        <v>53.28</v>
      </c>
      <c r="E109" s="13">
        <f t="shared" ref="E109:AB109" si="42">ROUND(E107*E108,3)</f>
        <v>1.033</v>
      </c>
      <c r="F109" s="13">
        <f t="shared" si="42"/>
        <v>1.097</v>
      </c>
      <c r="G109" s="13">
        <f t="shared" si="42"/>
        <v>0.965</v>
      </c>
      <c r="H109" s="13">
        <f t="shared" si="42"/>
        <v>0.932</v>
      </c>
      <c r="I109" s="13">
        <f t="shared" si="42"/>
        <v>0.891</v>
      </c>
      <c r="J109" s="13">
        <f t="shared" si="42"/>
        <v>0.898</v>
      </c>
      <c r="K109" s="13">
        <f t="shared" si="42"/>
        <v>0.896</v>
      </c>
      <c r="L109" s="13">
        <f t="shared" si="42"/>
        <v>1.588</v>
      </c>
      <c r="M109" s="13">
        <f t="shared" si="42"/>
        <v>3.333</v>
      </c>
      <c r="N109" s="13">
        <f t="shared" si="42"/>
        <v>3.713</v>
      </c>
      <c r="O109" s="13">
        <f t="shared" si="42"/>
        <v>2.472</v>
      </c>
      <c r="P109" s="13">
        <f t="shared" si="42"/>
        <v>2.386</v>
      </c>
      <c r="Q109" s="13">
        <f t="shared" si="42"/>
        <v>2.055</v>
      </c>
      <c r="R109" s="13">
        <f t="shared" si="42"/>
        <v>2.454</v>
      </c>
      <c r="S109" s="13">
        <f t="shared" si="42"/>
        <v>2.878</v>
      </c>
      <c r="T109" s="13">
        <f t="shared" si="42"/>
        <v>3.431</v>
      </c>
      <c r="U109" s="13">
        <f t="shared" si="42"/>
        <v>3.929</v>
      </c>
      <c r="V109" s="13">
        <f t="shared" si="42"/>
        <v>3.759</v>
      </c>
      <c r="W109" s="13">
        <f t="shared" si="42"/>
        <v>3.433</v>
      </c>
      <c r="X109" s="13">
        <f t="shared" si="42"/>
        <v>3.496</v>
      </c>
      <c r="Y109" s="13">
        <f t="shared" si="42"/>
        <v>2.446</v>
      </c>
      <c r="Z109" s="13">
        <f t="shared" si="42"/>
        <v>2.047</v>
      </c>
      <c r="AA109" s="13">
        <f t="shared" si="42"/>
        <v>1.627</v>
      </c>
      <c r="AB109" s="13">
        <f t="shared" si="42"/>
        <v>1.521</v>
      </c>
      <c r="AC109" s="81"/>
    </row>
    <row r="110" ht="17" spans="1:29">
      <c r="A110" s="4"/>
      <c r="B110" s="68"/>
      <c r="C110" s="66" t="s">
        <v>37</v>
      </c>
      <c r="D110" s="3">
        <f>SUM(E110:AB110)</f>
        <v>64.389</v>
      </c>
      <c r="E110" s="13">
        <v>1.3751</v>
      </c>
      <c r="F110" s="13">
        <v>1.4099</v>
      </c>
      <c r="G110" s="13">
        <v>1.4137</v>
      </c>
      <c r="H110" s="13">
        <v>1.4274</v>
      </c>
      <c r="I110" s="13">
        <v>1.389</v>
      </c>
      <c r="J110" s="13">
        <v>1.3861</v>
      </c>
      <c r="K110" s="13">
        <v>1.3048</v>
      </c>
      <c r="L110" s="13">
        <v>1.7741</v>
      </c>
      <c r="M110" s="13">
        <v>3.8889</v>
      </c>
      <c r="N110" s="13">
        <v>4.145</v>
      </c>
      <c r="O110" s="13">
        <v>3.5365</v>
      </c>
      <c r="P110" s="13">
        <v>3.3894</v>
      </c>
      <c r="Q110" s="13">
        <v>2.8616</v>
      </c>
      <c r="R110" s="13">
        <v>3.3324</v>
      </c>
      <c r="S110" s="13">
        <v>3.9265</v>
      </c>
      <c r="T110" s="13">
        <v>3.823</v>
      </c>
      <c r="U110" s="13">
        <v>3.9897</v>
      </c>
      <c r="V110" s="13">
        <v>3.6461</v>
      </c>
      <c r="W110" s="13">
        <v>3.253</v>
      </c>
      <c r="X110" s="13">
        <v>3.5195</v>
      </c>
      <c r="Y110" s="13">
        <v>3.2736</v>
      </c>
      <c r="Z110" s="13">
        <v>2.7011</v>
      </c>
      <c r="AA110" s="13">
        <v>1.9684</v>
      </c>
      <c r="AB110" s="13">
        <v>1.6542</v>
      </c>
      <c r="AC110" s="81"/>
    </row>
    <row r="111" spans="1:29">
      <c r="A111" s="69"/>
      <c r="B111" s="68"/>
      <c r="C111" s="64" t="s">
        <v>38</v>
      </c>
      <c r="D111" s="70">
        <f>D110/D107</f>
        <v>1.1281556742346</v>
      </c>
      <c r="E111" s="76">
        <f t="shared" ref="E111:AB111" si="43">1-ABS(E107-E110)/E110</f>
        <v>0.834775652679805</v>
      </c>
      <c r="F111" s="76">
        <f t="shared" si="43"/>
        <v>0.864713809490035</v>
      </c>
      <c r="G111" s="76">
        <f t="shared" si="43"/>
        <v>0.853462545094433</v>
      </c>
      <c r="H111" s="76">
        <f t="shared" si="43"/>
        <v>0.816300266218299</v>
      </c>
      <c r="I111" s="76">
        <f t="shared" si="43"/>
        <v>0.801821454283657</v>
      </c>
      <c r="J111" s="76">
        <f t="shared" si="43"/>
        <v>0.810129139311738</v>
      </c>
      <c r="K111" s="76">
        <f t="shared" si="43"/>
        <v>0.858595187001839</v>
      </c>
      <c r="L111" s="76">
        <f t="shared" si="43"/>
        <v>0.895315934840201</v>
      </c>
      <c r="M111" s="76">
        <f t="shared" si="43"/>
        <v>0.857176065211242</v>
      </c>
      <c r="N111" s="76">
        <f t="shared" si="43"/>
        <v>0.895835946924005</v>
      </c>
      <c r="O111" s="76">
        <f t="shared" si="43"/>
        <v>0.873727414109996</v>
      </c>
      <c r="P111" s="76">
        <f t="shared" si="43"/>
        <v>0.879807635569717</v>
      </c>
      <c r="Q111" s="76">
        <f t="shared" si="43"/>
        <v>0.897648518311434</v>
      </c>
      <c r="R111" s="76">
        <f t="shared" si="43"/>
        <v>0.920379006121714</v>
      </c>
      <c r="S111" s="76">
        <f t="shared" si="43"/>
        <v>0.916204507831402</v>
      </c>
      <c r="T111" s="76">
        <f t="shared" si="43"/>
        <v>0.897499084488621</v>
      </c>
      <c r="U111" s="76">
        <f t="shared" si="43"/>
        <v>0.895261047196531</v>
      </c>
      <c r="V111" s="76">
        <f t="shared" si="43"/>
        <v>0.937147911467047</v>
      </c>
      <c r="W111" s="76">
        <f t="shared" si="43"/>
        <v>0.959270519520443</v>
      </c>
      <c r="X111" s="76">
        <f t="shared" si="43"/>
        <v>0.902984798977127</v>
      </c>
      <c r="Y111" s="76">
        <f t="shared" si="43"/>
        <v>0.830160984848485</v>
      </c>
      <c r="Z111" s="76">
        <f t="shared" si="43"/>
        <v>0.842056939765281</v>
      </c>
      <c r="AA111" s="76">
        <f t="shared" si="43"/>
        <v>0.918224446250762</v>
      </c>
      <c r="AB111" s="76">
        <f t="shared" si="43"/>
        <v>0.919201426671503</v>
      </c>
      <c r="AC111" s="81"/>
    </row>
    <row r="112" spans="1:29">
      <c r="A112" s="4">
        <v>46014</v>
      </c>
      <c r="B112" s="67"/>
      <c r="C112" s="2" t="s">
        <v>33</v>
      </c>
      <c r="D112" s="3">
        <f>SUM(E112:AB112)</f>
        <v>60.763754</v>
      </c>
      <c r="E112" s="73" cm="1">
        <f t="array" ref="E112">0.5*INDEX('[1]12月代理实际分时电量'!E:E,MATCH($A112-7,'[1]12月代理实际分时电量'!$C:$C,0))+0.3*INDEX('[1]12月代理实际分时电量'!E:E,MATCH($A112-14,'[1]12月代理实际分时电量'!$C:$C,0))+0.2*INDEX('[1]12月代理实际分时电量'!E:E,MATCH($A112-21,'[1]12月代理实际分时电量'!$C:$C,0))</f>
        <v>1.479755</v>
      </c>
      <c r="F112" s="73" cm="1">
        <f t="array" ref="F112">0.5*INDEX('[1]12月代理实际分时电量'!F:F,MATCH($A112-7,'[1]12月代理实际分时电量'!$C:$C,0))+0.3*INDEX('[1]12月代理实际分时电量'!F:F,MATCH($A112-14,'[1]12月代理实际分时电量'!$C:$C,0))+0.2*INDEX('[1]12月代理实际分时电量'!F:F,MATCH($A112-21,'[1]12月代理实际分时电量'!$C:$C,0))</f>
        <v>1.485495</v>
      </c>
      <c r="G112" s="73" cm="1">
        <f t="array" ref="G112">0.5*INDEX('[1]12月代理实际分时电量'!G:G,MATCH($A112-7,'[1]12月代理实际分时电量'!$C:$C,0))+0.3*INDEX('[1]12月代理实际分时电量'!G:G,MATCH($A112-14,'[1]12月代理实际分时电量'!$C:$C,0))+0.2*INDEX('[1]12月代理实际分时电量'!G:G,MATCH($A112-21,'[1]12月代理实际分时电量'!$C:$C,0))</f>
        <v>1.41155</v>
      </c>
      <c r="H112" s="73" cm="1">
        <f t="array" ref="H112">0.5*INDEX('[1]12月代理实际分时电量'!H:H,MATCH($A112-7,'[1]12月代理实际分时电量'!$C:$C,0))+0.3*INDEX('[1]12月代理实际分时电量'!H:H,MATCH($A112-14,'[1]12月代理实际分时电量'!$C:$C,0))+0.2*INDEX('[1]12月代理实际分时电量'!H:H,MATCH($A112-21,'[1]12月代理实际分时电量'!$C:$C,0))</f>
        <v>1.398655</v>
      </c>
      <c r="I112" s="73" cm="1">
        <f t="array" ref="I112">0.5*INDEX('[1]12月代理实际分时电量'!I:I,MATCH($A112-7,'[1]12月代理实际分时电量'!$C:$C,0))+0.3*INDEX('[1]12月代理实际分时电量'!I:I,MATCH($A112-14,'[1]12月代理实际分时电量'!$C:$C,0))+0.2*INDEX('[1]12月代理实际分时电量'!I:I,MATCH($A112-21,'[1]12月代理实际分时电量'!$C:$C,0))</f>
        <v>1.387543</v>
      </c>
      <c r="J112" s="73" cm="1">
        <f t="array" ref="J112">0.5*INDEX('[1]12月代理实际分时电量'!J:J,MATCH($A112-7,'[1]12月代理实际分时电量'!$C:$C,0))+0.3*INDEX('[1]12月代理实际分时电量'!J:J,MATCH($A112-14,'[1]12月代理实际分时电量'!$C:$C,0))+0.2*INDEX('[1]12月代理实际分时电量'!J:J,MATCH($A112-21,'[1]12月代理实际分时电量'!$C:$C,0))</f>
        <v>1.422533</v>
      </c>
      <c r="K112" s="73" cm="1">
        <f t="array" ref="K112">0.5*INDEX('[1]12月代理实际分时电量'!K:K,MATCH($A112-7,'[1]12月代理实际分时电量'!$C:$C,0))+0.3*INDEX('[1]12月代理实际分时电量'!K:K,MATCH($A112-14,'[1]12月代理实际分时电量'!$C:$C,0))+0.2*INDEX('[1]12月代理实际分时电量'!K:K,MATCH($A112-21,'[1]12月代理实际分时电量'!$C:$C,0))</f>
        <v>1.371995</v>
      </c>
      <c r="L112" s="73" cm="1">
        <f t="array" ref="L112">0.5*INDEX('[1]12月代理实际分时电量'!L:L,MATCH($A112-7,'[1]12月代理实际分时电量'!$C:$C,0))+0.3*INDEX('[1]12月代理实际分时电量'!L:L,MATCH($A112-14,'[1]12月代理实际分时电量'!$C:$C,0))+0.2*INDEX('[1]12月代理实际分时电量'!L:L,MATCH($A112-21,'[1]12月代理实际分时电量'!$C:$C,0))</f>
        <v>1.831375</v>
      </c>
      <c r="M112" s="73" cm="1">
        <f t="array" ref="M112">0.5*INDEX('[1]12月代理实际分时电量'!M:M,MATCH($A112-7,'[1]12月代理实际分时电量'!$C:$C,0))+0.3*INDEX('[1]12月代理实际分时电量'!M:M,MATCH($A112-14,'[1]12月代理实际分时电量'!$C:$C,0))+0.2*INDEX('[1]12月代理实际分时电量'!M:M,MATCH($A112-21,'[1]12月代理实际分时电量'!$C:$C,0))</f>
        <v>3.659176</v>
      </c>
      <c r="N112" s="73" cm="1">
        <f t="array" ref="N112">0.5*INDEX('[1]12月代理实际分时电量'!N:N,MATCH($A112-7,'[1]12月代理实际分时电量'!$C:$C,0))+0.3*INDEX('[1]12月代理实际分时电量'!N:N,MATCH($A112-14,'[1]12月代理实际分时电量'!$C:$C,0))+0.2*INDEX('[1]12月代理实际分时电量'!N:N,MATCH($A112-21,'[1]12月代理实际分时电量'!$C:$C,0))</f>
        <v>3.8275</v>
      </c>
      <c r="O112" s="73" cm="1">
        <f t="array" ref="O112">0.5*INDEX('[1]12月代理实际分时电量'!O:O,MATCH($A112-7,'[1]12月代理实际分时电量'!$C:$C,0))+0.3*INDEX('[1]12月代理实际分时电量'!O:O,MATCH($A112-14,'[1]12月代理实际分时电量'!$C:$C,0))+0.2*INDEX('[1]12月代理实际分时电量'!O:O,MATCH($A112-21,'[1]12月代理实际分时电量'!$C:$C,0))</f>
        <v>3.293679</v>
      </c>
      <c r="P112" s="73" cm="1">
        <f t="array" ref="P112">0.5*INDEX('[1]12月代理实际分时电量'!P:P,MATCH($A112-7,'[1]12月代理实际分时电量'!$C:$C,0))+0.3*INDEX('[1]12月代理实际分时电量'!P:P,MATCH($A112-14,'[1]12月代理实际分时电量'!$C:$C,0))+0.2*INDEX('[1]12月代理实际分时电量'!P:P,MATCH($A112-21,'[1]12月代理实际分时电量'!$C:$C,0))</f>
        <v>3.142021</v>
      </c>
      <c r="Q112" s="73" cm="1">
        <f t="array" ref="Q112">0.5*INDEX('[1]12月代理实际分时电量'!Q:Q,MATCH($A112-7,'[1]12月代理实际分时电量'!$C:$C,0))+0.3*INDEX('[1]12月代理实际分时电量'!Q:Q,MATCH($A112-14,'[1]12月代理实际分时电量'!$C:$C,0))+0.2*INDEX('[1]12月代理实际分时电量'!Q:Q,MATCH($A112-21,'[1]12月代理实际分时电量'!$C:$C,0))</f>
        <v>2.575803</v>
      </c>
      <c r="R112" s="73" cm="1">
        <f t="array" ref="R112">0.5*INDEX('[1]12月代理实际分时电量'!R:R,MATCH($A112-7,'[1]12月代理实际分时电量'!$C:$C,0))+0.3*INDEX('[1]12月代理实际分时电量'!R:R,MATCH($A112-14,'[1]12月代理实际分时电量'!$C:$C,0))+0.2*INDEX('[1]12月代理实际分时电量'!R:R,MATCH($A112-21,'[1]12月代理实际分时电量'!$C:$C,0))</f>
        <v>3.069513</v>
      </c>
      <c r="S112" s="73" cm="1">
        <f t="array" ref="S112">0.5*INDEX('[1]12月代理实际分时电量'!S:S,MATCH($A112-7,'[1]12月代理实际分时电量'!$C:$C,0))+0.3*INDEX('[1]12月代理实际分时电量'!S:S,MATCH($A112-14,'[1]12月代理实际分时电量'!$C:$C,0))+0.2*INDEX('[1]12月代理实际分时电量'!S:S,MATCH($A112-21,'[1]12月代理实际分时电量'!$C:$C,0))</f>
        <v>3.649327</v>
      </c>
      <c r="T112" s="73" cm="1">
        <f t="array" ref="T112">0.5*INDEX('[1]12月代理实际分时电量'!T:T,MATCH($A112-7,'[1]12月代理实际分时电量'!$C:$C,0))+0.3*INDEX('[1]12月代理实际分时电量'!T:T,MATCH($A112-14,'[1]12月代理实际分时电量'!$C:$C,0))+0.2*INDEX('[1]12月代理实际分时电量'!T:T,MATCH($A112-21,'[1]12月代理实际分时电量'!$C:$C,0))</f>
        <v>3.548151</v>
      </c>
      <c r="U112" s="73" cm="1">
        <f t="array" ref="U112">0.5*INDEX('[1]12月代理实际分时电量'!U:U,MATCH($A112-7,'[1]12月代理实际分时电量'!$C:$C,0))+0.3*INDEX('[1]12月代理实际分时电量'!U:U,MATCH($A112-14,'[1]12月代理实际分时电量'!$C:$C,0))+0.2*INDEX('[1]12月代理实际分时电量'!U:U,MATCH($A112-21,'[1]12月代理实际分时电量'!$C:$C,0))</f>
        <v>3.682604</v>
      </c>
      <c r="V112" s="73" cm="1">
        <f t="array" ref="V112">0.5*INDEX('[1]12月代理实际分时电量'!V:V,MATCH($A112-7,'[1]12月代理实际分时电量'!$C:$C,0))+0.3*INDEX('[1]12月代理实际分时电量'!V:V,MATCH($A112-14,'[1]12月代理实际分时电量'!$C:$C,0))+0.2*INDEX('[1]12月代理实际分时电量'!V:V,MATCH($A112-21,'[1]12月代理实际分时电量'!$C:$C,0))</f>
        <v>3.505895</v>
      </c>
      <c r="W112" s="73" cm="1">
        <f t="array" ref="W112">0.5*INDEX('[1]12月代理实际分时电量'!W:W,MATCH($A112-7,'[1]12月代理实际分时电量'!$C:$C,0))+0.3*INDEX('[1]12月代理实际分时电量'!W:W,MATCH($A112-14,'[1]12月代理实际分时电量'!$C:$C,0))+0.2*INDEX('[1]12月代理实际分时电量'!W:W,MATCH($A112-21,'[1]12月代理实际分时电量'!$C:$C,0))</f>
        <v>3.126124</v>
      </c>
      <c r="X112" s="73" cm="1">
        <f t="array" ref="X112">0.5*INDEX('[1]12月代理实际分时电量'!X:X,MATCH($A112-7,'[1]12月代理实际分时电量'!$C:$C,0))+0.3*INDEX('[1]12月代理实际分时电量'!X:X,MATCH($A112-14,'[1]12月代理实际分时电量'!$C:$C,0))+0.2*INDEX('[1]12月代理实际分时电量'!X:X,MATCH($A112-21,'[1]12月代理实际分时电量'!$C:$C,0))</f>
        <v>3.23076</v>
      </c>
      <c r="Y112" s="73" cm="1">
        <f t="array" ref="Y112">0.5*INDEX('[1]12月代理实际分时电量'!Y:Y,MATCH($A112-7,'[1]12月代理实际分时电量'!$C:$C,0))+0.3*INDEX('[1]12月代理实际分时电量'!Y:Y,MATCH($A112-14,'[1]12月代理实际分时电量'!$C:$C,0))+0.2*INDEX('[1]12月代理实际分时电量'!Y:Y,MATCH($A112-21,'[1]12月代理实际分时电量'!$C:$C,0))</f>
        <v>2.82744</v>
      </c>
      <c r="Z112" s="73" cm="1">
        <f t="array" ref="Z112">0.5*INDEX('[1]12月代理实际分时电量'!Z:Z,MATCH($A112-7,'[1]12月代理实际分时电量'!$C:$C,0))+0.3*INDEX('[1]12月代理实际分时电量'!Z:Z,MATCH($A112-14,'[1]12月代理实际分时电量'!$C:$C,0))+0.2*INDEX('[1]12月代理实际分时电量'!Z:Z,MATCH($A112-21,'[1]12月代理实际分时电量'!$C:$C,0))</f>
        <v>2.37508</v>
      </c>
      <c r="AA112" s="73" cm="1">
        <f t="array" ref="AA112">0.5*INDEX('[1]12月代理实际分时电量'!AA:AA,MATCH($A112-7,'[1]12月代理实际分时电量'!$C:$C,0))+0.3*INDEX('[1]12月代理实际分时电量'!AA:AA,MATCH($A112-14,'[1]12月代理实际分时电量'!$C:$C,0))+0.2*INDEX('[1]12月代理实际分时电量'!AA:AA,MATCH($A112-21,'[1]12月代理实际分时电量'!$C:$C,0))</f>
        <v>1.87415</v>
      </c>
      <c r="AB112" s="73" cm="1">
        <f t="array" ref="AB112">0.5*INDEX('[1]12月代理实际分时电量'!AB:AB,MATCH($A112-7,'[1]12月代理实际分时电量'!$C:$C,0))+0.3*INDEX('[1]12月代理实际分时电量'!AB:AB,MATCH($A112-14,'[1]12月代理实际分时电量'!$C:$C,0))+0.2*INDEX('[1]12月代理实际分时电量'!AB:AB,MATCH($A112-21,'[1]12月代理实际分时电量'!$C:$C,0))</f>
        <v>1.58763</v>
      </c>
      <c r="AC112" s="81"/>
    </row>
    <row r="113" spans="1:29">
      <c r="A113" s="4"/>
      <c r="B113" s="68"/>
      <c r="C113" s="2" t="s">
        <v>35</v>
      </c>
      <c r="D113" s="3">
        <f>D114/D112</f>
        <v>0.9819176083163</v>
      </c>
      <c r="E113" s="85">
        <v>1.1</v>
      </c>
      <c r="F113" s="85">
        <v>0.9</v>
      </c>
      <c r="G113" s="85">
        <v>0.8</v>
      </c>
      <c r="H113" s="85">
        <v>0.95</v>
      </c>
      <c r="I113" s="85">
        <v>0.9</v>
      </c>
      <c r="J113" s="85">
        <v>0.8</v>
      </c>
      <c r="K113" s="85">
        <v>1.1</v>
      </c>
      <c r="L113" s="85">
        <v>1.1</v>
      </c>
      <c r="M113" s="85">
        <v>1.2</v>
      </c>
      <c r="N113" s="85">
        <v>1.1</v>
      </c>
      <c r="O113" s="85">
        <v>0.9</v>
      </c>
      <c r="P113" s="85">
        <v>1</v>
      </c>
      <c r="Q113" s="85">
        <v>0.9</v>
      </c>
      <c r="R113" s="85">
        <v>0.8</v>
      </c>
      <c r="S113" s="85">
        <v>0.8</v>
      </c>
      <c r="T113" s="85">
        <v>0.9</v>
      </c>
      <c r="U113" s="85">
        <v>1.1</v>
      </c>
      <c r="V113" s="85">
        <v>1.2</v>
      </c>
      <c r="W113" s="85">
        <v>1.1</v>
      </c>
      <c r="X113" s="85">
        <v>1.1</v>
      </c>
      <c r="Y113" s="85">
        <v>0.8</v>
      </c>
      <c r="Z113" s="85">
        <v>0.9</v>
      </c>
      <c r="AA113" s="85">
        <v>0.8</v>
      </c>
      <c r="AB113" s="85">
        <v>1</v>
      </c>
      <c r="AC113" s="81"/>
    </row>
    <row r="114" spans="1:29">
      <c r="A114" s="4"/>
      <c r="B114" s="68"/>
      <c r="C114" s="2" t="s">
        <v>36</v>
      </c>
      <c r="D114" s="3">
        <f>SUM(E114:AB114)</f>
        <v>59.665</v>
      </c>
      <c r="E114" s="13">
        <f t="shared" ref="E114:AB114" si="44">ROUND(E112*E113,3)</f>
        <v>1.628</v>
      </c>
      <c r="F114" s="13">
        <f t="shared" si="44"/>
        <v>1.337</v>
      </c>
      <c r="G114" s="13">
        <f t="shared" si="44"/>
        <v>1.129</v>
      </c>
      <c r="H114" s="13">
        <f t="shared" si="44"/>
        <v>1.329</v>
      </c>
      <c r="I114" s="13">
        <f t="shared" si="44"/>
        <v>1.249</v>
      </c>
      <c r="J114" s="13">
        <f t="shared" si="44"/>
        <v>1.138</v>
      </c>
      <c r="K114" s="13">
        <f t="shared" si="44"/>
        <v>1.509</v>
      </c>
      <c r="L114" s="13">
        <f t="shared" si="44"/>
        <v>2.015</v>
      </c>
      <c r="M114" s="13">
        <f t="shared" si="44"/>
        <v>4.391</v>
      </c>
      <c r="N114" s="13">
        <f t="shared" si="44"/>
        <v>4.21</v>
      </c>
      <c r="O114" s="13">
        <f t="shared" si="44"/>
        <v>2.964</v>
      </c>
      <c r="P114" s="13">
        <f t="shared" si="44"/>
        <v>3.142</v>
      </c>
      <c r="Q114" s="13">
        <f t="shared" si="44"/>
        <v>2.318</v>
      </c>
      <c r="R114" s="13">
        <f t="shared" si="44"/>
        <v>2.456</v>
      </c>
      <c r="S114" s="13">
        <f t="shared" si="44"/>
        <v>2.919</v>
      </c>
      <c r="T114" s="13">
        <f t="shared" si="44"/>
        <v>3.193</v>
      </c>
      <c r="U114" s="13">
        <f t="shared" si="44"/>
        <v>4.051</v>
      </c>
      <c r="V114" s="13">
        <f t="shared" si="44"/>
        <v>4.207</v>
      </c>
      <c r="W114" s="13">
        <f t="shared" si="44"/>
        <v>3.439</v>
      </c>
      <c r="X114" s="13">
        <f t="shared" si="44"/>
        <v>3.554</v>
      </c>
      <c r="Y114" s="13">
        <f t="shared" si="44"/>
        <v>2.262</v>
      </c>
      <c r="Z114" s="13">
        <f t="shared" si="44"/>
        <v>2.138</v>
      </c>
      <c r="AA114" s="13">
        <f t="shared" si="44"/>
        <v>1.499</v>
      </c>
      <c r="AB114" s="13">
        <f t="shared" si="44"/>
        <v>1.588</v>
      </c>
      <c r="AC114" s="81"/>
    </row>
    <row r="115" ht="17" spans="1:29">
      <c r="A115" s="4"/>
      <c r="B115" s="68"/>
      <c r="C115" s="66" t="s">
        <v>37</v>
      </c>
      <c r="D115" s="3">
        <f>SUM(E115:AB115)</f>
        <v>68.4487</v>
      </c>
      <c r="E115" s="13">
        <v>1.6903</v>
      </c>
      <c r="F115" s="13">
        <v>1.6941</v>
      </c>
      <c r="G115" s="13">
        <v>1.6778</v>
      </c>
      <c r="H115" s="13">
        <v>1.6874</v>
      </c>
      <c r="I115" s="13">
        <v>1.7304</v>
      </c>
      <c r="J115" s="13">
        <v>1.7318</v>
      </c>
      <c r="K115" s="13">
        <v>1.6237</v>
      </c>
      <c r="L115" s="13">
        <v>1.9668</v>
      </c>
      <c r="M115" s="13">
        <v>4.0729</v>
      </c>
      <c r="N115" s="13">
        <v>4.2491</v>
      </c>
      <c r="O115" s="13">
        <v>3.6554</v>
      </c>
      <c r="P115" s="13">
        <v>3.6628</v>
      </c>
      <c r="Q115" s="13">
        <v>2.8682</v>
      </c>
      <c r="R115" s="13">
        <v>3.5625</v>
      </c>
      <c r="S115" s="13">
        <v>3.9938</v>
      </c>
      <c r="T115" s="13">
        <v>3.7844</v>
      </c>
      <c r="U115" s="13">
        <v>4.0543</v>
      </c>
      <c r="V115" s="13">
        <v>3.8955</v>
      </c>
      <c r="W115" s="13">
        <v>3.5419</v>
      </c>
      <c r="X115" s="13">
        <v>3.6784</v>
      </c>
      <c r="Y115" s="13">
        <v>3.2736</v>
      </c>
      <c r="Z115" s="13">
        <v>2.6853</v>
      </c>
      <c r="AA115" s="13">
        <v>1.9819</v>
      </c>
      <c r="AB115" s="13">
        <v>1.6864</v>
      </c>
      <c r="AC115" s="81"/>
    </row>
    <row r="116" spans="1:29">
      <c r="A116" s="69"/>
      <c r="B116" s="68"/>
      <c r="C116" s="64" t="s">
        <v>38</v>
      </c>
      <c r="D116" s="70">
        <f>D115/D112</f>
        <v>1.126472534926</v>
      </c>
      <c r="E116" s="76">
        <f t="shared" ref="E116:AB116" si="45">1-ABS(E112-E115)/E115</f>
        <v>0.875439271135301</v>
      </c>
      <c r="F116" s="76">
        <f t="shared" si="45"/>
        <v>0.876863821498141</v>
      </c>
      <c r="G116" s="76">
        <f t="shared" si="45"/>
        <v>0.841310048873525</v>
      </c>
      <c r="H116" s="76">
        <f t="shared" si="45"/>
        <v>0.82888171150883</v>
      </c>
      <c r="I116" s="76">
        <f t="shared" si="45"/>
        <v>0.801862575127138</v>
      </c>
      <c r="J116" s="76">
        <f t="shared" si="45"/>
        <v>0.821418755052546</v>
      </c>
      <c r="K116" s="76">
        <f t="shared" si="45"/>
        <v>0.844980599864507</v>
      </c>
      <c r="L116" s="76">
        <f t="shared" si="45"/>
        <v>0.931144498678056</v>
      </c>
      <c r="M116" s="76">
        <f t="shared" si="45"/>
        <v>0.898420290210906</v>
      </c>
      <c r="N116" s="76">
        <f t="shared" si="45"/>
        <v>0.900778988491681</v>
      </c>
      <c r="O116" s="76">
        <f t="shared" si="45"/>
        <v>0.90104475570389</v>
      </c>
      <c r="P116" s="76">
        <f t="shared" si="45"/>
        <v>0.857819427760183</v>
      </c>
      <c r="Q116" s="76">
        <f t="shared" si="45"/>
        <v>0.89805557492504</v>
      </c>
      <c r="R116" s="76">
        <f t="shared" si="45"/>
        <v>0.861617684210526</v>
      </c>
      <c r="S116" s="76">
        <f t="shared" si="45"/>
        <v>0.913748059492213</v>
      </c>
      <c r="T116" s="76">
        <f t="shared" si="45"/>
        <v>0.937572930979812</v>
      </c>
      <c r="U116" s="76">
        <f t="shared" si="45"/>
        <v>0.908320548553388</v>
      </c>
      <c r="V116" s="76">
        <f t="shared" si="45"/>
        <v>0.899985881144911</v>
      </c>
      <c r="W116" s="76">
        <f t="shared" si="45"/>
        <v>0.882612157316694</v>
      </c>
      <c r="X116" s="76">
        <f t="shared" si="45"/>
        <v>0.878305785123967</v>
      </c>
      <c r="Y116" s="76">
        <f t="shared" si="45"/>
        <v>0.863709677419355</v>
      </c>
      <c r="Z116" s="76">
        <f t="shared" si="45"/>
        <v>0.884474732804528</v>
      </c>
      <c r="AA116" s="76">
        <f t="shared" si="45"/>
        <v>0.945632978455018</v>
      </c>
      <c r="AB116" s="76">
        <f t="shared" si="45"/>
        <v>0.941431451612903</v>
      </c>
      <c r="AC116" s="81"/>
    </row>
    <row r="117" spans="1:29">
      <c r="A117" s="4">
        <v>46015</v>
      </c>
      <c r="B117" s="67"/>
      <c r="C117" s="2" t="s">
        <v>33</v>
      </c>
      <c r="D117" s="3">
        <f>SUM(E117:AB117)</f>
        <v>58.089684</v>
      </c>
      <c r="E117" s="73" cm="1">
        <f t="array" ref="E117">0.5*INDEX('[1]12月代理实际分时电量'!E:E,MATCH($A117-7,'[1]12月代理实际分时电量'!$C:$C,0))+0.3*INDEX('[1]12月代理实际分时电量'!E:E,MATCH($A117-14,'[1]12月代理实际分时电量'!$C:$C,0))+0.2*INDEX('[1]12月代理实际分时电量'!E:E,MATCH($A117-21,'[1]12月代理实际分时电量'!$C:$C,0))</f>
        <v>1.436045</v>
      </c>
      <c r="F117" s="73" cm="1">
        <f t="array" ref="F117">0.5*INDEX('[1]12月代理实际分时电量'!F:F,MATCH($A117-7,'[1]12月代理实际分时电量'!$C:$C,0))+0.3*INDEX('[1]12月代理实际分时电量'!F:F,MATCH($A117-14,'[1]12月代理实际分时电量'!$C:$C,0))+0.2*INDEX('[1]12月代理实际分时电量'!F:F,MATCH($A117-21,'[1]12月代理实际分时电量'!$C:$C,0))</f>
        <v>1.454877</v>
      </c>
      <c r="G117" s="73" cm="1">
        <f t="array" ref="G117">0.5*INDEX('[1]12月代理实际分时电量'!G:G,MATCH($A117-7,'[1]12月代理实际分时电量'!$C:$C,0))+0.3*INDEX('[1]12月代理实际分时电量'!G:G,MATCH($A117-14,'[1]12月代理实际分时电量'!$C:$C,0))+0.2*INDEX('[1]12月代理实际分时电量'!G:G,MATCH($A117-21,'[1]12月代理实际分时电量'!$C:$C,0))</f>
        <v>1.46381</v>
      </c>
      <c r="H117" s="73" cm="1">
        <f t="array" ref="H117">0.5*INDEX('[1]12月代理实际分时电量'!H:H,MATCH($A117-7,'[1]12月代理实际分时电量'!$C:$C,0))+0.3*INDEX('[1]12月代理实际分时电量'!H:H,MATCH($A117-14,'[1]12月代理实际分时电量'!$C:$C,0))+0.2*INDEX('[1]12月代理实际分时电量'!H:H,MATCH($A117-21,'[1]12月代理实际分时电量'!$C:$C,0))</f>
        <v>1.480478</v>
      </c>
      <c r="I117" s="73" cm="1">
        <f t="array" ref="I117">0.5*INDEX('[1]12月代理实际分时电量'!I:I,MATCH($A117-7,'[1]12月代理实际分时电量'!$C:$C,0))+0.3*INDEX('[1]12月代理实际分时电量'!I:I,MATCH($A117-14,'[1]12月代理实际分时电量'!$C:$C,0))+0.2*INDEX('[1]12月代理实际分时电量'!I:I,MATCH($A117-21,'[1]12月代理实际分时电量'!$C:$C,0))</f>
        <v>1.473965</v>
      </c>
      <c r="J117" s="73" cm="1">
        <f t="array" ref="J117">0.5*INDEX('[1]12月代理实际分时电量'!J:J,MATCH($A117-7,'[1]12月代理实际分时电量'!$C:$C,0))+0.3*INDEX('[1]12月代理实际分时电量'!J:J,MATCH($A117-14,'[1]12月代理实际分时电量'!$C:$C,0))+0.2*INDEX('[1]12月代理实际分时电量'!J:J,MATCH($A117-21,'[1]12月代理实际分时电量'!$C:$C,0))</f>
        <v>1.4529</v>
      </c>
      <c r="K117" s="73" cm="1">
        <f t="array" ref="K117">0.5*INDEX('[1]12月代理实际分时电量'!K:K,MATCH($A117-7,'[1]12月代理实际分时电量'!$C:$C,0))+0.3*INDEX('[1]12月代理实际分时电量'!K:K,MATCH($A117-14,'[1]12月代理实际分时电量'!$C:$C,0))+0.2*INDEX('[1]12月代理实际分时电量'!K:K,MATCH($A117-21,'[1]12月代理实际分时电量'!$C:$C,0))</f>
        <v>1.37186</v>
      </c>
      <c r="L117" s="73" cm="1">
        <f t="array" ref="L117">0.5*INDEX('[1]12月代理实际分时电量'!L:L,MATCH($A117-7,'[1]12月代理实际分时电量'!$C:$C,0))+0.3*INDEX('[1]12月代理实际分时电量'!L:L,MATCH($A117-14,'[1]12月代理实际分时电量'!$C:$C,0))+0.2*INDEX('[1]12月代理实际分时电量'!L:L,MATCH($A117-21,'[1]12月代理实际分时电量'!$C:$C,0))</f>
        <v>1.760665</v>
      </c>
      <c r="M117" s="73" cm="1">
        <f t="array" ref="M117">0.5*INDEX('[1]12月代理实际分时电量'!M:M,MATCH($A117-7,'[1]12月代理实际分时电量'!$C:$C,0))+0.3*INDEX('[1]12月代理实际分时电量'!M:M,MATCH($A117-14,'[1]12月代理实际分时电量'!$C:$C,0))+0.2*INDEX('[1]12月代理实际分时电量'!M:M,MATCH($A117-21,'[1]12月代理实际分时电量'!$C:$C,0))</f>
        <v>3.462824</v>
      </c>
      <c r="N117" s="73" cm="1">
        <f t="array" ref="N117">0.5*INDEX('[1]12月代理实际分时电量'!N:N,MATCH($A117-7,'[1]12月代理实际分时电量'!$C:$C,0))+0.3*INDEX('[1]12月代理实际分时电量'!N:N,MATCH($A117-14,'[1]12月代理实际分时电量'!$C:$C,0))+0.2*INDEX('[1]12月代理实际分时电量'!N:N,MATCH($A117-21,'[1]12月代理实际分时电量'!$C:$C,0))</f>
        <v>3.642577</v>
      </c>
      <c r="O117" s="73" cm="1">
        <f t="array" ref="O117">0.5*INDEX('[1]12月代理实际分时电量'!O:O,MATCH($A117-7,'[1]12月代理实际分时电量'!$C:$C,0))+0.3*INDEX('[1]12月代理实际分时电量'!O:O,MATCH($A117-14,'[1]12月代理实际分时电量'!$C:$C,0))+0.2*INDEX('[1]12月代理实际分时电量'!O:O,MATCH($A117-21,'[1]12月代理实际分时电量'!$C:$C,0))</f>
        <v>3.137111</v>
      </c>
      <c r="P117" s="73" cm="1">
        <f t="array" ref="P117">0.5*INDEX('[1]12月代理实际分时电量'!P:P,MATCH($A117-7,'[1]12月代理实际分时电量'!$C:$C,0))+0.3*INDEX('[1]12月代理实际分时电量'!P:P,MATCH($A117-14,'[1]12月代理实际分时电量'!$C:$C,0))+0.2*INDEX('[1]12月代理实际分时电量'!P:P,MATCH($A117-21,'[1]12月代理实际分时电量'!$C:$C,0))</f>
        <v>3.058315</v>
      </c>
      <c r="Q117" s="73" cm="1">
        <f t="array" ref="Q117">0.5*INDEX('[1]12月代理实际分时电量'!Q:Q,MATCH($A117-7,'[1]12月代理实际分时电量'!$C:$C,0))+0.3*INDEX('[1]12月代理实际分时电量'!Q:Q,MATCH($A117-14,'[1]12月代理实际分时电量'!$C:$C,0))+0.2*INDEX('[1]12月代理实际分时电量'!Q:Q,MATCH($A117-21,'[1]12月代理实际分时电量'!$C:$C,0))</f>
        <v>2.428583</v>
      </c>
      <c r="R117" s="73" cm="1">
        <f t="array" ref="R117">0.5*INDEX('[1]12月代理实际分时电量'!R:R,MATCH($A117-7,'[1]12月代理实际分时电量'!$C:$C,0))+0.3*INDEX('[1]12月代理实际分时电量'!R:R,MATCH($A117-14,'[1]12月代理实际分时电量'!$C:$C,0))+0.2*INDEX('[1]12月代理实际分时电量'!R:R,MATCH($A117-21,'[1]12月代理实际分时电量'!$C:$C,0))</f>
        <v>2.898424</v>
      </c>
      <c r="S117" s="73" cm="1">
        <f t="array" ref="S117">0.5*INDEX('[1]12月代理实际分时电量'!S:S,MATCH($A117-7,'[1]12月代理实际分时电量'!$C:$C,0))+0.3*INDEX('[1]12月代理实际分时电量'!S:S,MATCH($A117-14,'[1]12月代理实际分时电量'!$C:$C,0))+0.2*INDEX('[1]12月代理实际分时电量'!S:S,MATCH($A117-21,'[1]12月代理实际分时电量'!$C:$C,0))</f>
        <v>3.421135</v>
      </c>
      <c r="T117" s="73" cm="1">
        <f t="array" ref="T117">0.5*INDEX('[1]12月代理实际分时电量'!T:T,MATCH($A117-7,'[1]12月代理实际分时电量'!$C:$C,0))+0.3*INDEX('[1]12月代理实际分时电量'!T:T,MATCH($A117-14,'[1]12月代理实际分时电量'!$C:$C,0))+0.2*INDEX('[1]12月代理实际分时电量'!T:T,MATCH($A117-21,'[1]12月代理实际分时电量'!$C:$C,0))</f>
        <v>3.314921</v>
      </c>
      <c r="U117" s="73" cm="1">
        <f t="array" ref="U117">0.5*INDEX('[1]12月代理实际分时电量'!U:U,MATCH($A117-7,'[1]12月代理实际分时电量'!$C:$C,0))+0.3*INDEX('[1]12月代理实际分时电量'!U:U,MATCH($A117-14,'[1]12月代理实际分时电量'!$C:$C,0))+0.2*INDEX('[1]12月代理实际分时电量'!U:U,MATCH($A117-21,'[1]12月代理实际分时电量'!$C:$C,0))</f>
        <v>3.469478</v>
      </c>
      <c r="V117" s="73" cm="1">
        <f t="array" ref="V117">0.5*INDEX('[1]12月代理实际分时电量'!V:V,MATCH($A117-7,'[1]12月代理实际分时电量'!$C:$C,0))+0.3*INDEX('[1]12月代理实际分时电量'!V:V,MATCH($A117-14,'[1]12月代理实际分时电量'!$C:$C,0))+0.2*INDEX('[1]12月代理实际分时电量'!V:V,MATCH($A117-21,'[1]12月代理实际分时电量'!$C:$C,0))</f>
        <v>3.223756</v>
      </c>
      <c r="W117" s="73" cm="1">
        <f t="array" ref="W117">0.5*INDEX('[1]12月代理实际分时电量'!W:W,MATCH($A117-7,'[1]12月代理实际分时电量'!$C:$C,0))+0.3*INDEX('[1]12月代理实际分时电量'!W:W,MATCH($A117-14,'[1]12月代理实际分时电量'!$C:$C,0))+0.2*INDEX('[1]12月代理实际分时电量'!W:W,MATCH($A117-21,'[1]12月代理实际分时电量'!$C:$C,0))</f>
        <v>2.924908</v>
      </c>
      <c r="X117" s="73" cm="1">
        <f t="array" ref="X117">0.5*INDEX('[1]12月代理实际分时电量'!X:X,MATCH($A117-7,'[1]12月代理实际分时电量'!$C:$C,0))+0.3*INDEX('[1]12月代理实际分时电量'!X:X,MATCH($A117-14,'[1]12月代理实际分时电量'!$C:$C,0))+0.2*INDEX('[1]12月代理实际分时电量'!X:X,MATCH($A117-21,'[1]12月代理实际分时电量'!$C:$C,0))</f>
        <v>3.028707</v>
      </c>
      <c r="Y117" s="73" cm="1">
        <f t="array" ref="Y117">0.5*INDEX('[1]12月代理实际分时电量'!Y:Y,MATCH($A117-7,'[1]12月代理实际分时电量'!$C:$C,0))+0.3*INDEX('[1]12月代理实际分时电量'!Y:Y,MATCH($A117-14,'[1]12月代理实际分时电量'!$C:$C,0))+0.2*INDEX('[1]12月代理实际分时电量'!Y:Y,MATCH($A117-21,'[1]12月代理实际分时电量'!$C:$C,0))</f>
        <v>2.656825</v>
      </c>
      <c r="Z117" s="73" cm="1">
        <f t="array" ref="Z117">0.5*INDEX('[1]12月代理实际分时电量'!Z:Z,MATCH($A117-7,'[1]12月代理实际分时电量'!$C:$C,0))+0.3*INDEX('[1]12月代理实际分时电量'!Z:Z,MATCH($A117-14,'[1]12月代理实际分时电量'!$C:$C,0))+0.2*INDEX('[1]12月代理实际分时电量'!Z:Z,MATCH($A117-21,'[1]12月代理实际分时电量'!$C:$C,0))</f>
        <v>2.200485</v>
      </c>
      <c r="AA117" s="73" cm="1">
        <f t="array" ref="AA117">0.5*INDEX('[1]12月代理实际分时电量'!AA:AA,MATCH($A117-7,'[1]12月代理实际分时电量'!$C:$C,0))+0.3*INDEX('[1]12月代理实际分时电量'!AA:AA,MATCH($A117-14,'[1]12月代理实际分时电量'!$C:$C,0))+0.2*INDEX('[1]12月代理实际分时电量'!AA:AA,MATCH($A117-21,'[1]12月代理实际分时电量'!$C:$C,0))</f>
        <v>1.782743</v>
      </c>
      <c r="AB117" s="73" cm="1">
        <f t="array" ref="AB117">0.5*INDEX('[1]12月代理实际分时电量'!AB:AB,MATCH($A117-7,'[1]12月代理实际分时电量'!$C:$C,0))+0.3*INDEX('[1]12月代理实际分时电量'!AB:AB,MATCH($A117-14,'[1]12月代理实际分时电量'!$C:$C,0))+0.2*INDEX('[1]12月代理实际分时电量'!AB:AB,MATCH($A117-21,'[1]12月代理实际分时电量'!$C:$C,0))</f>
        <v>1.544292</v>
      </c>
      <c r="AC117" s="81"/>
    </row>
    <row r="118" spans="1:29">
      <c r="A118" s="4"/>
      <c r="B118" s="68"/>
      <c r="C118" s="2" t="s">
        <v>35</v>
      </c>
      <c r="D118" s="3">
        <f>D119/D117</f>
        <v>0.946588037903598</v>
      </c>
      <c r="E118" s="85">
        <v>1.1</v>
      </c>
      <c r="F118" s="85">
        <v>1.1</v>
      </c>
      <c r="G118" s="85">
        <v>0.9</v>
      </c>
      <c r="H118" s="85">
        <v>1.1</v>
      </c>
      <c r="I118" s="85">
        <v>0.8</v>
      </c>
      <c r="J118" s="85">
        <v>1</v>
      </c>
      <c r="K118" s="85">
        <v>1</v>
      </c>
      <c r="L118" s="85">
        <v>1.1</v>
      </c>
      <c r="M118" s="85">
        <v>1.1</v>
      </c>
      <c r="N118" s="85">
        <v>0.9</v>
      </c>
      <c r="O118" s="85">
        <v>0.9</v>
      </c>
      <c r="P118" s="85">
        <v>0.9</v>
      </c>
      <c r="Q118" s="85">
        <v>0.8</v>
      </c>
      <c r="R118" s="85">
        <v>0.8</v>
      </c>
      <c r="S118" s="85">
        <v>0.8</v>
      </c>
      <c r="T118" s="85">
        <v>0.8</v>
      </c>
      <c r="U118" s="85">
        <v>1.1</v>
      </c>
      <c r="V118" s="85">
        <v>1.1</v>
      </c>
      <c r="W118" s="85">
        <v>1</v>
      </c>
      <c r="X118" s="85">
        <v>0.8</v>
      </c>
      <c r="Y118" s="85">
        <v>1.1</v>
      </c>
      <c r="Z118" s="85">
        <v>0.9</v>
      </c>
      <c r="AA118" s="85">
        <v>0.9</v>
      </c>
      <c r="AB118" s="85">
        <v>0.9</v>
      </c>
      <c r="AC118" s="81"/>
    </row>
    <row r="119" spans="1:29">
      <c r="A119" s="4"/>
      <c r="B119" s="68"/>
      <c r="C119" s="2" t="s">
        <v>36</v>
      </c>
      <c r="D119" s="3">
        <f>SUM(E119:AB119)</f>
        <v>54.987</v>
      </c>
      <c r="E119" s="13">
        <f t="shared" ref="E119:AB119" si="46">ROUND(E117*E118,3)</f>
        <v>1.58</v>
      </c>
      <c r="F119" s="13">
        <f t="shared" si="46"/>
        <v>1.6</v>
      </c>
      <c r="G119" s="13">
        <f t="shared" si="46"/>
        <v>1.317</v>
      </c>
      <c r="H119" s="13">
        <f t="shared" si="46"/>
        <v>1.629</v>
      </c>
      <c r="I119" s="13">
        <f t="shared" si="46"/>
        <v>1.179</v>
      </c>
      <c r="J119" s="13">
        <f t="shared" si="46"/>
        <v>1.453</v>
      </c>
      <c r="K119" s="13">
        <f t="shared" si="46"/>
        <v>1.372</v>
      </c>
      <c r="L119" s="13">
        <f t="shared" si="46"/>
        <v>1.937</v>
      </c>
      <c r="M119" s="13">
        <f t="shared" si="46"/>
        <v>3.809</v>
      </c>
      <c r="N119" s="13">
        <f t="shared" si="46"/>
        <v>3.278</v>
      </c>
      <c r="O119" s="13">
        <f t="shared" si="46"/>
        <v>2.823</v>
      </c>
      <c r="P119" s="13">
        <f t="shared" si="46"/>
        <v>2.752</v>
      </c>
      <c r="Q119" s="13">
        <f t="shared" si="46"/>
        <v>1.943</v>
      </c>
      <c r="R119" s="13">
        <f t="shared" si="46"/>
        <v>2.319</v>
      </c>
      <c r="S119" s="13">
        <f t="shared" si="46"/>
        <v>2.737</v>
      </c>
      <c r="T119" s="13">
        <f t="shared" si="46"/>
        <v>2.652</v>
      </c>
      <c r="U119" s="13">
        <f t="shared" si="46"/>
        <v>3.816</v>
      </c>
      <c r="V119" s="13">
        <f t="shared" si="46"/>
        <v>3.546</v>
      </c>
      <c r="W119" s="13">
        <f t="shared" si="46"/>
        <v>2.925</v>
      </c>
      <c r="X119" s="13">
        <f t="shared" si="46"/>
        <v>2.423</v>
      </c>
      <c r="Y119" s="13">
        <f t="shared" si="46"/>
        <v>2.923</v>
      </c>
      <c r="Z119" s="13">
        <f t="shared" si="46"/>
        <v>1.98</v>
      </c>
      <c r="AA119" s="13">
        <f t="shared" si="46"/>
        <v>1.604</v>
      </c>
      <c r="AB119" s="13">
        <f t="shared" si="46"/>
        <v>1.39</v>
      </c>
      <c r="AC119" s="81"/>
    </row>
    <row r="120" ht="17" spans="1:29">
      <c r="A120" s="4"/>
      <c r="B120" s="68"/>
      <c r="C120" s="66" t="s">
        <v>37</v>
      </c>
      <c r="D120" s="3">
        <f>SUM(E120:AB120)</f>
        <v>68.0578</v>
      </c>
      <c r="E120" s="13">
        <v>1.6873</v>
      </c>
      <c r="F120" s="13">
        <v>1.7118</v>
      </c>
      <c r="G120" s="13">
        <v>1.6206</v>
      </c>
      <c r="H120" s="13">
        <v>1.6076</v>
      </c>
      <c r="I120" s="13">
        <v>1.6761</v>
      </c>
      <c r="J120" s="13">
        <v>1.6685</v>
      </c>
      <c r="K120" s="13">
        <v>1.614</v>
      </c>
      <c r="L120" s="13">
        <v>1.9478</v>
      </c>
      <c r="M120" s="13">
        <v>4.0518</v>
      </c>
      <c r="N120" s="13">
        <v>4.4358</v>
      </c>
      <c r="O120" s="13">
        <v>3.9337</v>
      </c>
      <c r="P120" s="13">
        <v>3.6861</v>
      </c>
      <c r="Q120" s="13">
        <v>2.9395</v>
      </c>
      <c r="R120" s="13">
        <v>3.4479</v>
      </c>
      <c r="S120" s="13">
        <v>4.0618</v>
      </c>
      <c r="T120" s="13">
        <v>3.7932</v>
      </c>
      <c r="U120" s="13">
        <v>4.0171</v>
      </c>
      <c r="V120" s="13">
        <v>3.6749</v>
      </c>
      <c r="W120" s="13">
        <v>3.3838</v>
      </c>
      <c r="X120" s="13">
        <v>3.6701</v>
      </c>
      <c r="Y120" s="13">
        <v>3.1869</v>
      </c>
      <c r="Z120" s="13">
        <v>2.5723</v>
      </c>
      <c r="AA120" s="13">
        <v>1.9356</v>
      </c>
      <c r="AB120" s="13">
        <v>1.7336</v>
      </c>
      <c r="AC120" s="81"/>
    </row>
    <row r="121" spans="1:29">
      <c r="A121" s="69"/>
      <c r="B121" s="68"/>
      <c r="C121" s="64" t="s">
        <v>38</v>
      </c>
      <c r="D121" s="70">
        <f>D120/D117</f>
        <v>1.17159872999137</v>
      </c>
      <c r="E121" s="76">
        <f t="shared" ref="E121:AB121" si="47">1-ABS(E117-E120)/E120</f>
        <v>0.851090499614769</v>
      </c>
      <c r="F121" s="76">
        <f t="shared" si="47"/>
        <v>0.849910620399579</v>
      </c>
      <c r="G121" s="76">
        <f t="shared" si="47"/>
        <v>0.903251882019005</v>
      </c>
      <c r="H121" s="76">
        <f t="shared" si="47"/>
        <v>0.920924359293357</v>
      </c>
      <c r="I121" s="76">
        <f t="shared" si="47"/>
        <v>0.879401587017481</v>
      </c>
      <c r="J121" s="76">
        <f t="shared" si="47"/>
        <v>0.870782139646389</v>
      </c>
      <c r="K121" s="76">
        <f t="shared" si="47"/>
        <v>0.84997521685254</v>
      </c>
      <c r="L121" s="76">
        <f t="shared" si="47"/>
        <v>0.903924940959031</v>
      </c>
      <c r="M121" s="76">
        <f t="shared" si="47"/>
        <v>0.854638432301693</v>
      </c>
      <c r="N121" s="76">
        <f t="shared" si="47"/>
        <v>0.821177014292799</v>
      </c>
      <c r="O121" s="76">
        <f t="shared" si="47"/>
        <v>0.797496250349544</v>
      </c>
      <c r="P121" s="76">
        <f t="shared" si="47"/>
        <v>0.82968855972437</v>
      </c>
      <c r="Q121" s="76">
        <f t="shared" si="47"/>
        <v>0.826189147814254</v>
      </c>
      <c r="R121" s="76">
        <f t="shared" si="47"/>
        <v>0.84063458917022</v>
      </c>
      <c r="S121" s="76">
        <f t="shared" si="47"/>
        <v>0.842270668176671</v>
      </c>
      <c r="T121" s="76">
        <f t="shared" si="47"/>
        <v>0.873911473162501</v>
      </c>
      <c r="U121" s="76">
        <f t="shared" si="47"/>
        <v>0.863677279629584</v>
      </c>
      <c r="V121" s="76">
        <f t="shared" si="47"/>
        <v>0.877236387384691</v>
      </c>
      <c r="W121" s="76">
        <f t="shared" si="47"/>
        <v>0.864385601985933</v>
      </c>
      <c r="X121" s="76">
        <f t="shared" si="47"/>
        <v>0.825238276886188</v>
      </c>
      <c r="Y121" s="76">
        <f t="shared" si="47"/>
        <v>0.833670651730522</v>
      </c>
      <c r="Z121" s="76">
        <f t="shared" si="47"/>
        <v>0.855454262722078</v>
      </c>
      <c r="AA121" s="76">
        <f t="shared" si="47"/>
        <v>0.921028621616036</v>
      </c>
      <c r="AB121" s="76">
        <f t="shared" si="47"/>
        <v>0.890800646054453</v>
      </c>
      <c r="AC121" s="81"/>
    </row>
    <row r="122" spans="1:29">
      <c r="A122" s="4">
        <v>46016</v>
      </c>
      <c r="B122" s="67"/>
      <c r="C122" s="2" t="s">
        <v>33</v>
      </c>
      <c r="D122" s="3">
        <f>SUM(E122:AB122)</f>
        <v>67.941618</v>
      </c>
      <c r="E122" s="73" cm="1">
        <f t="array" ref="E122">0.5*INDEX('[1]12月代理实际分时电量'!E:E,MATCH($A122-7,'[1]12月代理实际分时电量'!$C:$C,0))+0.3*INDEX('[1]12月代理实际分时电量'!E:E,MATCH($A122-14,'[1]12月代理实际分时电量'!$C:$C,0))+0.2*INDEX('[1]12月代理实际分时电量'!E:E,MATCH($A122-21,'[1]12月代理实际分时电量'!$C:$C,0))</f>
        <v>1.75328</v>
      </c>
      <c r="F122" s="73" cm="1">
        <f t="array" ref="F122">0.5*INDEX('[1]12月代理实际分时电量'!F:F,MATCH($A122-7,'[1]12月代理实际分时电量'!$C:$C,0))+0.3*INDEX('[1]12月代理实际分时电量'!F:F,MATCH($A122-14,'[1]12月代理实际分时电量'!$C:$C,0))+0.2*INDEX('[1]12月代理实际分时电量'!F:F,MATCH($A122-21,'[1]12月代理实际分时电量'!$C:$C,0))</f>
        <v>1.800953</v>
      </c>
      <c r="G122" s="73" cm="1">
        <f t="array" ref="G122">0.5*INDEX('[1]12月代理实际分时电量'!G:G,MATCH($A122-7,'[1]12月代理实际分时电量'!$C:$C,0))+0.3*INDEX('[1]12月代理实际分时电量'!G:G,MATCH($A122-14,'[1]12月代理实际分时电量'!$C:$C,0))+0.2*INDEX('[1]12月代理实际分时电量'!G:G,MATCH($A122-21,'[1]12月代理实际分时电量'!$C:$C,0))</f>
        <v>1.74814</v>
      </c>
      <c r="H122" s="73" cm="1">
        <f t="array" ref="H122">0.5*INDEX('[1]12月代理实际分时电量'!H:H,MATCH($A122-7,'[1]12月代理实际分时电量'!$C:$C,0))+0.3*INDEX('[1]12月代理实际分时电量'!H:H,MATCH($A122-14,'[1]12月代理实际分时电量'!$C:$C,0))+0.2*INDEX('[1]12月代理实际分时电量'!H:H,MATCH($A122-21,'[1]12月代理实际分时电量'!$C:$C,0))</f>
        <v>1.767515</v>
      </c>
      <c r="I122" s="73" cm="1">
        <f t="array" ref="I122">0.5*INDEX('[1]12月代理实际分时电量'!I:I,MATCH($A122-7,'[1]12月代理实际分时电量'!$C:$C,0))+0.3*INDEX('[1]12月代理实际分时电量'!I:I,MATCH($A122-14,'[1]12月代理实际分时电量'!$C:$C,0))+0.2*INDEX('[1]12月代理实际分时电量'!I:I,MATCH($A122-21,'[1]12月代理实际分时电量'!$C:$C,0))</f>
        <v>1.719532</v>
      </c>
      <c r="J122" s="73" cm="1">
        <f t="array" ref="J122">0.5*INDEX('[1]12月代理实际分时电量'!J:J,MATCH($A122-7,'[1]12月代理实际分时电量'!$C:$C,0))+0.3*INDEX('[1]12月代理实际分时电量'!J:J,MATCH($A122-14,'[1]12月代理实际分时电量'!$C:$C,0))+0.2*INDEX('[1]12月代理实际分时电量'!J:J,MATCH($A122-21,'[1]12月代理实际分时电量'!$C:$C,0))</f>
        <v>1.717245</v>
      </c>
      <c r="K122" s="73" cm="1">
        <f t="array" ref="K122">0.5*INDEX('[1]12月代理实际分时电量'!K:K,MATCH($A122-7,'[1]12月代理实际分时电量'!$C:$C,0))+0.3*INDEX('[1]12月代理实际分时电量'!K:K,MATCH($A122-14,'[1]12月代理实际分时电量'!$C:$C,0))+0.2*INDEX('[1]12月代理实际分时电量'!K:K,MATCH($A122-21,'[1]12月代理实际分时电量'!$C:$C,0))</f>
        <v>1.65364</v>
      </c>
      <c r="L122" s="73" cm="1">
        <f t="array" ref="L122">0.5*INDEX('[1]12月代理实际分时电量'!L:L,MATCH($A122-7,'[1]12月代理实际分时电量'!$C:$C,0))+0.3*INDEX('[1]12月代理实际分时电量'!L:L,MATCH($A122-14,'[1]12月代理实际分时电量'!$C:$C,0))+0.2*INDEX('[1]12月代理实际分时电量'!L:L,MATCH($A122-21,'[1]12月代理实际分时电量'!$C:$C,0))</f>
        <v>2.028603</v>
      </c>
      <c r="M122" s="73" cm="1">
        <f t="array" ref="M122">0.5*INDEX('[1]12月代理实际分时电量'!M:M,MATCH($A122-7,'[1]12月代理实际分时电量'!$C:$C,0))+0.3*INDEX('[1]12月代理实际分时电量'!M:M,MATCH($A122-14,'[1]12月代理实际分时电量'!$C:$C,0))+0.2*INDEX('[1]12月代理实际分时电量'!M:M,MATCH($A122-21,'[1]12月代理实际分时电量'!$C:$C,0))</f>
        <v>4.00195</v>
      </c>
      <c r="N122" s="73" cm="1">
        <f t="array" ref="N122">0.5*INDEX('[1]12月代理实际分时电量'!N:N,MATCH($A122-7,'[1]12月代理实际分时电量'!$C:$C,0))+0.3*INDEX('[1]12月代理实际分时电量'!N:N,MATCH($A122-14,'[1]12月代理实际分时电量'!$C:$C,0))+0.2*INDEX('[1]12月代理实际分时电量'!N:N,MATCH($A122-21,'[1]12月代理实际分时电量'!$C:$C,0))</f>
        <v>4.283125</v>
      </c>
      <c r="O122" s="73" cm="1">
        <f t="array" ref="O122">0.5*INDEX('[1]12月代理实际分时电量'!O:O,MATCH($A122-7,'[1]12月代理实际分时电量'!$C:$C,0))+0.3*INDEX('[1]12月代理实际分时电量'!O:O,MATCH($A122-14,'[1]12月代理实际分时电量'!$C:$C,0))+0.2*INDEX('[1]12月代理实际分时电量'!O:O,MATCH($A122-21,'[1]12月代理实际分时电量'!$C:$C,0))</f>
        <v>3.631822</v>
      </c>
      <c r="P122" s="73" cm="1">
        <f t="array" ref="P122">0.5*INDEX('[1]12月代理实际分时电量'!P:P,MATCH($A122-7,'[1]12月代理实际分时电量'!$C:$C,0))+0.3*INDEX('[1]12月代理实际分时电量'!P:P,MATCH($A122-14,'[1]12月代理实际分时电量'!$C:$C,0))+0.2*INDEX('[1]12月代理实际分时电量'!P:P,MATCH($A122-21,'[1]12月代理实际分时电量'!$C:$C,0))</f>
        <v>3.404121</v>
      </c>
      <c r="Q122" s="73" cm="1">
        <f t="array" ref="Q122">0.5*INDEX('[1]12月代理实际分时电量'!Q:Q,MATCH($A122-7,'[1]12月代理实际分时电量'!$C:$C,0))+0.3*INDEX('[1]12月代理实际分时电量'!Q:Q,MATCH($A122-14,'[1]12月代理实际分时电量'!$C:$C,0))+0.2*INDEX('[1]12月代理实际分时电量'!Q:Q,MATCH($A122-21,'[1]12月代理实际分时电量'!$C:$C,0))</f>
        <v>2.766372</v>
      </c>
      <c r="R122" s="73" cm="1">
        <f t="array" ref="R122">0.5*INDEX('[1]12月代理实际分时电量'!R:R,MATCH($A122-7,'[1]12月代理实际分时电量'!$C:$C,0))+0.3*INDEX('[1]12月代理实际分时电量'!R:R,MATCH($A122-14,'[1]12月代理实际分时电量'!$C:$C,0))+0.2*INDEX('[1]12月代理实际分时电量'!R:R,MATCH($A122-21,'[1]12月代理实际分时电量'!$C:$C,0))</f>
        <v>3.35405</v>
      </c>
      <c r="S122" s="73" cm="1">
        <f t="array" ref="S122">0.5*INDEX('[1]12月代理实际分时电量'!S:S,MATCH($A122-7,'[1]12月代理实际分时电量'!$C:$C,0))+0.3*INDEX('[1]12月代理实际分时电量'!S:S,MATCH($A122-14,'[1]12月代理实际分时电量'!$C:$C,0))+0.2*INDEX('[1]12月代理实际分时电量'!S:S,MATCH($A122-21,'[1]12月代理实际分时电量'!$C:$C,0))</f>
        <v>4.036443</v>
      </c>
      <c r="T122" s="73" cm="1">
        <f t="array" ref="T122">0.5*INDEX('[1]12月代理实际分时电量'!T:T,MATCH($A122-7,'[1]12月代理实际分时电量'!$C:$C,0))+0.3*INDEX('[1]12月代理实际分时电量'!T:T,MATCH($A122-14,'[1]12月代理实际分时电量'!$C:$C,0))+0.2*INDEX('[1]12月代理实际分时电量'!T:T,MATCH($A122-21,'[1]12月代理实际分时电量'!$C:$C,0))</f>
        <v>3.841989</v>
      </c>
      <c r="U122" s="73" cm="1">
        <f t="array" ref="U122">0.5*INDEX('[1]12月代理实际分时电量'!U:U,MATCH($A122-7,'[1]12月代理实际分时电量'!$C:$C,0))+0.3*INDEX('[1]12月代理实际分时电量'!U:U,MATCH($A122-14,'[1]12月代理实际分时电量'!$C:$C,0))+0.2*INDEX('[1]12月代理实际分时电量'!U:U,MATCH($A122-21,'[1]12月代理实际分时电量'!$C:$C,0))</f>
        <v>4.057748</v>
      </c>
      <c r="V122" s="73" cm="1">
        <f t="array" ref="V122">0.5*INDEX('[1]12月代理实际分时电量'!V:V,MATCH($A122-7,'[1]12月代理实际分时电量'!$C:$C,0))+0.3*INDEX('[1]12月代理实际分时电量'!V:V,MATCH($A122-14,'[1]12月代理实际分时电量'!$C:$C,0))+0.2*INDEX('[1]12月代理实际分时电量'!V:V,MATCH($A122-21,'[1]12月代理实际分时电量'!$C:$C,0))</f>
        <v>3.847562</v>
      </c>
      <c r="W122" s="73" cm="1">
        <f t="array" ref="W122">0.5*INDEX('[1]12月代理实际分时电量'!W:W,MATCH($A122-7,'[1]12月代理实际分时电量'!$C:$C,0))+0.3*INDEX('[1]12月代理实际分时电量'!W:W,MATCH($A122-14,'[1]12月代理实际分时电量'!$C:$C,0))+0.2*INDEX('[1]12月代理实际分时电量'!W:W,MATCH($A122-21,'[1]12月代理实际分时电量'!$C:$C,0))</f>
        <v>3.438526</v>
      </c>
      <c r="X122" s="73" cm="1">
        <f t="array" ref="X122">0.5*INDEX('[1]12月代理实际分时电量'!X:X,MATCH($A122-7,'[1]12月代理实际分时电量'!$C:$C,0))+0.3*INDEX('[1]12月代理实际分时电量'!X:X,MATCH($A122-14,'[1]12月代理实际分时电量'!$C:$C,0))+0.2*INDEX('[1]12月代理实际分时电量'!X:X,MATCH($A122-21,'[1]12月代理实际分时电量'!$C:$C,0))</f>
        <v>3.655935</v>
      </c>
      <c r="Y122" s="73" cm="1">
        <f t="array" ref="Y122">0.5*INDEX('[1]12月代理实际分时电量'!Y:Y,MATCH($A122-7,'[1]12月代理实际分时电量'!$C:$C,0))+0.3*INDEX('[1]12月代理实际分时电量'!Y:Y,MATCH($A122-14,'[1]12月代理实际分时电量'!$C:$C,0))+0.2*INDEX('[1]12月代理实际分时电量'!Y:Y,MATCH($A122-21,'[1]12月代理实际分时电量'!$C:$C,0))</f>
        <v>3.152615</v>
      </c>
      <c r="Z122" s="73" cm="1">
        <f t="array" ref="Z122">0.5*INDEX('[1]12月代理实际分时电量'!Z:Z,MATCH($A122-7,'[1]12月代理实际分时电量'!$C:$C,0))+0.3*INDEX('[1]12月代理实际分时电量'!Z:Z,MATCH($A122-14,'[1]12月代理实际分时电量'!$C:$C,0))+0.2*INDEX('[1]12月代理实际分时电量'!Z:Z,MATCH($A122-21,'[1]12月代理实际分时电量'!$C:$C,0))</f>
        <v>2.555765</v>
      </c>
      <c r="AA122" s="73" cm="1">
        <f t="array" ref="AA122">0.5*INDEX('[1]12月代理实际分时电量'!AA:AA,MATCH($A122-7,'[1]12月代理实际分时电量'!$C:$C,0))+0.3*INDEX('[1]12月代理实际分时电量'!AA:AA,MATCH($A122-14,'[1]12月代理实际分时电量'!$C:$C,0))+0.2*INDEX('[1]12月代理实际分时电量'!AA:AA,MATCH($A122-21,'[1]12月代理实际分时电量'!$C:$C,0))</f>
        <v>1.947182</v>
      </c>
      <c r="AB122" s="73" cm="1">
        <f t="array" ref="AB122">0.5*INDEX('[1]12月代理实际分时电量'!AB:AB,MATCH($A122-7,'[1]12月代理实际分时电量'!$C:$C,0))+0.3*INDEX('[1]12月代理实际分时电量'!AB:AB,MATCH($A122-14,'[1]12月代理实际分时电量'!$C:$C,0))+0.2*INDEX('[1]12月代理实际分时电量'!AB:AB,MATCH($A122-21,'[1]12月代理实际分时电量'!$C:$C,0))</f>
        <v>1.777505</v>
      </c>
      <c r="AC122" s="81"/>
    </row>
    <row r="123" spans="1:29">
      <c r="A123" s="4"/>
      <c r="B123" s="68"/>
      <c r="C123" s="2" t="s">
        <v>35</v>
      </c>
      <c r="D123" s="3">
        <f>D124/D122</f>
        <v>0.948166998319057</v>
      </c>
      <c r="E123" s="85">
        <v>0.9</v>
      </c>
      <c r="F123" s="85">
        <v>1</v>
      </c>
      <c r="G123" s="85">
        <v>0.9</v>
      </c>
      <c r="H123" s="85">
        <v>0.9</v>
      </c>
      <c r="I123" s="85">
        <v>0.9</v>
      </c>
      <c r="J123" s="85">
        <v>1.1</v>
      </c>
      <c r="K123" s="85">
        <v>0.95</v>
      </c>
      <c r="L123" s="85">
        <v>1.1</v>
      </c>
      <c r="M123" s="85">
        <v>1.2</v>
      </c>
      <c r="N123" s="85">
        <v>1.1</v>
      </c>
      <c r="O123" s="85">
        <v>1.1</v>
      </c>
      <c r="P123" s="85">
        <v>0.9</v>
      </c>
      <c r="Q123" s="85">
        <v>0.9</v>
      </c>
      <c r="R123" s="85">
        <v>0.8</v>
      </c>
      <c r="S123" s="85">
        <v>0.8</v>
      </c>
      <c r="T123" s="85">
        <v>0.8</v>
      </c>
      <c r="U123" s="85">
        <v>1.1</v>
      </c>
      <c r="V123" s="85">
        <v>1.1</v>
      </c>
      <c r="W123" s="85">
        <v>1</v>
      </c>
      <c r="X123" s="85">
        <v>0.8</v>
      </c>
      <c r="Y123" s="85">
        <v>0.8</v>
      </c>
      <c r="Z123" s="85">
        <v>0.8</v>
      </c>
      <c r="AA123" s="85">
        <v>0.7</v>
      </c>
      <c r="AB123" s="85">
        <v>0.9</v>
      </c>
      <c r="AC123" s="81"/>
    </row>
    <row r="124" spans="1:29">
      <c r="A124" s="4"/>
      <c r="B124" s="68"/>
      <c r="C124" s="2" t="s">
        <v>36</v>
      </c>
      <c r="D124" s="3">
        <f>SUM(E124:AB124)</f>
        <v>64.42</v>
      </c>
      <c r="E124" s="13">
        <f t="shared" ref="E124:AB124" si="48">ROUND(E122*E123,3)</f>
        <v>1.578</v>
      </c>
      <c r="F124" s="13">
        <f t="shared" si="48"/>
        <v>1.801</v>
      </c>
      <c r="G124" s="13">
        <f t="shared" si="48"/>
        <v>1.573</v>
      </c>
      <c r="H124" s="13">
        <f t="shared" si="48"/>
        <v>1.591</v>
      </c>
      <c r="I124" s="13">
        <f t="shared" si="48"/>
        <v>1.548</v>
      </c>
      <c r="J124" s="13">
        <f t="shared" si="48"/>
        <v>1.889</v>
      </c>
      <c r="K124" s="13">
        <f t="shared" si="48"/>
        <v>1.571</v>
      </c>
      <c r="L124" s="13">
        <f t="shared" si="48"/>
        <v>2.231</v>
      </c>
      <c r="M124" s="13">
        <f t="shared" si="48"/>
        <v>4.802</v>
      </c>
      <c r="N124" s="13">
        <f t="shared" si="48"/>
        <v>4.711</v>
      </c>
      <c r="O124" s="13">
        <f t="shared" si="48"/>
        <v>3.995</v>
      </c>
      <c r="P124" s="13">
        <f t="shared" si="48"/>
        <v>3.064</v>
      </c>
      <c r="Q124" s="13">
        <f t="shared" si="48"/>
        <v>2.49</v>
      </c>
      <c r="R124" s="13">
        <f t="shared" si="48"/>
        <v>2.683</v>
      </c>
      <c r="S124" s="13">
        <f t="shared" si="48"/>
        <v>3.229</v>
      </c>
      <c r="T124" s="13">
        <f t="shared" si="48"/>
        <v>3.074</v>
      </c>
      <c r="U124" s="13">
        <f t="shared" si="48"/>
        <v>4.464</v>
      </c>
      <c r="V124" s="13">
        <f t="shared" si="48"/>
        <v>4.232</v>
      </c>
      <c r="W124" s="13">
        <f t="shared" si="48"/>
        <v>3.439</v>
      </c>
      <c r="X124" s="13">
        <f t="shared" si="48"/>
        <v>2.925</v>
      </c>
      <c r="Y124" s="13">
        <f t="shared" si="48"/>
        <v>2.522</v>
      </c>
      <c r="Z124" s="13">
        <f t="shared" si="48"/>
        <v>2.045</v>
      </c>
      <c r="AA124" s="13">
        <f t="shared" si="48"/>
        <v>1.363</v>
      </c>
      <c r="AB124" s="13">
        <f t="shared" si="48"/>
        <v>1.6</v>
      </c>
      <c r="AC124" s="81"/>
    </row>
    <row r="125" ht="17" spans="1:29">
      <c r="A125" s="4"/>
      <c r="B125" s="68"/>
      <c r="C125" s="66" t="s">
        <v>37</v>
      </c>
      <c r="D125" s="3">
        <f>SUM(E125:AB125)</f>
        <v>69.6918</v>
      </c>
      <c r="E125" s="13">
        <v>1.7725</v>
      </c>
      <c r="F125" s="13">
        <v>1.6885</v>
      </c>
      <c r="G125" s="13">
        <v>1.7727</v>
      </c>
      <c r="H125" s="13">
        <v>1.771</v>
      </c>
      <c r="I125" s="13">
        <v>1.7884</v>
      </c>
      <c r="J125" s="13">
        <v>1.7019</v>
      </c>
      <c r="K125" s="13">
        <v>1.709</v>
      </c>
      <c r="L125" s="13">
        <v>2.0755</v>
      </c>
      <c r="M125" s="13">
        <v>4.1571</v>
      </c>
      <c r="N125" s="13">
        <v>4.5124</v>
      </c>
      <c r="O125" s="13">
        <v>3.932</v>
      </c>
      <c r="P125" s="13">
        <v>3.7706</v>
      </c>
      <c r="Q125" s="13">
        <v>3.088</v>
      </c>
      <c r="R125" s="13">
        <v>3.7258</v>
      </c>
      <c r="S125" s="13">
        <v>4.1207</v>
      </c>
      <c r="T125" s="13">
        <v>3.8948</v>
      </c>
      <c r="U125" s="13">
        <v>4.0013</v>
      </c>
      <c r="V125" s="13">
        <v>3.8048</v>
      </c>
      <c r="W125" s="13">
        <v>3.4271</v>
      </c>
      <c r="X125" s="13">
        <v>3.7192</v>
      </c>
      <c r="Y125" s="13">
        <v>3.0564</v>
      </c>
      <c r="Z125" s="13">
        <v>2.5827</v>
      </c>
      <c r="AA125" s="13">
        <v>1.9445</v>
      </c>
      <c r="AB125" s="13">
        <v>1.6749</v>
      </c>
      <c r="AC125" s="81"/>
    </row>
    <row r="126" spans="1:29">
      <c r="A126" s="69"/>
      <c r="B126" s="68"/>
      <c r="C126" s="64" t="s">
        <v>38</v>
      </c>
      <c r="D126" s="70">
        <f>D125/D122</f>
        <v>1.02576008713834</v>
      </c>
      <c r="E126" s="76">
        <f t="shared" ref="E126:AB126" si="49">1-ABS(E122-E125)/E125</f>
        <v>0.989156558533145</v>
      </c>
      <c r="F126" s="76">
        <f t="shared" si="49"/>
        <v>0.933400651465798</v>
      </c>
      <c r="G126" s="76">
        <f t="shared" si="49"/>
        <v>0.986145427878378</v>
      </c>
      <c r="H126" s="76">
        <f t="shared" si="49"/>
        <v>0.998032185206098</v>
      </c>
      <c r="I126" s="76">
        <f t="shared" si="49"/>
        <v>0.961491836278238</v>
      </c>
      <c r="J126" s="76">
        <f t="shared" si="49"/>
        <v>0.990983606557377</v>
      </c>
      <c r="K126" s="76">
        <f t="shared" si="49"/>
        <v>0.967606787595085</v>
      </c>
      <c r="L126" s="76">
        <f t="shared" si="49"/>
        <v>0.977404480847988</v>
      </c>
      <c r="M126" s="76">
        <f t="shared" si="49"/>
        <v>0.962678309398379</v>
      </c>
      <c r="N126" s="76">
        <f t="shared" si="49"/>
        <v>0.949190009750909</v>
      </c>
      <c r="O126" s="76">
        <f t="shared" si="49"/>
        <v>0.923657680569685</v>
      </c>
      <c r="P126" s="76">
        <f t="shared" si="49"/>
        <v>0.902806184692091</v>
      </c>
      <c r="Q126" s="76">
        <f t="shared" si="49"/>
        <v>0.89584585492228</v>
      </c>
      <c r="R126" s="76">
        <f t="shared" si="49"/>
        <v>0.900222770948521</v>
      </c>
      <c r="S126" s="76">
        <f t="shared" si="49"/>
        <v>0.979552745892688</v>
      </c>
      <c r="T126" s="76">
        <f t="shared" si="49"/>
        <v>0.986440638800452</v>
      </c>
      <c r="U126" s="76">
        <f t="shared" si="49"/>
        <v>0.985892584909904</v>
      </c>
      <c r="V126" s="76">
        <f t="shared" si="49"/>
        <v>0.988761038687973</v>
      </c>
      <c r="W126" s="76">
        <f t="shared" si="49"/>
        <v>0.996665985818914</v>
      </c>
      <c r="X126" s="76">
        <f t="shared" si="49"/>
        <v>0.982989621423962</v>
      </c>
      <c r="Y126" s="76">
        <f t="shared" si="49"/>
        <v>0.968520154430048</v>
      </c>
      <c r="Z126" s="76">
        <f t="shared" si="49"/>
        <v>0.98957099159794</v>
      </c>
      <c r="AA126" s="76">
        <f t="shared" si="49"/>
        <v>0.998620725122139</v>
      </c>
      <c r="AB126" s="76">
        <f t="shared" si="49"/>
        <v>0.938739626246343</v>
      </c>
      <c r="AC126" s="81"/>
    </row>
    <row r="127" spans="1:29">
      <c r="A127" s="4">
        <v>46017</v>
      </c>
      <c r="B127" s="67"/>
      <c r="C127" s="2" t="s">
        <v>33</v>
      </c>
      <c r="D127" s="3">
        <f>SUM(E127:AB127)</f>
        <v>63.143855</v>
      </c>
      <c r="E127" s="73" cm="1">
        <f t="array" ref="E127">0.5*INDEX('[1]12月代理实际分时电量'!E:E,MATCH($A127-7,'[1]12月代理实际分时电量'!$C:$C,0))+0.3*INDEX('[1]12月代理实际分时电量'!E:E,MATCH($A127-14,'[1]12月代理实际分时电量'!$C:$C,0))+0.2*INDEX('[1]12月代理实际分时电量'!E:E,MATCH($A127-21,'[1]12月代理实际分时电量'!$C:$C,0))</f>
        <v>1.635533</v>
      </c>
      <c r="F127" s="73" cm="1">
        <f t="array" ref="F127">0.5*INDEX('[1]12月代理实际分时电量'!F:F,MATCH($A127-7,'[1]12月代理实际分时电量'!$C:$C,0))+0.3*INDEX('[1]12月代理实际分时电量'!F:F,MATCH($A127-14,'[1]12月代理实际分时电量'!$C:$C,0))+0.2*INDEX('[1]12月代理实际分时电量'!F:F,MATCH($A127-21,'[1]12月代理实际分时电量'!$C:$C,0))</f>
        <v>1.636245</v>
      </c>
      <c r="G127" s="73" cm="1">
        <f t="array" ref="G127">0.5*INDEX('[1]12月代理实际分时电量'!G:G,MATCH($A127-7,'[1]12月代理实际分时电量'!$C:$C,0))+0.3*INDEX('[1]12月代理实际分时电量'!G:G,MATCH($A127-14,'[1]12月代理实际分时电量'!$C:$C,0))+0.2*INDEX('[1]12月代理实际分时电量'!G:G,MATCH($A127-21,'[1]12月代理实际分时电量'!$C:$C,0))</f>
        <v>1.636277</v>
      </c>
      <c r="H127" s="73" cm="1">
        <f t="array" ref="H127">0.5*INDEX('[1]12月代理实际分时电量'!H:H,MATCH($A127-7,'[1]12月代理实际分时电量'!$C:$C,0))+0.3*INDEX('[1]12月代理实际分时电量'!H:H,MATCH($A127-14,'[1]12月代理实际分时电量'!$C:$C,0))+0.2*INDEX('[1]12月代理实际分时电量'!H:H,MATCH($A127-21,'[1]12月代理实际分时电量'!$C:$C,0))</f>
        <v>1.563875</v>
      </c>
      <c r="I127" s="73" cm="1">
        <f t="array" ref="I127">0.5*INDEX('[1]12月代理实际分时电量'!I:I,MATCH($A127-7,'[1]12月代理实际分时电量'!$C:$C,0))+0.3*INDEX('[1]12月代理实际分时电量'!I:I,MATCH($A127-14,'[1]12月代理实际分时电量'!$C:$C,0))+0.2*INDEX('[1]12月代理实际分时电量'!I:I,MATCH($A127-21,'[1]12月代理实际分时电量'!$C:$C,0))</f>
        <v>1.549685</v>
      </c>
      <c r="J127" s="73" cm="1">
        <f t="array" ref="J127">0.5*INDEX('[1]12月代理实际分时电量'!J:J,MATCH($A127-7,'[1]12月代理实际分时电量'!$C:$C,0))+0.3*INDEX('[1]12月代理实际分时电量'!J:J,MATCH($A127-14,'[1]12月代理实际分时电量'!$C:$C,0))+0.2*INDEX('[1]12月代理实际分时电量'!J:J,MATCH($A127-21,'[1]12月代理实际分时电量'!$C:$C,0))</f>
        <v>1.589473</v>
      </c>
      <c r="K127" s="73" cm="1">
        <f t="array" ref="K127">0.5*INDEX('[1]12月代理实际分时电量'!K:K,MATCH($A127-7,'[1]12月代理实际分时电量'!$C:$C,0))+0.3*INDEX('[1]12月代理实际分时电量'!K:K,MATCH($A127-14,'[1]12月代理实际分时电量'!$C:$C,0))+0.2*INDEX('[1]12月代理实际分时电量'!K:K,MATCH($A127-21,'[1]12月代理实际分时电量'!$C:$C,0))</f>
        <v>1.52707</v>
      </c>
      <c r="L127" s="73" cm="1">
        <f t="array" ref="L127">0.5*INDEX('[1]12月代理实际分时电量'!L:L,MATCH($A127-7,'[1]12月代理实际分时电量'!$C:$C,0))+0.3*INDEX('[1]12月代理实际分时电量'!L:L,MATCH($A127-14,'[1]12月代理实际分时电量'!$C:$C,0))+0.2*INDEX('[1]12月代理实际分时电量'!L:L,MATCH($A127-21,'[1]12月代理实际分时电量'!$C:$C,0))</f>
        <v>1.933175</v>
      </c>
      <c r="M127" s="73" cm="1">
        <f t="array" ref="M127">0.5*INDEX('[1]12月代理实际分时电量'!M:M,MATCH($A127-7,'[1]12月代理实际分时电量'!$C:$C,0))+0.3*INDEX('[1]12月代理实际分时电量'!M:M,MATCH($A127-14,'[1]12月代理实际分时电量'!$C:$C,0))+0.2*INDEX('[1]12月代理实际分时电量'!M:M,MATCH($A127-21,'[1]12月代理实际分时电量'!$C:$C,0))</f>
        <v>3.731695</v>
      </c>
      <c r="N127" s="73" cm="1">
        <f t="array" ref="N127">0.5*INDEX('[1]12月代理实际分时电量'!N:N,MATCH($A127-7,'[1]12月代理实际分时电量'!$C:$C,0))+0.3*INDEX('[1]12月代理实际分时电量'!N:N,MATCH($A127-14,'[1]12月代理实际分时电量'!$C:$C,0))+0.2*INDEX('[1]12月代理实际分时电量'!N:N,MATCH($A127-21,'[1]12月代理实际分时电量'!$C:$C,0))</f>
        <v>3.888219</v>
      </c>
      <c r="O127" s="73" cm="1">
        <f t="array" ref="O127">0.5*INDEX('[1]12月代理实际分时电量'!O:O,MATCH($A127-7,'[1]12月代理实际分时电量'!$C:$C,0))+0.3*INDEX('[1]12月代理实际分时电量'!O:O,MATCH($A127-14,'[1]12月代理实际分时电量'!$C:$C,0))+0.2*INDEX('[1]12月代理实际分时电量'!O:O,MATCH($A127-21,'[1]12月代理实际分时电量'!$C:$C,0))</f>
        <v>3.471819</v>
      </c>
      <c r="P127" s="73" cm="1">
        <f t="array" ref="P127">0.5*INDEX('[1]12月代理实际分时电量'!P:P,MATCH($A127-7,'[1]12月代理实际分时电量'!$C:$C,0))+0.3*INDEX('[1]12月代理实际分时电量'!P:P,MATCH($A127-14,'[1]12月代理实际分时电量'!$C:$C,0))+0.2*INDEX('[1]12月代理实际分时电量'!P:P,MATCH($A127-21,'[1]12月代理实际分时电量'!$C:$C,0))</f>
        <v>3.349316</v>
      </c>
      <c r="Q127" s="73" cm="1">
        <f t="array" ref="Q127">0.5*INDEX('[1]12月代理实际分时电量'!Q:Q,MATCH($A127-7,'[1]12月代理实际分时电量'!$C:$C,0))+0.3*INDEX('[1]12月代理实际分时电量'!Q:Q,MATCH($A127-14,'[1]12月代理实际分时电量'!$C:$C,0))+0.2*INDEX('[1]12月代理实际分时电量'!Q:Q,MATCH($A127-21,'[1]12月代理实际分时电量'!$C:$C,0))</f>
        <v>2.56587</v>
      </c>
      <c r="R127" s="73" cm="1">
        <f t="array" ref="R127">0.5*INDEX('[1]12月代理实际分时电量'!R:R,MATCH($A127-7,'[1]12月代理实际分时电量'!$C:$C,0))+0.3*INDEX('[1]12月代理实际分时电量'!R:R,MATCH($A127-14,'[1]12月代理实际分时电量'!$C:$C,0))+0.2*INDEX('[1]12月代理实际分时电量'!R:R,MATCH($A127-21,'[1]12月代理实际分时电量'!$C:$C,0))</f>
        <v>3.063118</v>
      </c>
      <c r="S127" s="73" cm="1">
        <f t="array" ref="S127">0.5*INDEX('[1]12月代理实际分时电量'!S:S,MATCH($A127-7,'[1]12月代理实际分时电量'!$C:$C,0))+0.3*INDEX('[1]12月代理实际分时电量'!S:S,MATCH($A127-14,'[1]12月代理实际分时电量'!$C:$C,0))+0.2*INDEX('[1]12月代理实际分时电量'!S:S,MATCH($A127-21,'[1]12月代理实际分时电量'!$C:$C,0))</f>
        <v>3.722244</v>
      </c>
      <c r="T127" s="73" cm="1">
        <f t="array" ref="T127">0.5*INDEX('[1]12月代理实际分时电量'!T:T,MATCH($A127-7,'[1]12月代理实际分时电量'!$C:$C,0))+0.3*INDEX('[1]12月代理实际分时电量'!T:T,MATCH($A127-14,'[1]12月代理实际分时电量'!$C:$C,0))+0.2*INDEX('[1]12月代理实际分时电量'!T:T,MATCH($A127-21,'[1]12月代理实际分时电量'!$C:$C,0))</f>
        <v>3.614727</v>
      </c>
      <c r="U127" s="73" cm="1">
        <f t="array" ref="U127">0.5*INDEX('[1]12月代理实际分时电量'!U:U,MATCH($A127-7,'[1]12月代理实际分时电量'!$C:$C,0))+0.3*INDEX('[1]12月代理实际分时电量'!U:U,MATCH($A127-14,'[1]12月代理实际分时电量'!$C:$C,0))+0.2*INDEX('[1]12月代理实际分时电量'!U:U,MATCH($A127-21,'[1]12月代理实际分时电量'!$C:$C,0))</f>
        <v>3.694616</v>
      </c>
      <c r="V127" s="73" cm="1">
        <f t="array" ref="V127">0.5*INDEX('[1]12月代理实际分时电量'!V:V,MATCH($A127-7,'[1]12月代理实际分时电量'!$C:$C,0))+0.3*INDEX('[1]12月代理实际分时电量'!V:V,MATCH($A127-14,'[1]12月代理实际分时电量'!$C:$C,0))+0.2*INDEX('[1]12月代理实际分时电量'!V:V,MATCH($A127-21,'[1]12月代理实际分时电量'!$C:$C,0))</f>
        <v>3.557796</v>
      </c>
      <c r="W127" s="73" cm="1">
        <f t="array" ref="W127">0.5*INDEX('[1]12月代理实际分时电量'!W:W,MATCH($A127-7,'[1]12月代理实际分时电量'!$C:$C,0))+0.3*INDEX('[1]12月代理实际分时电量'!W:W,MATCH($A127-14,'[1]12月代理实际分时电量'!$C:$C,0))+0.2*INDEX('[1]12月代理实际分时电量'!W:W,MATCH($A127-21,'[1]12月代理实际分时电量'!$C:$C,0))</f>
        <v>3.184105</v>
      </c>
      <c r="X127" s="73" cm="1">
        <f t="array" ref="X127">0.5*INDEX('[1]12月代理实际分时电量'!X:X,MATCH($A127-7,'[1]12月代理实际分时电量'!$C:$C,0))+0.3*INDEX('[1]12月代理实际分时电量'!X:X,MATCH($A127-14,'[1]12月代理实际分时电量'!$C:$C,0))+0.2*INDEX('[1]12月代理实际分时电量'!X:X,MATCH($A127-21,'[1]12月代理实际分时电量'!$C:$C,0))</f>
        <v>3.339847</v>
      </c>
      <c r="Y127" s="73" cm="1">
        <f t="array" ref="Y127">0.5*INDEX('[1]12月代理实际分时电量'!Y:Y,MATCH($A127-7,'[1]12月代理实际分时电量'!$C:$C,0))+0.3*INDEX('[1]12月代理实际分时电量'!Y:Y,MATCH($A127-14,'[1]12月代理实际分时电量'!$C:$C,0))+0.2*INDEX('[1]12月代理实际分时电量'!Y:Y,MATCH($A127-21,'[1]12月代理实际分时电量'!$C:$C,0))</f>
        <v>2.977145</v>
      </c>
      <c r="Z127" s="73" cm="1">
        <f t="array" ref="Z127">0.5*INDEX('[1]12月代理实际分时电量'!Z:Z,MATCH($A127-7,'[1]12月代理实际分时电量'!$C:$C,0))+0.3*INDEX('[1]12月代理实际分时电量'!Z:Z,MATCH($A127-14,'[1]12月代理实际分时电量'!$C:$C,0))+0.2*INDEX('[1]12月代理实际分时电量'!Z:Z,MATCH($A127-21,'[1]12月代理实际分时电量'!$C:$C,0))</f>
        <v>2.424145</v>
      </c>
      <c r="AA127" s="73" cm="1">
        <f t="array" ref="AA127">0.5*INDEX('[1]12月代理实际分时电量'!AA:AA,MATCH($A127-7,'[1]12月代理实际分时电量'!$C:$C,0))+0.3*INDEX('[1]12月代理实际分时电量'!AA:AA,MATCH($A127-14,'[1]12月代理实际分时电量'!$C:$C,0))+0.2*INDEX('[1]12月代理实际分时电量'!AA:AA,MATCH($A127-21,'[1]12月代理实际分时电量'!$C:$C,0))</f>
        <v>1.876215</v>
      </c>
      <c r="AB127" s="73" cm="1">
        <f t="array" ref="AB127">0.5*INDEX('[1]12月代理实际分时电量'!AB:AB,MATCH($A127-7,'[1]12月代理实际分时电量'!$C:$C,0))+0.3*INDEX('[1]12月代理实际分时电量'!AB:AB,MATCH($A127-14,'[1]12月代理实际分时电量'!$C:$C,0))+0.2*INDEX('[1]12月代理实际分时电量'!AB:AB,MATCH($A127-21,'[1]12月代理实际分时电量'!$C:$C,0))</f>
        <v>1.611645</v>
      </c>
      <c r="AC127" s="81"/>
    </row>
    <row r="128" spans="1:29">
      <c r="A128" s="4"/>
      <c r="B128" s="68"/>
      <c r="C128" s="2" t="s">
        <v>35</v>
      </c>
      <c r="D128" s="3">
        <f>D129/D127</f>
        <v>0.890728005124172</v>
      </c>
      <c r="E128" s="85">
        <v>0.9</v>
      </c>
      <c r="F128" s="85">
        <v>1</v>
      </c>
      <c r="G128" s="85">
        <v>0.9</v>
      </c>
      <c r="H128" s="85">
        <v>0.9</v>
      </c>
      <c r="I128" s="85">
        <v>1</v>
      </c>
      <c r="J128" s="85">
        <v>0.9</v>
      </c>
      <c r="K128" s="85">
        <v>0.9</v>
      </c>
      <c r="L128" s="85">
        <v>0.8</v>
      </c>
      <c r="M128" s="85">
        <v>1.1</v>
      </c>
      <c r="N128" s="85">
        <v>0.9</v>
      </c>
      <c r="O128" s="85">
        <v>0.8</v>
      </c>
      <c r="P128" s="85">
        <v>0.8</v>
      </c>
      <c r="Q128" s="85">
        <v>0.8</v>
      </c>
      <c r="R128" s="85">
        <v>0.8</v>
      </c>
      <c r="S128" s="85">
        <v>0.8</v>
      </c>
      <c r="T128" s="85">
        <v>0.9</v>
      </c>
      <c r="U128" s="85">
        <v>0.9</v>
      </c>
      <c r="V128" s="85">
        <v>1.1</v>
      </c>
      <c r="W128" s="85">
        <v>0.9</v>
      </c>
      <c r="X128" s="85">
        <v>0.8</v>
      </c>
      <c r="Y128" s="85">
        <v>0.8</v>
      </c>
      <c r="Z128" s="85">
        <v>0.8</v>
      </c>
      <c r="AA128" s="85">
        <v>0.9</v>
      </c>
      <c r="AB128" s="85">
        <v>1.1</v>
      </c>
      <c r="AC128" s="81"/>
    </row>
    <row r="129" spans="1:29">
      <c r="A129" s="4"/>
      <c r="B129" s="68"/>
      <c r="C129" s="2" t="s">
        <v>36</v>
      </c>
      <c r="D129" s="3">
        <f>SUM(E129:AB129)</f>
        <v>56.244</v>
      </c>
      <c r="E129" s="13">
        <f t="shared" ref="E129:AB129" si="50">ROUND(E127*E128,3)</f>
        <v>1.472</v>
      </c>
      <c r="F129" s="13">
        <f t="shared" si="50"/>
        <v>1.636</v>
      </c>
      <c r="G129" s="13">
        <f t="shared" si="50"/>
        <v>1.473</v>
      </c>
      <c r="H129" s="13">
        <f t="shared" si="50"/>
        <v>1.407</v>
      </c>
      <c r="I129" s="13">
        <f t="shared" si="50"/>
        <v>1.55</v>
      </c>
      <c r="J129" s="13">
        <f t="shared" si="50"/>
        <v>1.431</v>
      </c>
      <c r="K129" s="13">
        <f t="shared" si="50"/>
        <v>1.374</v>
      </c>
      <c r="L129" s="13">
        <f t="shared" si="50"/>
        <v>1.547</v>
      </c>
      <c r="M129" s="13">
        <f t="shared" si="50"/>
        <v>4.105</v>
      </c>
      <c r="N129" s="13">
        <f t="shared" si="50"/>
        <v>3.499</v>
      </c>
      <c r="O129" s="13">
        <f t="shared" si="50"/>
        <v>2.777</v>
      </c>
      <c r="P129" s="13">
        <f t="shared" si="50"/>
        <v>2.679</v>
      </c>
      <c r="Q129" s="13">
        <f t="shared" si="50"/>
        <v>2.053</v>
      </c>
      <c r="R129" s="13">
        <f t="shared" si="50"/>
        <v>2.45</v>
      </c>
      <c r="S129" s="13">
        <f t="shared" si="50"/>
        <v>2.978</v>
      </c>
      <c r="T129" s="13">
        <f t="shared" si="50"/>
        <v>3.253</v>
      </c>
      <c r="U129" s="13">
        <f t="shared" si="50"/>
        <v>3.325</v>
      </c>
      <c r="V129" s="13">
        <f t="shared" si="50"/>
        <v>3.914</v>
      </c>
      <c r="W129" s="13">
        <f t="shared" si="50"/>
        <v>2.866</v>
      </c>
      <c r="X129" s="13">
        <f t="shared" si="50"/>
        <v>2.672</v>
      </c>
      <c r="Y129" s="13">
        <f t="shared" si="50"/>
        <v>2.382</v>
      </c>
      <c r="Z129" s="13">
        <f t="shared" si="50"/>
        <v>1.939</v>
      </c>
      <c r="AA129" s="13">
        <f t="shared" si="50"/>
        <v>1.689</v>
      </c>
      <c r="AB129" s="13">
        <f t="shared" si="50"/>
        <v>1.773</v>
      </c>
      <c r="AC129" s="81"/>
    </row>
    <row r="130" ht="17" spans="1:29">
      <c r="A130" s="4"/>
      <c r="B130" s="68"/>
      <c r="C130" s="66" t="s">
        <v>37</v>
      </c>
      <c r="D130" s="3">
        <f>SUM(E130:AB130)</f>
        <v>68.8664</v>
      </c>
      <c r="E130" s="13">
        <v>1.6789</v>
      </c>
      <c r="F130" s="13">
        <v>1.6041</v>
      </c>
      <c r="G130" s="13">
        <v>1.6788</v>
      </c>
      <c r="H130" s="13">
        <v>1.6366</v>
      </c>
      <c r="I130" s="13">
        <v>1.6497</v>
      </c>
      <c r="J130" s="13">
        <v>1.682</v>
      </c>
      <c r="K130" s="13">
        <v>1.6832</v>
      </c>
      <c r="L130" s="13">
        <v>2.1012</v>
      </c>
      <c r="M130" s="13">
        <v>4.1755</v>
      </c>
      <c r="N130" s="13">
        <v>4.5612</v>
      </c>
      <c r="O130" s="13">
        <v>3.9498</v>
      </c>
      <c r="P130" s="13">
        <v>3.727</v>
      </c>
      <c r="Q130" s="13">
        <v>3.1096</v>
      </c>
      <c r="R130" s="13">
        <v>3.6996</v>
      </c>
      <c r="S130" s="13">
        <v>4.2404</v>
      </c>
      <c r="T130" s="13">
        <v>4.0832</v>
      </c>
      <c r="U130" s="13">
        <v>4.0606</v>
      </c>
      <c r="V130" s="13">
        <v>3.6774</v>
      </c>
      <c r="W130" s="13">
        <v>3.3302</v>
      </c>
      <c r="X130" s="13">
        <v>3.6571</v>
      </c>
      <c r="Y130" s="13">
        <v>3.1501</v>
      </c>
      <c r="Z130" s="13">
        <v>2.3734</v>
      </c>
      <c r="AA130" s="13">
        <v>1.7701</v>
      </c>
      <c r="AB130" s="13">
        <v>1.5867</v>
      </c>
      <c r="AC130" s="81"/>
    </row>
    <row r="131" spans="1:29">
      <c r="A131" s="69"/>
      <c r="B131" s="68"/>
      <c r="C131" s="64" t="s">
        <v>38</v>
      </c>
      <c r="D131" s="70">
        <f>D130/D127</f>
        <v>1.09062710852861</v>
      </c>
      <c r="E131" s="76">
        <f t="shared" ref="E131:AB131" si="51">1-ABS(E127-E130)/E130</f>
        <v>0.974169396628745</v>
      </c>
      <c r="F131" s="76">
        <f t="shared" si="51"/>
        <v>0.979960725640546</v>
      </c>
      <c r="G131" s="76">
        <f t="shared" si="51"/>
        <v>0.974670598046223</v>
      </c>
      <c r="H131" s="76">
        <f t="shared" si="51"/>
        <v>0.955563363069779</v>
      </c>
      <c r="I131" s="76">
        <f t="shared" si="51"/>
        <v>0.939373825544038</v>
      </c>
      <c r="J131" s="76">
        <f t="shared" si="51"/>
        <v>0.944989892984542</v>
      </c>
      <c r="K131" s="76">
        <f t="shared" si="51"/>
        <v>0.907242157794677</v>
      </c>
      <c r="L131" s="76">
        <f t="shared" si="51"/>
        <v>0.920033790215115</v>
      </c>
      <c r="M131" s="76">
        <f t="shared" si="51"/>
        <v>0.893712130283798</v>
      </c>
      <c r="N131" s="76">
        <f t="shared" si="51"/>
        <v>0.85245527492765</v>
      </c>
      <c r="O131" s="76">
        <f t="shared" si="51"/>
        <v>0.878986024608841</v>
      </c>
      <c r="P131" s="76">
        <f t="shared" si="51"/>
        <v>0.898662731419372</v>
      </c>
      <c r="Q131" s="76">
        <f t="shared" si="51"/>
        <v>0.825144713146385</v>
      </c>
      <c r="R131" s="76">
        <f t="shared" si="51"/>
        <v>0.827959238836631</v>
      </c>
      <c r="S131" s="76">
        <f t="shared" si="51"/>
        <v>0.877804924063768</v>
      </c>
      <c r="T131" s="76">
        <f t="shared" si="51"/>
        <v>0.885268172021944</v>
      </c>
      <c r="U131" s="76">
        <f t="shared" si="51"/>
        <v>0.909869477417131</v>
      </c>
      <c r="V131" s="76">
        <f t="shared" si="51"/>
        <v>0.967475934083864</v>
      </c>
      <c r="W131" s="76">
        <f t="shared" si="51"/>
        <v>0.9561302624467</v>
      </c>
      <c r="X131" s="76">
        <f t="shared" si="51"/>
        <v>0.913250116212299</v>
      </c>
      <c r="Y131" s="76">
        <f t="shared" si="51"/>
        <v>0.945095393797022</v>
      </c>
      <c r="Z131" s="76">
        <f t="shared" si="51"/>
        <v>0.978619280357293</v>
      </c>
      <c r="AA131" s="76">
        <f t="shared" si="51"/>
        <v>0.940051409524886</v>
      </c>
      <c r="AB131" s="76">
        <f t="shared" si="51"/>
        <v>0.984278691624126</v>
      </c>
      <c r="AC131" s="81"/>
    </row>
    <row r="132" spans="1:29">
      <c r="A132" s="4">
        <v>46018</v>
      </c>
      <c r="B132" s="67"/>
      <c r="C132" s="2" t="s">
        <v>33</v>
      </c>
      <c r="D132" s="3">
        <f>SUM(E132:AB132)</f>
        <v>65.824439</v>
      </c>
      <c r="E132" s="73" cm="1">
        <f t="array" ref="E132">0.5*INDEX('[1]12月代理实际分时电量'!E:E,MATCH($A132-7,'[1]12月代理实际分时电量'!$C:$C,0))+0.3*INDEX('[1]12月代理实际分时电量'!E:E,MATCH($A132-14,'[1]12月代理实际分时电量'!$C:$C,0))+0.2*INDEX('[1]12月代理实际分时电量'!E:E,MATCH($A132-21,'[1]12月代理实际分时电量'!$C:$C,0))</f>
        <v>1.7381</v>
      </c>
      <c r="F132" s="73" cm="1">
        <f t="array" ref="F132">0.5*INDEX('[1]12月代理实际分时电量'!F:F,MATCH($A132-7,'[1]12月代理实际分时电量'!$C:$C,0))+0.3*INDEX('[1]12月代理实际分时电量'!F:F,MATCH($A132-14,'[1]12月代理实际分时电量'!$C:$C,0))+0.2*INDEX('[1]12月代理实际分时电量'!F:F,MATCH($A132-21,'[1]12月代理实际分时电量'!$C:$C,0))</f>
        <v>1.780295</v>
      </c>
      <c r="G132" s="73" cm="1">
        <f t="array" ref="G132">0.5*INDEX('[1]12月代理实际分时电量'!G:G,MATCH($A132-7,'[1]12月代理实际分时电量'!$C:$C,0))+0.3*INDEX('[1]12月代理实际分时电量'!G:G,MATCH($A132-14,'[1]12月代理实际分时电量'!$C:$C,0))+0.2*INDEX('[1]12月代理实际分时电量'!G:G,MATCH($A132-21,'[1]12月代理实际分时电量'!$C:$C,0))</f>
        <v>1.753395</v>
      </c>
      <c r="H132" s="73" cm="1">
        <f t="array" ref="H132">0.5*INDEX('[1]12月代理实际分时电量'!H:H,MATCH($A132-7,'[1]12月代理实际分时电量'!$C:$C,0))+0.3*INDEX('[1]12月代理实际分时电量'!H:H,MATCH($A132-14,'[1]12月代理实际分时电量'!$C:$C,0))+0.2*INDEX('[1]12月代理实际分时电量'!H:H,MATCH($A132-21,'[1]12月代理实际分时电量'!$C:$C,0))</f>
        <v>1.751788</v>
      </c>
      <c r="I132" s="73" cm="1">
        <f t="array" ref="I132">0.5*INDEX('[1]12月代理实际分时电量'!I:I,MATCH($A132-7,'[1]12月代理实际分时电量'!$C:$C,0))+0.3*INDEX('[1]12月代理实际分时电量'!I:I,MATCH($A132-14,'[1]12月代理实际分时电量'!$C:$C,0))+0.2*INDEX('[1]12月代理实际分时电量'!I:I,MATCH($A132-21,'[1]12月代理实际分时电量'!$C:$C,0))</f>
        <v>1.72945</v>
      </c>
      <c r="J132" s="73" cm="1">
        <f t="array" ref="J132">0.5*INDEX('[1]12月代理实际分时电量'!J:J,MATCH($A132-7,'[1]12月代理实际分时电量'!$C:$C,0))+0.3*INDEX('[1]12月代理实际分时电量'!J:J,MATCH($A132-14,'[1]12月代理实际分时电量'!$C:$C,0))+0.2*INDEX('[1]12月代理实际分时电量'!J:J,MATCH($A132-21,'[1]12月代理实际分时电量'!$C:$C,0))</f>
        <v>1.739455</v>
      </c>
      <c r="K132" s="73" cm="1">
        <f t="array" ref="K132">0.5*INDEX('[1]12月代理实际分时电量'!K:K,MATCH($A132-7,'[1]12月代理实际分时电量'!$C:$C,0))+0.3*INDEX('[1]12月代理实际分时电量'!K:K,MATCH($A132-14,'[1]12月代理实际分时电量'!$C:$C,0))+0.2*INDEX('[1]12月代理实际分时电量'!K:K,MATCH($A132-21,'[1]12月代理实际分时电量'!$C:$C,0))</f>
        <v>1.665767</v>
      </c>
      <c r="L132" s="73" cm="1">
        <f t="array" ref="L132">0.5*INDEX('[1]12月代理实际分时电量'!L:L,MATCH($A132-7,'[1]12月代理实际分时电量'!$C:$C,0))+0.3*INDEX('[1]12月代理实际分时电量'!L:L,MATCH($A132-14,'[1]12月代理实际分时电量'!$C:$C,0))+0.2*INDEX('[1]12月代理实际分时电量'!L:L,MATCH($A132-21,'[1]12月代理实际分时电量'!$C:$C,0))</f>
        <v>1.978745</v>
      </c>
      <c r="M132" s="73" cm="1">
        <f t="array" ref="M132">0.5*INDEX('[1]12月代理实际分时电量'!M:M,MATCH($A132-7,'[1]12月代理实际分时电量'!$C:$C,0))+0.3*INDEX('[1]12月代理实际分时电量'!M:M,MATCH($A132-14,'[1]12月代理实际分时电量'!$C:$C,0))+0.2*INDEX('[1]12月代理实际分时电量'!M:M,MATCH($A132-21,'[1]12月代理实际分时电量'!$C:$C,0))</f>
        <v>3.987343</v>
      </c>
      <c r="N132" s="73" cm="1">
        <f t="array" ref="N132">0.5*INDEX('[1]12月代理实际分时电量'!N:N,MATCH($A132-7,'[1]12月代理实际分时电量'!$C:$C,0))+0.3*INDEX('[1]12月代理实际分时电量'!N:N,MATCH($A132-14,'[1]12月代理实际分时电量'!$C:$C,0))+0.2*INDEX('[1]12月代理实际分时电量'!N:N,MATCH($A132-21,'[1]12月代理实际分时电量'!$C:$C,0))</f>
        <v>4.252326</v>
      </c>
      <c r="O132" s="73" cm="1">
        <f t="array" ref="O132">0.5*INDEX('[1]12月代理实际分时电量'!O:O,MATCH($A132-7,'[1]12月代理实际分时电量'!$C:$C,0))+0.3*INDEX('[1]12月代理实际分时电量'!O:O,MATCH($A132-14,'[1]12月代理实际分时电量'!$C:$C,0))+0.2*INDEX('[1]12月代理实际分时电量'!O:O,MATCH($A132-21,'[1]12月代理实际分时电量'!$C:$C,0))</f>
        <v>3.607168</v>
      </c>
      <c r="P132" s="73" cm="1">
        <f t="array" ref="P132">0.5*INDEX('[1]12月代理实际分时电量'!P:P,MATCH($A132-7,'[1]12月代理实际分时电量'!$C:$C,0))+0.3*INDEX('[1]12月代理实际分时电量'!P:P,MATCH($A132-14,'[1]12月代理实际分时电量'!$C:$C,0))+0.2*INDEX('[1]12月代理实际分时电量'!P:P,MATCH($A132-21,'[1]12月代理实际分时电量'!$C:$C,0))</f>
        <v>3.459973</v>
      </c>
      <c r="Q132" s="73" cm="1">
        <f t="array" ref="Q132">0.5*INDEX('[1]12月代理实际分时电量'!Q:Q,MATCH($A132-7,'[1]12月代理实际分时电量'!$C:$C,0))+0.3*INDEX('[1]12月代理实际分时电量'!Q:Q,MATCH($A132-14,'[1]12月代理实际分时电量'!$C:$C,0))+0.2*INDEX('[1]12月代理实际分时电量'!Q:Q,MATCH($A132-21,'[1]12月代理实际分时电量'!$C:$C,0))</f>
        <v>2.840272</v>
      </c>
      <c r="R132" s="73" cm="1">
        <f t="array" ref="R132">0.5*INDEX('[1]12月代理实际分时电量'!R:R,MATCH($A132-7,'[1]12月代理实际分时电量'!$C:$C,0))+0.3*INDEX('[1]12月代理实际分时电量'!R:R,MATCH($A132-14,'[1]12月代理实际分时电量'!$C:$C,0))+0.2*INDEX('[1]12月代理实际分时电量'!R:R,MATCH($A132-21,'[1]12月代理实际分时电量'!$C:$C,0))</f>
        <v>3.436265</v>
      </c>
      <c r="S132" s="73" cm="1">
        <f t="array" ref="S132">0.5*INDEX('[1]12月代理实际分时电量'!S:S,MATCH($A132-7,'[1]12月代理实际分时电量'!$C:$C,0))+0.3*INDEX('[1]12月代理实际分时电量'!S:S,MATCH($A132-14,'[1]12月代理实际分时电量'!$C:$C,0))+0.2*INDEX('[1]12月代理实际分时电量'!S:S,MATCH($A132-21,'[1]12月代理实际分时电量'!$C:$C,0))</f>
        <v>3.875668</v>
      </c>
      <c r="T132" s="73" cm="1">
        <f t="array" ref="T132">0.5*INDEX('[1]12月代理实际分时电量'!T:T,MATCH($A132-7,'[1]12月代理实际分时电量'!$C:$C,0))+0.3*INDEX('[1]12月代理实际分时电量'!T:T,MATCH($A132-14,'[1]12月代理实际分时电量'!$C:$C,0))+0.2*INDEX('[1]12月代理实际分时电量'!T:T,MATCH($A132-21,'[1]12月代理实际分时电量'!$C:$C,0))</f>
        <v>3.783392</v>
      </c>
      <c r="U132" s="73" cm="1">
        <f t="array" ref="U132">0.5*INDEX('[1]12月代理实际分时电量'!U:U,MATCH($A132-7,'[1]12月代理实际分时电量'!$C:$C,0))+0.3*INDEX('[1]12月代理实际分时电量'!U:U,MATCH($A132-14,'[1]12月代理实际分时电量'!$C:$C,0))+0.2*INDEX('[1]12月代理实际分时电量'!U:U,MATCH($A132-21,'[1]12月代理实际分时电量'!$C:$C,0))</f>
        <v>3.836865</v>
      </c>
      <c r="V132" s="73" cm="1">
        <f t="array" ref="V132">0.5*INDEX('[1]12月代理实际分时电量'!V:V,MATCH($A132-7,'[1]12月代理实际分时电量'!$C:$C,0))+0.3*INDEX('[1]12月代理实际分时电量'!V:V,MATCH($A132-14,'[1]12月代理实际分时电量'!$C:$C,0))+0.2*INDEX('[1]12月代理实际分时电量'!V:V,MATCH($A132-21,'[1]12月代理实际分时电量'!$C:$C,0))</f>
        <v>3.60637</v>
      </c>
      <c r="W132" s="73" cm="1">
        <f t="array" ref="W132">0.5*INDEX('[1]12月代理实际分时电量'!W:W,MATCH($A132-7,'[1]12月代理实际分时电量'!$C:$C,0))+0.3*INDEX('[1]12月代理实际分时电量'!W:W,MATCH($A132-14,'[1]12月代理实际分时电量'!$C:$C,0))+0.2*INDEX('[1]12月代理实际分时电量'!W:W,MATCH($A132-21,'[1]12月代理实际分时电量'!$C:$C,0))</f>
        <v>3.034635</v>
      </c>
      <c r="X132" s="73" cm="1">
        <f t="array" ref="X132">0.5*INDEX('[1]12月代理实际分时电量'!X:X,MATCH($A132-7,'[1]12月代理实际分时电量'!$C:$C,0))+0.3*INDEX('[1]12月代理实际分时电量'!X:X,MATCH($A132-14,'[1]12月代理实际分时电量'!$C:$C,0))+0.2*INDEX('[1]12月代理实际分时电量'!X:X,MATCH($A132-21,'[1]12月代理实际分时电量'!$C:$C,0))</f>
        <v>3.117965</v>
      </c>
      <c r="Y132" s="73" cm="1">
        <f t="array" ref="Y132">0.5*INDEX('[1]12月代理实际分时电量'!Y:Y,MATCH($A132-7,'[1]12月代理实际分时电量'!$C:$C,0))+0.3*INDEX('[1]12月代理实际分时电量'!Y:Y,MATCH($A132-14,'[1]12月代理实际分时电量'!$C:$C,0))+0.2*INDEX('[1]12月代理实际分时电量'!Y:Y,MATCH($A132-21,'[1]12月代理实际分时电量'!$C:$C,0))</f>
        <v>2.818487</v>
      </c>
      <c r="Z132" s="73" cm="1">
        <f t="array" ref="Z132">0.5*INDEX('[1]12月代理实际分时电量'!Z:Z,MATCH($A132-7,'[1]12月代理实际分时电量'!$C:$C,0))+0.3*INDEX('[1]12月代理实际分时电量'!Z:Z,MATCH($A132-14,'[1]12月代理实际分时电量'!$C:$C,0))+0.2*INDEX('[1]12月代理实际分时电量'!Z:Z,MATCH($A132-21,'[1]12月代理实际分时电量'!$C:$C,0))</f>
        <v>2.443203</v>
      </c>
      <c r="AA132" s="73" cm="1">
        <f t="array" ref="AA132">0.5*INDEX('[1]12月代理实际分时电量'!AA:AA,MATCH($A132-7,'[1]12月代理实际分时电量'!$C:$C,0))+0.3*INDEX('[1]12月代理实际分时电量'!AA:AA,MATCH($A132-14,'[1]12月代理实际分时电量'!$C:$C,0))+0.2*INDEX('[1]12月代理实际分时电量'!AA:AA,MATCH($A132-21,'[1]12月代理实际分时电量'!$C:$C,0))</f>
        <v>1.889107</v>
      </c>
      <c r="AB132" s="73" cm="1">
        <f t="array" ref="AB132">0.5*INDEX('[1]12月代理实际分时电量'!AB:AB,MATCH($A132-7,'[1]12月代理实际分时电量'!$C:$C,0))+0.3*INDEX('[1]12月代理实际分时电量'!AB:AB,MATCH($A132-14,'[1]12月代理实际分时电量'!$C:$C,0))+0.2*INDEX('[1]12月代理实际分时电量'!AB:AB,MATCH($A132-21,'[1]12月代理实际分时电量'!$C:$C,0))</f>
        <v>1.698405</v>
      </c>
      <c r="AC132" s="81"/>
    </row>
    <row r="133" spans="1:29">
      <c r="A133" s="4"/>
      <c r="B133" s="68"/>
      <c r="C133" s="2" t="s">
        <v>35</v>
      </c>
      <c r="D133" s="3">
        <f>D134/D132</f>
        <v>0.937281060610331</v>
      </c>
      <c r="E133" s="85">
        <v>1.1</v>
      </c>
      <c r="F133" s="85">
        <v>1.2</v>
      </c>
      <c r="G133" s="85">
        <v>1.1</v>
      </c>
      <c r="H133" s="85">
        <v>1.1</v>
      </c>
      <c r="I133" s="85">
        <v>1.1</v>
      </c>
      <c r="J133" s="85">
        <v>1.1</v>
      </c>
      <c r="K133" s="85">
        <v>0.9</v>
      </c>
      <c r="L133" s="85">
        <v>0.9</v>
      </c>
      <c r="M133" s="85">
        <v>1.1</v>
      </c>
      <c r="N133" s="85">
        <v>0.8</v>
      </c>
      <c r="O133" s="85">
        <v>0.9</v>
      </c>
      <c r="P133" s="85">
        <v>1.1</v>
      </c>
      <c r="Q133" s="85">
        <v>0.9</v>
      </c>
      <c r="R133" s="85">
        <v>1</v>
      </c>
      <c r="S133" s="85">
        <v>0.9</v>
      </c>
      <c r="T133" s="85">
        <v>0.8</v>
      </c>
      <c r="U133" s="85">
        <v>0.8</v>
      </c>
      <c r="V133" s="85">
        <v>0.9</v>
      </c>
      <c r="W133" s="85">
        <v>1.1</v>
      </c>
      <c r="X133" s="85">
        <v>0.9</v>
      </c>
      <c r="Y133" s="85">
        <v>0.8</v>
      </c>
      <c r="Z133" s="85">
        <v>0.8</v>
      </c>
      <c r="AA133" s="85">
        <v>0.7</v>
      </c>
      <c r="AB133" s="85">
        <v>0.8</v>
      </c>
      <c r="AC133" s="81"/>
    </row>
    <row r="134" spans="1:29">
      <c r="A134" s="4"/>
      <c r="B134" s="68"/>
      <c r="C134" s="2" t="s">
        <v>36</v>
      </c>
      <c r="D134" s="3">
        <f>SUM(E134:AB134)</f>
        <v>61.696</v>
      </c>
      <c r="E134" s="13">
        <f t="shared" ref="E134:AB134" si="52">ROUND(E132*E133,3)</f>
        <v>1.912</v>
      </c>
      <c r="F134" s="13">
        <f t="shared" si="52"/>
        <v>2.136</v>
      </c>
      <c r="G134" s="13">
        <f t="shared" si="52"/>
        <v>1.929</v>
      </c>
      <c r="H134" s="13">
        <f t="shared" si="52"/>
        <v>1.927</v>
      </c>
      <c r="I134" s="13">
        <f t="shared" si="52"/>
        <v>1.902</v>
      </c>
      <c r="J134" s="13">
        <f t="shared" si="52"/>
        <v>1.913</v>
      </c>
      <c r="K134" s="13">
        <f t="shared" si="52"/>
        <v>1.499</v>
      </c>
      <c r="L134" s="13">
        <f t="shared" si="52"/>
        <v>1.781</v>
      </c>
      <c r="M134" s="13">
        <f t="shared" si="52"/>
        <v>4.386</v>
      </c>
      <c r="N134" s="13">
        <f t="shared" si="52"/>
        <v>3.402</v>
      </c>
      <c r="O134" s="13">
        <f t="shared" si="52"/>
        <v>3.246</v>
      </c>
      <c r="P134" s="13">
        <f t="shared" si="52"/>
        <v>3.806</v>
      </c>
      <c r="Q134" s="13">
        <f t="shared" si="52"/>
        <v>2.556</v>
      </c>
      <c r="R134" s="13">
        <f t="shared" si="52"/>
        <v>3.436</v>
      </c>
      <c r="S134" s="13">
        <f t="shared" si="52"/>
        <v>3.488</v>
      </c>
      <c r="T134" s="13">
        <f t="shared" si="52"/>
        <v>3.027</v>
      </c>
      <c r="U134" s="13">
        <f t="shared" si="52"/>
        <v>3.069</v>
      </c>
      <c r="V134" s="13">
        <f t="shared" si="52"/>
        <v>3.246</v>
      </c>
      <c r="W134" s="13">
        <f t="shared" si="52"/>
        <v>3.338</v>
      </c>
      <c r="X134" s="13">
        <f t="shared" si="52"/>
        <v>2.806</v>
      </c>
      <c r="Y134" s="13">
        <f t="shared" si="52"/>
        <v>2.255</v>
      </c>
      <c r="Z134" s="13">
        <f t="shared" si="52"/>
        <v>1.955</v>
      </c>
      <c r="AA134" s="13">
        <f t="shared" si="52"/>
        <v>1.322</v>
      </c>
      <c r="AB134" s="13">
        <f t="shared" si="52"/>
        <v>1.359</v>
      </c>
      <c r="AC134" s="81"/>
    </row>
    <row r="135" ht="17" spans="1:29">
      <c r="A135" s="4"/>
      <c r="B135" s="68"/>
      <c r="C135" s="66" t="s">
        <v>37</v>
      </c>
      <c r="D135" s="3">
        <f>SUM(E135:AB135)</f>
        <v>59.5489</v>
      </c>
      <c r="E135" s="13">
        <v>1.6157</v>
      </c>
      <c r="F135" s="13">
        <v>1.5353</v>
      </c>
      <c r="G135" s="13">
        <v>1.545</v>
      </c>
      <c r="H135" s="13">
        <v>1.4864</v>
      </c>
      <c r="I135" s="13">
        <v>1.4318</v>
      </c>
      <c r="J135" s="13">
        <v>1.4136</v>
      </c>
      <c r="K135" s="13">
        <v>1.3556</v>
      </c>
      <c r="L135" s="13">
        <v>1.806</v>
      </c>
      <c r="M135" s="13">
        <v>3.7893</v>
      </c>
      <c r="N135" s="13">
        <v>4.0305</v>
      </c>
      <c r="O135" s="13">
        <v>3.3604</v>
      </c>
      <c r="P135" s="13">
        <v>3.0744</v>
      </c>
      <c r="Q135" s="13">
        <v>2.4993</v>
      </c>
      <c r="R135" s="13">
        <v>3.2962</v>
      </c>
      <c r="S135" s="13">
        <v>3.5676</v>
      </c>
      <c r="T135" s="13">
        <v>3.3599</v>
      </c>
      <c r="U135" s="13">
        <v>3.3965</v>
      </c>
      <c r="V135" s="13">
        <v>3.2543</v>
      </c>
      <c r="W135" s="13">
        <v>2.8012</v>
      </c>
      <c r="X135" s="13">
        <v>2.953</v>
      </c>
      <c r="Y135" s="13">
        <v>2.6156</v>
      </c>
      <c r="Z135" s="13">
        <v>2.1089</v>
      </c>
      <c r="AA135" s="13">
        <v>1.7209</v>
      </c>
      <c r="AB135" s="13">
        <v>1.5315</v>
      </c>
      <c r="AC135" s="81"/>
    </row>
    <row r="136" spans="1:29">
      <c r="A136" s="69"/>
      <c r="B136" s="68"/>
      <c r="C136" s="64" t="s">
        <v>38</v>
      </c>
      <c r="D136" s="70">
        <f>D135/D132</f>
        <v>0.90466247650056</v>
      </c>
      <c r="E136" s="76">
        <f t="shared" ref="E136:AB136" si="53">1-ABS(E132-E135)/E135</f>
        <v>0.924243362010274</v>
      </c>
      <c r="F136" s="76">
        <f t="shared" si="53"/>
        <v>0.840425324040904</v>
      </c>
      <c r="G136" s="76">
        <f t="shared" si="53"/>
        <v>0.865116504854369</v>
      </c>
      <c r="H136" s="76">
        <f t="shared" si="53"/>
        <v>0.821455866523143</v>
      </c>
      <c r="I136" s="76">
        <f t="shared" si="53"/>
        <v>0.792114820505657</v>
      </c>
      <c r="J136" s="76">
        <f t="shared" si="53"/>
        <v>0.76948571024335</v>
      </c>
      <c r="K136" s="76">
        <f t="shared" si="53"/>
        <v>0.771195780466214</v>
      </c>
      <c r="L136" s="76">
        <f t="shared" si="53"/>
        <v>0.904349390919158</v>
      </c>
      <c r="M136" s="76">
        <f t="shared" si="53"/>
        <v>0.94773625735624</v>
      </c>
      <c r="N136" s="76">
        <f t="shared" si="53"/>
        <v>0.944963155935988</v>
      </c>
      <c r="O136" s="76">
        <f t="shared" si="53"/>
        <v>0.926565885013689</v>
      </c>
      <c r="P136" s="76">
        <f t="shared" si="53"/>
        <v>0.874585935467083</v>
      </c>
      <c r="Q136" s="76">
        <f t="shared" si="53"/>
        <v>0.863573000440123</v>
      </c>
      <c r="R136" s="76">
        <f t="shared" si="53"/>
        <v>0.957507129421758</v>
      </c>
      <c r="S136" s="76">
        <f t="shared" si="53"/>
        <v>0.913648391075233</v>
      </c>
      <c r="T136" s="76">
        <f t="shared" si="53"/>
        <v>0.873956963004851</v>
      </c>
      <c r="U136" s="76">
        <f t="shared" si="53"/>
        <v>0.870347416458119</v>
      </c>
      <c r="V136" s="76">
        <f t="shared" si="53"/>
        <v>0.891813907752819</v>
      </c>
      <c r="W136" s="76">
        <f t="shared" si="53"/>
        <v>0.916666071683564</v>
      </c>
      <c r="X136" s="76">
        <f t="shared" si="53"/>
        <v>0.944136471385032</v>
      </c>
      <c r="Y136" s="76">
        <f t="shared" si="53"/>
        <v>0.922431946780853</v>
      </c>
      <c r="Z136" s="76">
        <f t="shared" si="53"/>
        <v>0.841479918440893</v>
      </c>
      <c r="AA136" s="76">
        <f t="shared" si="53"/>
        <v>0.902256377476902</v>
      </c>
      <c r="AB136" s="76">
        <f t="shared" si="53"/>
        <v>0.89101860920666</v>
      </c>
      <c r="AC136" s="81"/>
    </row>
    <row r="137" spans="1:29">
      <c r="A137" s="4">
        <v>46019</v>
      </c>
      <c r="B137" s="67"/>
      <c r="C137" s="2" t="s">
        <v>33</v>
      </c>
      <c r="D137" s="3">
        <f>SUM(E137:AB137)</f>
        <v>44.023753</v>
      </c>
      <c r="E137" s="73" cm="1">
        <f t="array" ref="E137">0.5*INDEX('[1]12月代理实际分时电量'!E:E,MATCH($A137-7,'[1]12月代理实际分时电量'!$C:$C,0))+0.3*INDEX('[1]12月代理实际分时电量'!E:E,MATCH($A137-14,'[1]12月代理实际分时电量'!$C:$C,0))+0.2*INDEX('[1]12月代理实际分时电量'!E:E,MATCH($A137-21,'[1]12月代理实际分时电量'!$C:$C,0))</f>
        <v>1.661795</v>
      </c>
      <c r="F137" s="73" cm="1">
        <f t="array" ref="F137">0.5*INDEX('[1]12月代理实际分时电量'!F:F,MATCH($A137-7,'[1]12月代理实际分时电量'!$C:$C,0))+0.3*INDEX('[1]12月代理实际分时电量'!F:F,MATCH($A137-14,'[1]12月代理实际分时电量'!$C:$C,0))+0.2*INDEX('[1]12月代理实际分时电量'!F:F,MATCH($A137-21,'[1]12月代理实际分时电量'!$C:$C,0))</f>
        <v>1.703775</v>
      </c>
      <c r="G137" s="73" cm="1">
        <f t="array" ref="G137">0.5*INDEX('[1]12月代理实际分时电量'!G:G,MATCH($A137-7,'[1]12月代理实际分时电量'!$C:$C,0))+0.3*INDEX('[1]12月代理实际分时电量'!G:G,MATCH($A137-14,'[1]12月代理实际分时电量'!$C:$C,0))+0.2*INDEX('[1]12月代理实际分时电量'!G:G,MATCH($A137-21,'[1]12月代理实际分时电量'!$C:$C,0))</f>
        <v>1.638</v>
      </c>
      <c r="H137" s="73" cm="1">
        <f t="array" ref="H137">0.5*INDEX('[1]12月代理实际分时电量'!H:H,MATCH($A137-7,'[1]12月代理实际分时电量'!$C:$C,0))+0.3*INDEX('[1]12月代理实际分时电量'!H:H,MATCH($A137-14,'[1]12月代理实际分时电量'!$C:$C,0))+0.2*INDEX('[1]12月代理实际分时电量'!H:H,MATCH($A137-21,'[1]12月代理实际分时电量'!$C:$C,0))</f>
        <v>1.558623</v>
      </c>
      <c r="I137" s="73" cm="1">
        <f t="array" ref="I137">0.5*INDEX('[1]12月代理实际分时电量'!I:I,MATCH($A137-7,'[1]12月代理实际分时电量'!$C:$C,0))+0.3*INDEX('[1]12月代理实际分时电量'!I:I,MATCH($A137-14,'[1]12月代理实际分时电量'!$C:$C,0))+0.2*INDEX('[1]12月代理实际分时电量'!I:I,MATCH($A137-21,'[1]12月代理实际分时电量'!$C:$C,0))</f>
        <v>1.55628</v>
      </c>
      <c r="J137" s="73" cm="1">
        <f t="array" ref="J137">0.5*INDEX('[1]12月代理实际分时电量'!J:J,MATCH($A137-7,'[1]12月代理实际分时电量'!$C:$C,0))+0.3*INDEX('[1]12月代理实际分时电量'!J:J,MATCH($A137-14,'[1]12月代理实际分时电量'!$C:$C,0))+0.2*INDEX('[1]12月代理实际分时电量'!J:J,MATCH($A137-21,'[1]12月代理实际分时电量'!$C:$C,0))</f>
        <v>1.548135</v>
      </c>
      <c r="K137" s="73" cm="1">
        <f t="array" ref="K137">0.5*INDEX('[1]12月代理实际分时电量'!K:K,MATCH($A137-7,'[1]12月代理实际分时电量'!$C:$C,0))+0.3*INDEX('[1]12月代理实际分时电量'!K:K,MATCH($A137-14,'[1]12月代理实际分时电量'!$C:$C,0))+0.2*INDEX('[1]12月代理实际分时电量'!K:K,MATCH($A137-21,'[1]12月代理实际分时电量'!$C:$C,0))</f>
        <v>1.461677</v>
      </c>
      <c r="L137" s="73" cm="1">
        <f t="array" ref="L137">0.5*INDEX('[1]12月代理实际分时电量'!L:L,MATCH($A137-7,'[1]12月代理实际分时电量'!$C:$C,0))+0.3*INDEX('[1]12月代理实际分时电量'!L:L,MATCH($A137-14,'[1]12月代理实际分时电量'!$C:$C,0))+0.2*INDEX('[1]12月代理实际分时电量'!L:L,MATCH($A137-21,'[1]12月代理实际分时电量'!$C:$C,0))</f>
        <v>1.404798</v>
      </c>
      <c r="M137" s="73" cm="1">
        <f t="array" ref="M137">0.5*INDEX('[1]12月代理实际分时电量'!M:M,MATCH($A137-7,'[1]12月代理实际分时电量'!$C:$C,0))+0.3*INDEX('[1]12月代理实际分时电量'!M:M,MATCH($A137-14,'[1]12月代理实际分时电量'!$C:$C,0))+0.2*INDEX('[1]12月代理实际分时电量'!M:M,MATCH($A137-21,'[1]12月代理实际分时电量'!$C:$C,0))</f>
        <v>2.460432</v>
      </c>
      <c r="N137" s="73" cm="1">
        <f t="array" ref="N137">0.5*INDEX('[1]12月代理实际分时电量'!N:N,MATCH($A137-7,'[1]12月代理实际分时电量'!$C:$C,0))+0.3*INDEX('[1]12月代理实际分时电量'!N:N,MATCH($A137-14,'[1]12月代理实际分时电量'!$C:$C,0))+0.2*INDEX('[1]12月代理实际分时电量'!N:N,MATCH($A137-21,'[1]12月代理实际分时电量'!$C:$C,0))</f>
        <v>2.668748</v>
      </c>
      <c r="O137" s="73" cm="1">
        <f t="array" ref="O137">0.5*INDEX('[1]12月代理实际分时电量'!O:O,MATCH($A137-7,'[1]12月代理实际分时电量'!$C:$C,0))+0.3*INDEX('[1]12月代理实际分时电量'!O:O,MATCH($A137-14,'[1]12月代理实际分时电量'!$C:$C,0))+0.2*INDEX('[1]12月代理实际分时电量'!O:O,MATCH($A137-21,'[1]12月代理实际分时电量'!$C:$C,0))</f>
        <v>2.281992</v>
      </c>
      <c r="P137" s="73" cm="1">
        <f t="array" ref="P137">0.5*INDEX('[1]12月代理实际分时电量'!P:P,MATCH($A137-7,'[1]12月代理实际分时电量'!$C:$C,0))+0.3*INDEX('[1]12月代理实际分时电量'!P:P,MATCH($A137-14,'[1]12月代理实际分时电量'!$C:$C,0))+0.2*INDEX('[1]12月代理实际分时电量'!P:P,MATCH($A137-21,'[1]12月代理实际分时电量'!$C:$C,0))</f>
        <v>2.211718</v>
      </c>
      <c r="Q137" s="73" cm="1">
        <f t="array" ref="Q137">0.5*INDEX('[1]12月代理实际分时电量'!Q:Q,MATCH($A137-7,'[1]12月代理实际分时电量'!$C:$C,0))+0.3*INDEX('[1]12月代理实际分时电量'!Q:Q,MATCH($A137-14,'[1]12月代理实际分时电量'!$C:$C,0))+0.2*INDEX('[1]12月代理实际分时电量'!Q:Q,MATCH($A137-21,'[1]12月代理实际分时电量'!$C:$C,0))</f>
        <v>2.023715</v>
      </c>
      <c r="R137" s="73" cm="1">
        <f t="array" ref="R137">0.5*INDEX('[1]12月代理实际分时电量'!R:R,MATCH($A137-7,'[1]12月代理实际分时电量'!$C:$C,0))+0.3*INDEX('[1]12月代理实际分时电量'!R:R,MATCH($A137-14,'[1]12月代理实际分时电量'!$C:$C,0))+0.2*INDEX('[1]12月代理实际分时电量'!R:R,MATCH($A137-21,'[1]12月代理实际分时电量'!$C:$C,0))</f>
        <v>1.998917</v>
      </c>
      <c r="S137" s="73" cm="1">
        <f t="array" ref="S137">0.5*INDEX('[1]12月代理实际分时电量'!S:S,MATCH($A137-7,'[1]12月代理实际分时电量'!$C:$C,0))+0.3*INDEX('[1]12月代理实际分时电量'!S:S,MATCH($A137-14,'[1]12月代理实际分时电量'!$C:$C,0))+0.2*INDEX('[1]12月代理实际分时电量'!S:S,MATCH($A137-21,'[1]12月代理实际分时电量'!$C:$C,0))</f>
        <v>2.416623</v>
      </c>
      <c r="T137" s="73" cm="1">
        <f t="array" ref="T137">0.5*INDEX('[1]12月代理实际分时电量'!T:T,MATCH($A137-7,'[1]12月代理实际分时电量'!$C:$C,0))+0.3*INDEX('[1]12月代理实际分时电量'!T:T,MATCH($A137-14,'[1]12月代理实际分时电量'!$C:$C,0))+0.2*INDEX('[1]12月代理实际分时电量'!T:T,MATCH($A137-21,'[1]12月代理实际分时电量'!$C:$C,0))</f>
        <v>2.33832</v>
      </c>
      <c r="U137" s="73" cm="1">
        <f t="array" ref="U137">0.5*INDEX('[1]12月代理实际分时电量'!U:U,MATCH($A137-7,'[1]12月代理实际分时电量'!$C:$C,0))+0.3*INDEX('[1]12月代理实际分时电量'!U:U,MATCH($A137-14,'[1]12月代理实际分时电量'!$C:$C,0))+0.2*INDEX('[1]12月代理实际分时电量'!U:U,MATCH($A137-21,'[1]12月代理实际分时电量'!$C:$C,0))</f>
        <v>2.38244</v>
      </c>
      <c r="V137" s="73" cm="1">
        <f t="array" ref="V137">0.5*INDEX('[1]12月代理实际分时电量'!V:V,MATCH($A137-7,'[1]12月代理实际分时电量'!$C:$C,0))+0.3*INDEX('[1]12月代理实际分时电量'!V:V,MATCH($A137-14,'[1]12月代理实际分时电量'!$C:$C,0))+0.2*INDEX('[1]12月代理实际分时电量'!V:V,MATCH($A137-21,'[1]12月代理实际分时电量'!$C:$C,0))</f>
        <v>2.272885</v>
      </c>
      <c r="W137" s="73" cm="1">
        <f t="array" ref="W137">0.5*INDEX('[1]12月代理实际分时电量'!W:W,MATCH($A137-7,'[1]12月代理实际分时电量'!$C:$C,0))+0.3*INDEX('[1]12月代理实际分时电量'!W:W,MATCH($A137-14,'[1]12月代理实际分时电量'!$C:$C,0))+0.2*INDEX('[1]12月代理实际分时电量'!W:W,MATCH($A137-21,'[1]12月代理实际分时电量'!$C:$C,0))</f>
        <v>1.567585</v>
      </c>
      <c r="X137" s="73" cm="1">
        <f t="array" ref="X137">0.5*INDEX('[1]12月代理实际分时电量'!X:X,MATCH($A137-7,'[1]12月代理实际分时电量'!$C:$C,0))+0.3*INDEX('[1]12月代理实际分时电量'!X:X,MATCH($A137-14,'[1]12月代理实际分时电量'!$C:$C,0))+0.2*INDEX('[1]12月代理实际分时电量'!X:X,MATCH($A137-21,'[1]12月代理实际分时电量'!$C:$C,0))</f>
        <v>1.514125</v>
      </c>
      <c r="Y137" s="73" cm="1">
        <f t="array" ref="Y137">0.5*INDEX('[1]12月代理实际分时电量'!Y:Y,MATCH($A137-7,'[1]12月代理实际分时电量'!$C:$C,0))+0.3*INDEX('[1]12月代理实际分时电量'!Y:Y,MATCH($A137-14,'[1]12月代理实际分时电量'!$C:$C,0))+0.2*INDEX('[1]12月代理实际分时电量'!Y:Y,MATCH($A137-21,'[1]12月代理实际分时电量'!$C:$C,0))</f>
        <v>1.425795</v>
      </c>
      <c r="Z137" s="73" cm="1">
        <f t="array" ref="Z137">0.5*INDEX('[1]12月代理实际分时电量'!Z:Z,MATCH($A137-7,'[1]12月代理实际分时电量'!$C:$C,0))+0.3*INDEX('[1]12月代理实际分时电量'!Z:Z,MATCH($A137-14,'[1]12月代理实际分时电量'!$C:$C,0))+0.2*INDEX('[1]12月代理实际分时电量'!Z:Z,MATCH($A137-21,'[1]12月代理实际分时电量'!$C:$C,0))</f>
        <v>1.382715</v>
      </c>
      <c r="AA137" s="73" cm="1">
        <f t="array" ref="AA137">0.5*INDEX('[1]12月代理实际分时电量'!AA:AA,MATCH($A137-7,'[1]12月代理实际分时电量'!$C:$C,0))+0.3*INDEX('[1]12月代理实际分时电量'!AA:AA,MATCH($A137-14,'[1]12月代理实际分时电量'!$C:$C,0))+0.2*INDEX('[1]12月代理实际分时电量'!AA:AA,MATCH($A137-21,'[1]12月代理实际分时电量'!$C:$C,0))</f>
        <v>1.287795</v>
      </c>
      <c r="AB137" s="73" cm="1">
        <f t="array" ref="AB137">0.5*INDEX('[1]12月代理实际分时电量'!AB:AB,MATCH($A137-7,'[1]12月代理实际分时电量'!$C:$C,0))+0.3*INDEX('[1]12月代理实际分时电量'!AB:AB,MATCH($A137-14,'[1]12月代理实际分时电量'!$C:$C,0))+0.2*INDEX('[1]12月代理实际分时电量'!AB:AB,MATCH($A137-21,'[1]12月代理实际分时电量'!$C:$C,0))</f>
        <v>1.256865</v>
      </c>
      <c r="AC137" s="81"/>
    </row>
    <row r="138" spans="1:29">
      <c r="A138" s="4"/>
      <c r="B138" s="68"/>
      <c r="C138" s="2" t="s">
        <v>35</v>
      </c>
      <c r="D138" s="3">
        <f>D139/D137</f>
        <v>0.994304143038418</v>
      </c>
      <c r="E138" s="74">
        <v>1.1</v>
      </c>
      <c r="F138" s="74">
        <v>1.1</v>
      </c>
      <c r="G138" s="74">
        <v>1.1</v>
      </c>
      <c r="H138" s="74">
        <v>0.9</v>
      </c>
      <c r="I138" s="74">
        <v>0.9</v>
      </c>
      <c r="J138" s="74">
        <v>0.9</v>
      </c>
      <c r="K138" s="74">
        <v>0.9</v>
      </c>
      <c r="L138" s="74">
        <v>0.9</v>
      </c>
      <c r="M138" s="74">
        <v>1.1</v>
      </c>
      <c r="N138" s="74">
        <v>1.1</v>
      </c>
      <c r="O138" s="74">
        <v>1.1</v>
      </c>
      <c r="P138" s="74">
        <v>1.1</v>
      </c>
      <c r="Q138" s="74">
        <v>0.9</v>
      </c>
      <c r="R138" s="74">
        <v>0.9</v>
      </c>
      <c r="S138" s="74">
        <v>0.9</v>
      </c>
      <c r="T138" s="74">
        <v>0.9</v>
      </c>
      <c r="U138" s="74">
        <v>0.9</v>
      </c>
      <c r="V138" s="74">
        <v>1.1</v>
      </c>
      <c r="W138" s="74">
        <v>1.2</v>
      </c>
      <c r="X138" s="74">
        <v>1.1</v>
      </c>
      <c r="Y138" s="74">
        <v>0.9</v>
      </c>
      <c r="Z138" s="74">
        <v>0.9</v>
      </c>
      <c r="AA138" s="74">
        <v>0.9</v>
      </c>
      <c r="AB138" s="74">
        <v>0.9</v>
      </c>
      <c r="AC138" s="81"/>
    </row>
    <row r="139" spans="1:29">
      <c r="A139" s="4"/>
      <c r="B139" s="68"/>
      <c r="C139" s="2" t="s">
        <v>36</v>
      </c>
      <c r="D139" s="3">
        <f>SUM(E139:AB139)</f>
        <v>43.773</v>
      </c>
      <c r="E139" s="13">
        <f t="shared" ref="E139:AB139" si="54">ROUND(E137*E138,3)</f>
        <v>1.828</v>
      </c>
      <c r="F139" s="13">
        <f t="shared" si="54"/>
        <v>1.874</v>
      </c>
      <c r="G139" s="13">
        <f t="shared" si="54"/>
        <v>1.802</v>
      </c>
      <c r="H139" s="13">
        <f t="shared" si="54"/>
        <v>1.403</v>
      </c>
      <c r="I139" s="13">
        <f t="shared" si="54"/>
        <v>1.401</v>
      </c>
      <c r="J139" s="13">
        <f t="shared" si="54"/>
        <v>1.393</v>
      </c>
      <c r="K139" s="13">
        <f t="shared" si="54"/>
        <v>1.316</v>
      </c>
      <c r="L139" s="13">
        <f t="shared" si="54"/>
        <v>1.264</v>
      </c>
      <c r="M139" s="13">
        <f t="shared" si="54"/>
        <v>2.706</v>
      </c>
      <c r="N139" s="13">
        <f t="shared" si="54"/>
        <v>2.936</v>
      </c>
      <c r="O139" s="13">
        <f t="shared" si="54"/>
        <v>2.51</v>
      </c>
      <c r="P139" s="13">
        <f t="shared" si="54"/>
        <v>2.433</v>
      </c>
      <c r="Q139" s="13">
        <f t="shared" si="54"/>
        <v>1.821</v>
      </c>
      <c r="R139" s="13">
        <f t="shared" si="54"/>
        <v>1.799</v>
      </c>
      <c r="S139" s="13">
        <f t="shared" si="54"/>
        <v>2.175</v>
      </c>
      <c r="T139" s="13">
        <f t="shared" si="54"/>
        <v>2.104</v>
      </c>
      <c r="U139" s="13">
        <f t="shared" si="54"/>
        <v>2.144</v>
      </c>
      <c r="V139" s="13">
        <f t="shared" si="54"/>
        <v>2.5</v>
      </c>
      <c r="W139" s="13">
        <f t="shared" si="54"/>
        <v>1.881</v>
      </c>
      <c r="X139" s="13">
        <f t="shared" si="54"/>
        <v>1.666</v>
      </c>
      <c r="Y139" s="13">
        <f t="shared" si="54"/>
        <v>1.283</v>
      </c>
      <c r="Z139" s="13">
        <f t="shared" si="54"/>
        <v>1.244</v>
      </c>
      <c r="AA139" s="13">
        <f t="shared" si="54"/>
        <v>1.159</v>
      </c>
      <c r="AB139" s="13">
        <f t="shared" si="54"/>
        <v>1.131</v>
      </c>
      <c r="AC139" s="81"/>
    </row>
    <row r="140" ht="17" spans="1:29">
      <c r="A140" s="4"/>
      <c r="B140" s="68"/>
      <c r="C140" s="66" t="s">
        <v>37</v>
      </c>
      <c r="D140" s="3">
        <f>SUM(E140:AB140)</f>
        <v>44.121</v>
      </c>
      <c r="E140" s="13">
        <v>1.5047</v>
      </c>
      <c r="F140" s="13">
        <v>1.5097</v>
      </c>
      <c r="G140" s="13">
        <v>1.4577</v>
      </c>
      <c r="H140" s="13">
        <v>1.4233</v>
      </c>
      <c r="I140" s="13">
        <v>1.4076</v>
      </c>
      <c r="J140" s="13">
        <v>1.3959</v>
      </c>
      <c r="K140" s="13">
        <v>1.2655</v>
      </c>
      <c r="L140" s="13">
        <v>1.389</v>
      </c>
      <c r="M140" s="13">
        <v>2.4585</v>
      </c>
      <c r="N140" s="13">
        <v>2.755</v>
      </c>
      <c r="O140" s="13">
        <v>2.6065</v>
      </c>
      <c r="P140" s="13">
        <v>2.4707</v>
      </c>
      <c r="Q140" s="13">
        <v>1.8421</v>
      </c>
      <c r="R140" s="13">
        <v>1.8964</v>
      </c>
      <c r="S140" s="13">
        <v>2.3033</v>
      </c>
      <c r="T140" s="13">
        <v>2.4956</v>
      </c>
      <c r="U140" s="13">
        <v>2.4194</v>
      </c>
      <c r="V140" s="13">
        <v>2.3504</v>
      </c>
      <c r="W140" s="13">
        <v>1.7818</v>
      </c>
      <c r="X140" s="13">
        <v>1.7578</v>
      </c>
      <c r="Y140" s="13">
        <v>1.5008</v>
      </c>
      <c r="Z140" s="13">
        <v>1.4068</v>
      </c>
      <c r="AA140" s="13">
        <v>1.3423</v>
      </c>
      <c r="AB140" s="13">
        <v>1.3802</v>
      </c>
      <c r="AC140" s="81"/>
    </row>
    <row r="141" spans="1:29">
      <c r="A141" s="69"/>
      <c r="B141" s="68"/>
      <c r="C141" s="64" t="s">
        <v>38</v>
      </c>
      <c r="D141" s="70">
        <f>D140/D137</f>
        <v>1.00220896660037</v>
      </c>
      <c r="E141" s="76">
        <f t="shared" ref="E141:AB141" si="55">1-ABS(E137-E140)/E140</f>
        <v>0.895597128995813</v>
      </c>
      <c r="F141" s="76">
        <f t="shared" si="55"/>
        <v>0.871447969795324</v>
      </c>
      <c r="G141" s="76">
        <f t="shared" si="55"/>
        <v>0.876311998353571</v>
      </c>
      <c r="H141" s="76">
        <f t="shared" si="55"/>
        <v>0.904923066113961</v>
      </c>
      <c r="I141" s="76">
        <f t="shared" si="55"/>
        <v>0.894373401534527</v>
      </c>
      <c r="J141" s="76">
        <f t="shared" si="55"/>
        <v>0.890941328175371</v>
      </c>
      <c r="K141" s="76">
        <f t="shared" si="55"/>
        <v>0.844980640063216</v>
      </c>
      <c r="L141" s="76">
        <f t="shared" si="55"/>
        <v>0.988626349892009</v>
      </c>
      <c r="M141" s="76">
        <f t="shared" si="55"/>
        <v>0.999214154972544</v>
      </c>
      <c r="N141" s="76">
        <f t="shared" si="55"/>
        <v>0.968692558983666</v>
      </c>
      <c r="O141" s="76">
        <f t="shared" si="55"/>
        <v>0.875500479570305</v>
      </c>
      <c r="P141" s="76">
        <f t="shared" si="55"/>
        <v>0.895178694297163</v>
      </c>
      <c r="Q141" s="76">
        <f t="shared" si="55"/>
        <v>0.901408718310624</v>
      </c>
      <c r="R141" s="76">
        <f t="shared" si="55"/>
        <v>0.945941257118751</v>
      </c>
      <c r="S141" s="76">
        <f t="shared" si="55"/>
        <v>0.950799722137802</v>
      </c>
      <c r="T141" s="76">
        <f t="shared" si="55"/>
        <v>0.936977079660202</v>
      </c>
      <c r="U141" s="76">
        <f t="shared" si="55"/>
        <v>0.98472348516161</v>
      </c>
      <c r="V141" s="76">
        <f t="shared" si="55"/>
        <v>0.96702050714772</v>
      </c>
      <c r="W141" s="76">
        <f t="shared" si="55"/>
        <v>0.879776069143563</v>
      </c>
      <c r="X141" s="76">
        <f t="shared" si="55"/>
        <v>0.861375014222323</v>
      </c>
      <c r="Y141" s="76">
        <f t="shared" si="55"/>
        <v>0.950023320895523</v>
      </c>
      <c r="Z141" s="76">
        <f t="shared" si="55"/>
        <v>0.982879584873472</v>
      </c>
      <c r="AA141" s="76">
        <f t="shared" si="55"/>
        <v>0.959394323176637</v>
      </c>
      <c r="AB141" s="76">
        <f t="shared" si="55"/>
        <v>0.910639762353282</v>
      </c>
      <c r="AC141" s="81"/>
    </row>
    <row r="142" spans="1:29">
      <c r="A142" s="4">
        <v>46020</v>
      </c>
      <c r="B142" s="67"/>
      <c r="C142" s="2" t="s">
        <v>33</v>
      </c>
      <c r="D142" s="3">
        <f>SUM(E142:AB142)</f>
        <v>62.314862</v>
      </c>
      <c r="E142" s="73" cm="1">
        <f t="array" ref="E142">0.5*INDEX('[1]12月代理实际分时电量'!E:E,MATCH($A142-7,'[1]12月代理实际分时电量'!$C:$C,0))+0.3*INDEX('[1]12月代理实际分时电量'!E:E,MATCH($A142-14,'[1]12月代理实际分时电量'!$C:$C,0))+0.2*INDEX('[1]12月代理实际分时电量'!E:E,MATCH($A142-21,'[1]12月代理实际分时电量'!$C:$C,0))</f>
        <v>1.28506</v>
      </c>
      <c r="F142" s="73" cm="1">
        <f t="array" ref="F142">0.5*INDEX('[1]12月代理实际分时电量'!F:F,MATCH($A142-7,'[1]12月代理实际分时电量'!$C:$C,0))+0.3*INDEX('[1]12月代理实际分时电量'!F:F,MATCH($A142-14,'[1]12月代理实际分时电量'!$C:$C,0))+0.2*INDEX('[1]12月代理实际分时电量'!F:F,MATCH($A142-21,'[1]12月代理实际分时电量'!$C:$C,0))</f>
        <v>1.346755</v>
      </c>
      <c r="G142" s="73" cm="1">
        <f t="array" ref="G142">0.5*INDEX('[1]12月代理实际分时电量'!G:G,MATCH($A142-7,'[1]12月代理实际分时电量'!$C:$C,0))+0.3*INDEX('[1]12月代理实际分时电量'!G:G,MATCH($A142-14,'[1]12月代理实际分时电量'!$C:$C,0))+0.2*INDEX('[1]12月代理实际分时电量'!G:G,MATCH($A142-21,'[1]12月代理实际分时电量'!$C:$C,0))</f>
        <v>1.348575</v>
      </c>
      <c r="H142" s="73" cm="1">
        <f t="array" ref="H142">0.5*INDEX('[1]12月代理实际分时电量'!H:H,MATCH($A142-7,'[1]12月代理实际分时电量'!$C:$C,0))+0.3*INDEX('[1]12月代理实际分时电量'!H:H,MATCH($A142-14,'[1]12月代理实际分时电量'!$C:$C,0))+0.2*INDEX('[1]12月代理实际分时电量'!H:H,MATCH($A142-21,'[1]12月代理实际分时电量'!$C:$C,0))</f>
        <v>1.348638</v>
      </c>
      <c r="I142" s="73" cm="1">
        <f t="array" ref="I142">0.5*INDEX('[1]12月代理实际分时电量'!I:I,MATCH($A142-7,'[1]12月代理实际分时电量'!$C:$C,0))+0.3*INDEX('[1]12月代理实际分时电量'!I:I,MATCH($A142-14,'[1]12月代理实际分时电量'!$C:$C,0))+0.2*INDEX('[1]12月代理实际分时电量'!I:I,MATCH($A142-21,'[1]12月代理实际分时电量'!$C:$C,0))</f>
        <v>1.301075</v>
      </c>
      <c r="J142" s="73" cm="1">
        <f t="array" ref="J142">0.5*INDEX('[1]12月代理实际分时电量'!J:J,MATCH($A142-7,'[1]12月代理实际分时电量'!$C:$C,0))+0.3*INDEX('[1]12月代理实际分时电量'!J:J,MATCH($A142-14,'[1]12月代理实际分时电量'!$C:$C,0))+0.2*INDEX('[1]12月代理实际分时电量'!J:J,MATCH($A142-21,'[1]12月代理实际分时电量'!$C:$C,0))</f>
        <v>1.299185</v>
      </c>
      <c r="K142" s="73" cm="1">
        <f t="array" ref="K142">0.5*INDEX('[1]12月代理实际分时电量'!K:K,MATCH($A142-7,'[1]12月代理实际分时电量'!$C:$C,0))+0.3*INDEX('[1]12月代理实际分时电量'!K:K,MATCH($A142-14,'[1]12月代理实际分时电量'!$C:$C,0))+0.2*INDEX('[1]12月代理实际分时电量'!K:K,MATCH($A142-21,'[1]12月代理实际分时电量'!$C:$C,0))</f>
        <v>1.240072</v>
      </c>
      <c r="L142" s="73" cm="1">
        <f t="array" ref="L142">0.5*INDEX('[1]12月代理实际分时电量'!L:L,MATCH($A142-7,'[1]12月代理实际分时电量'!$C:$C,0))+0.3*INDEX('[1]12月代理实际分时电量'!L:L,MATCH($A142-14,'[1]12月代理实际分时电量'!$C:$C,0))+0.2*INDEX('[1]12月代理实际分时电量'!L:L,MATCH($A142-21,'[1]12月代理实际分时电量'!$C:$C,0))</f>
        <v>1.725175</v>
      </c>
      <c r="M142" s="73" cm="1">
        <f t="array" ref="M142">0.5*INDEX('[1]12月代理实际分时电量'!M:M,MATCH($A142-7,'[1]12月代理实际分时电量'!$C:$C,0))+0.3*INDEX('[1]12月代理实际分时电量'!M:M,MATCH($A142-14,'[1]12月代理实际分时电量'!$C:$C,0))+0.2*INDEX('[1]12月代理实际分时电量'!M:M,MATCH($A142-21,'[1]12月代理实际分时电量'!$C:$C,0))</f>
        <v>3.702275</v>
      </c>
      <c r="N142" s="73" cm="1">
        <f t="array" ref="N142">0.5*INDEX('[1]12月代理实际分时电量'!N:N,MATCH($A142-7,'[1]12月代理实际分时电量'!$C:$C,0))+0.3*INDEX('[1]12月代理实际分时电量'!N:N,MATCH($A142-14,'[1]12月代理实际分时电量'!$C:$C,0))+0.2*INDEX('[1]12月代理实际分时电量'!N:N,MATCH($A142-21,'[1]12月代理实际分时电量'!$C:$C,0))</f>
        <v>4.013055</v>
      </c>
      <c r="O142" s="73" cm="1">
        <f t="array" ref="O142">0.5*INDEX('[1]12月代理实际分时电量'!O:O,MATCH($A142-7,'[1]12月代理实际分时电量'!$C:$C,0))+0.3*INDEX('[1]12月代理实际分时电量'!O:O,MATCH($A142-14,'[1]12月代理实际分时电量'!$C:$C,0))+0.2*INDEX('[1]12月代理实际分时电量'!O:O,MATCH($A142-21,'[1]12月代理实际分时电量'!$C:$C,0))</f>
        <v>3.407568</v>
      </c>
      <c r="P142" s="73" cm="1">
        <f t="array" ref="P142">0.5*INDEX('[1]12月代理实际分时电量'!P:P,MATCH($A142-7,'[1]12月代理实际分时电量'!$C:$C,0))+0.3*INDEX('[1]12月代理实际分时电量'!P:P,MATCH($A142-14,'[1]12月代理实际分时电量'!$C:$C,0))+0.2*INDEX('[1]12月代理实际分时电量'!P:P,MATCH($A142-21,'[1]12月代理实际分时电量'!$C:$C,0))</f>
        <v>3.287805</v>
      </c>
      <c r="Q142" s="73" cm="1">
        <f t="array" ref="Q142">0.5*INDEX('[1]12月代理实际分时电量'!Q:Q,MATCH($A142-7,'[1]12月代理实际分时电量'!$C:$C,0))+0.3*INDEX('[1]12月代理实际分时电量'!Q:Q,MATCH($A142-14,'[1]12月代理实际分时电量'!$C:$C,0))+0.2*INDEX('[1]12月代理实际分时电量'!Q:Q,MATCH($A142-21,'[1]12月代理实际分时电量'!$C:$C,0))</f>
        <v>2.785274</v>
      </c>
      <c r="R142" s="73" cm="1">
        <f t="array" ref="R142">0.5*INDEX('[1]12月代理实际分时电量'!R:R,MATCH($A142-7,'[1]12月代理实际分时电量'!$C:$C,0))+0.3*INDEX('[1]12月代理实际分时电量'!R:R,MATCH($A142-14,'[1]12月代理实际分时电量'!$C:$C,0))+0.2*INDEX('[1]12月代理实际分时电量'!R:R,MATCH($A142-21,'[1]12月代理实际分时电量'!$C:$C,0))</f>
        <v>3.286893</v>
      </c>
      <c r="S142" s="73" cm="1">
        <f t="array" ref="S142">0.5*INDEX('[1]12月代理实际分时电量'!S:S,MATCH($A142-7,'[1]12月代理实际分时电量'!$C:$C,0))+0.3*INDEX('[1]12月代理实际分时电量'!S:S,MATCH($A142-14,'[1]12月代理实际分时电量'!$C:$C,0))+0.2*INDEX('[1]12月代理实际分时电量'!S:S,MATCH($A142-21,'[1]12月代理实际分时电量'!$C:$C,0))</f>
        <v>3.874379</v>
      </c>
      <c r="T142" s="73" cm="1">
        <f t="array" ref="T142">0.5*INDEX('[1]12月代理实际分时电量'!T:T,MATCH($A142-7,'[1]12月代理实际分时电量'!$C:$C,0))+0.3*INDEX('[1]12月代理实际分时电量'!T:T,MATCH($A142-14,'[1]12月代理实际分时电量'!$C:$C,0))+0.2*INDEX('[1]12月代理实际分时电量'!T:T,MATCH($A142-21,'[1]12月代理实际分时电量'!$C:$C,0))</f>
        <v>3.735491</v>
      </c>
      <c r="U142" s="73" cm="1">
        <f t="array" ref="U142">0.5*INDEX('[1]12月代理实际分时电量'!U:U,MATCH($A142-7,'[1]12月代理实际分时电量'!$C:$C,0))+0.3*INDEX('[1]12月代理实际分时电量'!U:U,MATCH($A142-14,'[1]12月代理实际分时电量'!$C:$C,0))+0.2*INDEX('[1]12月代理实际分时电量'!U:U,MATCH($A142-21,'[1]12月代理实际分时电量'!$C:$C,0))</f>
        <v>3.892398</v>
      </c>
      <c r="V142" s="73" cm="1">
        <f t="array" ref="V142">0.5*INDEX('[1]12月代理实际分时电量'!V:V,MATCH($A142-7,'[1]12月代理实际分时电量'!$C:$C,0))+0.3*INDEX('[1]12月代理实际分时电量'!V:V,MATCH($A142-14,'[1]12月代理实际分时电量'!$C:$C,0))+0.2*INDEX('[1]12月代理实际分时电量'!V:V,MATCH($A142-21,'[1]12月代理实际分时电量'!$C:$C,0))</f>
        <v>3.618338</v>
      </c>
      <c r="W142" s="73" cm="1">
        <f t="array" ref="W142">0.5*INDEX('[1]12月代理实际分时电量'!W:W,MATCH($A142-7,'[1]12月代理实际分时电量'!$C:$C,0))+0.3*INDEX('[1]12月代理实际分时电量'!W:W,MATCH($A142-14,'[1]12月代理实际分时电量'!$C:$C,0))+0.2*INDEX('[1]12月代理实际分时电量'!W:W,MATCH($A142-21,'[1]12月代理实际分时电量'!$C:$C,0))</f>
        <v>3.260928</v>
      </c>
      <c r="X142" s="73" cm="1">
        <f t="array" ref="X142">0.5*INDEX('[1]12月代理实际分时电量'!X:X,MATCH($A142-7,'[1]12月代理实际分时电量'!$C:$C,0))+0.3*INDEX('[1]12月代理实际分时电量'!X:X,MATCH($A142-14,'[1]12月代理实际分时电量'!$C:$C,0))+0.2*INDEX('[1]12月代理实际分时电量'!X:X,MATCH($A142-21,'[1]12月代理实际分时电量'!$C:$C,0))</f>
        <v>3.422461</v>
      </c>
      <c r="Y142" s="73" cm="1">
        <f t="array" ref="Y142">0.5*INDEX('[1]12月代理实际分时电量'!Y:Y,MATCH($A142-7,'[1]12月代理实际分时电量'!$C:$C,0))+0.3*INDEX('[1]12月代理实际分时电量'!Y:Y,MATCH($A142-14,'[1]12月代理实际分时电量'!$C:$C,0))+0.2*INDEX('[1]12月代理实际分时电量'!Y:Y,MATCH($A142-21,'[1]12月代理实际分时电量'!$C:$C,0))</f>
        <v>3.054876</v>
      </c>
      <c r="Z142" s="73" cm="1">
        <f t="array" ref="Z142">0.5*INDEX('[1]12月代理实际分时电量'!Z:Z,MATCH($A142-7,'[1]12月代理实际分时电量'!$C:$C,0))+0.3*INDEX('[1]12月代理实际分时电量'!Z:Z,MATCH($A142-14,'[1]12月代理实际分时电量'!$C:$C,0))+0.2*INDEX('[1]12月代理实际分时电量'!Z:Z,MATCH($A142-21,'[1]12月代理实际分时电量'!$C:$C,0))</f>
        <v>2.530849</v>
      </c>
      <c r="AA142" s="73" cm="1">
        <f t="array" ref="AA142">0.5*INDEX('[1]12月代理实际分时电量'!AA:AA,MATCH($A142-7,'[1]12月代理实际分时电量'!$C:$C,0))+0.3*INDEX('[1]12月代理实际分时电量'!AA:AA,MATCH($A142-14,'[1]12月代理实际分时电量'!$C:$C,0))+0.2*INDEX('[1]12月代理实际分时电量'!AA:AA,MATCH($A142-21,'[1]12月代理实际分时电量'!$C:$C,0))</f>
        <v>1.929476</v>
      </c>
      <c r="AB142" s="73" cm="1">
        <f t="array" ref="AB142">0.5*INDEX('[1]12月代理实际分时电量'!AB:AB,MATCH($A142-7,'[1]12月代理实际分时电量'!$C:$C,0))+0.3*INDEX('[1]12月代理实际分时电量'!AB:AB,MATCH($A142-14,'[1]12月代理实际分时电量'!$C:$C,0))+0.2*INDEX('[1]12月代理实际分时电量'!AB:AB,MATCH($A142-21,'[1]12月代理实际分时电量'!$C:$C,0))</f>
        <v>1.618261</v>
      </c>
      <c r="AC142" s="81"/>
    </row>
    <row r="143" spans="1:29">
      <c r="A143" s="4"/>
      <c r="B143" s="68"/>
      <c r="C143" s="2" t="s">
        <v>35</v>
      </c>
      <c r="D143" s="3">
        <f>D144/D142</f>
        <v>0.92157790544413</v>
      </c>
      <c r="E143" s="74">
        <v>1.1</v>
      </c>
      <c r="F143" s="74">
        <v>0.9</v>
      </c>
      <c r="G143" s="74">
        <v>0.9</v>
      </c>
      <c r="H143" s="74">
        <v>0.9</v>
      </c>
      <c r="I143" s="74">
        <v>0.9</v>
      </c>
      <c r="J143" s="74">
        <v>0.9</v>
      </c>
      <c r="K143" s="74">
        <v>0.9</v>
      </c>
      <c r="L143" s="74">
        <v>1.1</v>
      </c>
      <c r="M143" s="74">
        <v>1.1</v>
      </c>
      <c r="N143" s="74">
        <v>0.9</v>
      </c>
      <c r="O143" s="74">
        <v>0.9</v>
      </c>
      <c r="P143" s="74">
        <v>0.9</v>
      </c>
      <c r="Q143" s="74">
        <v>0.9</v>
      </c>
      <c r="R143" s="74">
        <v>0.9</v>
      </c>
      <c r="S143" s="74">
        <v>0.9</v>
      </c>
      <c r="T143" s="74">
        <v>0.9</v>
      </c>
      <c r="U143" s="74">
        <v>0.9</v>
      </c>
      <c r="V143" s="74">
        <v>0.9</v>
      </c>
      <c r="W143" s="74">
        <v>0.9</v>
      </c>
      <c r="X143" s="74">
        <v>0.9</v>
      </c>
      <c r="Y143" s="74">
        <v>0.9</v>
      </c>
      <c r="Z143" s="74">
        <v>0.9</v>
      </c>
      <c r="AA143" s="74">
        <v>0.9</v>
      </c>
      <c r="AB143" s="74">
        <v>0.9</v>
      </c>
      <c r="AC143" s="81"/>
    </row>
    <row r="144" spans="1:29">
      <c r="A144" s="4"/>
      <c r="B144" s="68"/>
      <c r="C144" s="2" t="s">
        <v>36</v>
      </c>
      <c r="D144" s="3">
        <f>SUM(E144:AB144)</f>
        <v>57.428</v>
      </c>
      <c r="E144" s="13">
        <f t="shared" ref="E144:AB144" si="56">ROUND(E142*E143,3)</f>
        <v>1.414</v>
      </c>
      <c r="F144" s="13">
        <f t="shared" si="56"/>
        <v>1.212</v>
      </c>
      <c r="G144" s="13">
        <f t="shared" si="56"/>
        <v>1.214</v>
      </c>
      <c r="H144" s="13">
        <f t="shared" si="56"/>
        <v>1.214</v>
      </c>
      <c r="I144" s="13">
        <f t="shared" si="56"/>
        <v>1.171</v>
      </c>
      <c r="J144" s="13">
        <f t="shared" si="56"/>
        <v>1.169</v>
      </c>
      <c r="K144" s="13">
        <f t="shared" si="56"/>
        <v>1.116</v>
      </c>
      <c r="L144" s="13">
        <f t="shared" si="56"/>
        <v>1.898</v>
      </c>
      <c r="M144" s="13">
        <f t="shared" si="56"/>
        <v>4.073</v>
      </c>
      <c r="N144" s="13">
        <f t="shared" si="56"/>
        <v>3.612</v>
      </c>
      <c r="O144" s="13">
        <f t="shared" si="56"/>
        <v>3.067</v>
      </c>
      <c r="P144" s="13">
        <f t="shared" si="56"/>
        <v>2.959</v>
      </c>
      <c r="Q144" s="13">
        <f t="shared" si="56"/>
        <v>2.507</v>
      </c>
      <c r="R144" s="13">
        <f t="shared" si="56"/>
        <v>2.958</v>
      </c>
      <c r="S144" s="13">
        <f t="shared" si="56"/>
        <v>3.487</v>
      </c>
      <c r="T144" s="13">
        <f t="shared" si="56"/>
        <v>3.362</v>
      </c>
      <c r="U144" s="13">
        <f t="shared" si="56"/>
        <v>3.503</v>
      </c>
      <c r="V144" s="13">
        <f t="shared" si="56"/>
        <v>3.257</v>
      </c>
      <c r="W144" s="13">
        <f t="shared" si="56"/>
        <v>2.935</v>
      </c>
      <c r="X144" s="13">
        <f t="shared" si="56"/>
        <v>3.08</v>
      </c>
      <c r="Y144" s="13">
        <f t="shared" si="56"/>
        <v>2.749</v>
      </c>
      <c r="Z144" s="13">
        <f t="shared" si="56"/>
        <v>2.278</v>
      </c>
      <c r="AA144" s="13">
        <f t="shared" si="56"/>
        <v>1.737</v>
      </c>
      <c r="AB144" s="13">
        <f t="shared" si="56"/>
        <v>1.456</v>
      </c>
      <c r="AC144" s="81"/>
    </row>
    <row r="145" ht="17" spans="1:29">
      <c r="A145" s="4"/>
      <c r="B145" s="68"/>
      <c r="C145" s="66" t="s">
        <v>37</v>
      </c>
      <c r="D145" s="3">
        <f>SUM(E145:AB145)</f>
        <v>58.3935</v>
      </c>
      <c r="E145" s="13">
        <v>1.3506</v>
      </c>
      <c r="F145" s="13">
        <v>1.3936</v>
      </c>
      <c r="G145" s="13">
        <v>1.3094</v>
      </c>
      <c r="H145" s="13">
        <v>1.251</v>
      </c>
      <c r="I145" s="13">
        <v>1.2444</v>
      </c>
      <c r="J145" s="13">
        <v>1.1999</v>
      </c>
      <c r="K145" s="13">
        <v>1.2099</v>
      </c>
      <c r="L145" s="13">
        <v>1.5834</v>
      </c>
      <c r="M145" s="13">
        <v>3.3467</v>
      </c>
      <c r="N145" s="13">
        <v>3.7245</v>
      </c>
      <c r="O145" s="13">
        <v>3.2724</v>
      </c>
      <c r="P145" s="13">
        <v>3.0803</v>
      </c>
      <c r="Q145" s="13">
        <v>2.5099</v>
      </c>
      <c r="R145" s="13">
        <v>3.0327</v>
      </c>
      <c r="S145" s="13">
        <v>3.4737</v>
      </c>
      <c r="T145" s="13">
        <v>3.4905</v>
      </c>
      <c r="U145" s="13">
        <v>3.4587</v>
      </c>
      <c r="V145" s="13">
        <v>3.4699</v>
      </c>
      <c r="W145" s="13">
        <v>3.0395</v>
      </c>
      <c r="X145" s="13">
        <v>3.27</v>
      </c>
      <c r="Y145" s="13">
        <v>2.9219</v>
      </c>
      <c r="Z145" s="13">
        <v>2.3838</v>
      </c>
      <c r="AA145" s="13">
        <v>1.8026</v>
      </c>
      <c r="AB145" s="13">
        <v>1.5742</v>
      </c>
      <c r="AC145" s="81"/>
    </row>
    <row r="146" spans="1:29">
      <c r="A146" s="69"/>
      <c r="B146" s="68"/>
      <c r="C146" s="64" t="s">
        <v>38</v>
      </c>
      <c r="D146" s="70">
        <f>D145/D142</f>
        <v>0.937071801587236</v>
      </c>
      <c r="E146" s="76">
        <f t="shared" ref="E146:AB146" si="57">1-ABS(E142-E145)/E145</f>
        <v>0.951473419221087</v>
      </c>
      <c r="F146" s="76">
        <f t="shared" si="57"/>
        <v>0.966385619977038</v>
      </c>
      <c r="G146" s="76">
        <f t="shared" si="57"/>
        <v>0.970081716816863</v>
      </c>
      <c r="H146" s="76">
        <f t="shared" si="57"/>
        <v>0.921952038369305</v>
      </c>
      <c r="I146" s="76">
        <f t="shared" si="57"/>
        <v>0.954455962712954</v>
      </c>
      <c r="J146" s="76">
        <f t="shared" si="57"/>
        <v>0.917255604633719</v>
      </c>
      <c r="K146" s="76">
        <f t="shared" si="57"/>
        <v>0.975062401851393</v>
      </c>
      <c r="L146" s="76">
        <f t="shared" si="57"/>
        <v>0.91046166477201</v>
      </c>
      <c r="M146" s="76">
        <f t="shared" si="57"/>
        <v>0.893753548271431</v>
      </c>
      <c r="N146" s="76">
        <f t="shared" si="57"/>
        <v>0.922525171163914</v>
      </c>
      <c r="O146" s="76">
        <f t="shared" si="57"/>
        <v>0.958694536120279</v>
      </c>
      <c r="P146" s="76">
        <f t="shared" si="57"/>
        <v>0.932634808297893</v>
      </c>
      <c r="Q146" s="76">
        <f t="shared" si="57"/>
        <v>0.890284871907247</v>
      </c>
      <c r="R146" s="76">
        <f t="shared" si="57"/>
        <v>0.916182609555841</v>
      </c>
      <c r="S146" s="76">
        <f t="shared" si="57"/>
        <v>0.884653539453608</v>
      </c>
      <c r="T146" s="76">
        <f t="shared" si="57"/>
        <v>0.929812061309268</v>
      </c>
      <c r="U146" s="76">
        <f t="shared" si="57"/>
        <v>0.874606644114841</v>
      </c>
      <c r="V146" s="76">
        <f t="shared" si="57"/>
        <v>0.957221245569037</v>
      </c>
      <c r="W146" s="76">
        <f t="shared" si="57"/>
        <v>0.927149860174371</v>
      </c>
      <c r="X146" s="76">
        <f t="shared" si="57"/>
        <v>0.953375840978593</v>
      </c>
      <c r="Y146" s="76">
        <f t="shared" si="57"/>
        <v>0.954489886717547</v>
      </c>
      <c r="Z146" s="76">
        <f t="shared" si="57"/>
        <v>0.938313197415891</v>
      </c>
      <c r="AA146" s="76">
        <f t="shared" si="57"/>
        <v>0.929615000554754</v>
      </c>
      <c r="AB146" s="76">
        <f t="shared" si="57"/>
        <v>0.97201054503875</v>
      </c>
      <c r="AC146" s="81"/>
    </row>
    <row r="147" spans="1:29">
      <c r="A147" s="4">
        <v>46021</v>
      </c>
      <c r="B147" s="67"/>
      <c r="C147" s="2" t="s">
        <v>33</v>
      </c>
      <c r="D147" s="3">
        <f>SUM(E147:AB147)</f>
        <v>64.056527</v>
      </c>
      <c r="E147" s="73" cm="1">
        <f t="array" ref="E147">0.5*INDEX('[1]12月代理实际分时电量'!E:E,MATCH($A147-7,'[1]12月代理实际分时电量'!$C:$C,0))+0.3*INDEX('[1]12月代理实际分时电量'!E:E,MATCH($A147-14,'[1]12月代理实际分时电量'!$C:$C,0))+0.2*INDEX('[1]12月代理实际分时电量'!E:E,MATCH($A147-21,'[1]12月代理实际分时电量'!$C:$C,0))</f>
        <v>1.595841</v>
      </c>
      <c r="F147" s="73" cm="1">
        <f t="array" ref="F147">0.5*INDEX('[1]12月代理实际分时电量'!F:F,MATCH($A147-7,'[1]12月代理实际分时电量'!$C:$C,0))+0.3*INDEX('[1]12月代理实际分时电量'!F:F,MATCH($A147-14,'[1]12月代理实际分时电量'!$C:$C,0))+0.2*INDEX('[1]12月代理实际分时电量'!F:F,MATCH($A147-21,'[1]12月代理实际分时电量'!$C:$C,0))</f>
        <v>1.600906</v>
      </c>
      <c r="G147" s="73" cm="1">
        <f t="array" ref="G147">0.5*INDEX('[1]12月代理实际分时电量'!G:G,MATCH($A147-7,'[1]12月代理实际分时电量'!$C:$C,0))+0.3*INDEX('[1]12月代理实际分时电量'!G:G,MATCH($A147-14,'[1]12月代理实际分时电量'!$C:$C,0))+0.2*INDEX('[1]12月代理实际分时电量'!G:G,MATCH($A147-21,'[1]12月代理实际分时电量'!$C:$C,0))</f>
        <v>1.553219</v>
      </c>
      <c r="H147" s="73" cm="1">
        <f t="array" ref="H147">0.5*INDEX('[1]12月代理实际分时电量'!H:H,MATCH($A147-7,'[1]12月代理实际分时电量'!$C:$C,0))+0.3*INDEX('[1]12月代理实际分时电量'!H:H,MATCH($A147-14,'[1]12月代理实际分时电量'!$C:$C,0))+0.2*INDEX('[1]12月代理实际分时电量'!H:H,MATCH($A147-21,'[1]12月代理实际分时电量'!$C:$C,0))</f>
        <v>1.560876</v>
      </c>
      <c r="I147" s="73" cm="1">
        <f t="array" ref="I147">0.5*INDEX('[1]12月代理实际分时电量'!I:I,MATCH($A147-7,'[1]12月代理实际分时电量'!$C:$C,0))+0.3*INDEX('[1]12月代理实际分时电量'!I:I,MATCH($A147-14,'[1]12月代理实际分时电量'!$C:$C,0))+0.2*INDEX('[1]12月代理实际分时电量'!I:I,MATCH($A147-21,'[1]12月代理实际分时电量'!$C:$C,0))</f>
        <v>1.577541</v>
      </c>
      <c r="J147" s="73" cm="1">
        <f t="array" ref="J147">0.5*INDEX('[1]12月代理实际分时电量'!J:J,MATCH($A147-7,'[1]12月代理实际分时电量'!$C:$C,0))+0.3*INDEX('[1]12月代理实际分时电量'!J:J,MATCH($A147-14,'[1]12月代理实际分时电量'!$C:$C,0))+0.2*INDEX('[1]12月代理实际分时电量'!J:J,MATCH($A147-21,'[1]12月代理实际分时电量'!$C:$C,0))</f>
        <v>1.599511</v>
      </c>
      <c r="K147" s="73" cm="1">
        <f t="array" ref="K147">0.5*INDEX('[1]12月代理实际分时电量'!K:K,MATCH($A147-7,'[1]12月代理实际分时电量'!$C:$C,0))+0.3*INDEX('[1]12月代理实际分时电量'!K:K,MATCH($A147-14,'[1]12月代理实际分时电量'!$C:$C,0))+0.2*INDEX('[1]12月代理实际分时电量'!K:K,MATCH($A147-21,'[1]12月代理实际分时电量'!$C:$C,0))</f>
        <v>1.513366</v>
      </c>
      <c r="L147" s="73" cm="1">
        <f t="array" ref="L147">0.5*INDEX('[1]12月代理实际分时电量'!L:L,MATCH($A147-7,'[1]12月代理实际分时电量'!$C:$C,0))+0.3*INDEX('[1]12月代理实际分时电量'!L:L,MATCH($A147-14,'[1]12月代理实际分时电量'!$C:$C,0))+0.2*INDEX('[1]12月代理实际分时电量'!L:L,MATCH($A147-21,'[1]12月代理实际分时电量'!$C:$C,0))</f>
        <v>1.912151</v>
      </c>
      <c r="M147" s="73" cm="1">
        <f t="array" ref="M147">0.5*INDEX('[1]12月代理实际分时电量'!M:M,MATCH($A147-7,'[1]12月代理实际分时电量'!$C:$C,0))+0.3*INDEX('[1]12月代理实际分时电量'!M:M,MATCH($A147-14,'[1]12月代理实际分时电量'!$C:$C,0))+0.2*INDEX('[1]12月代理实际分时电量'!M:M,MATCH($A147-21,'[1]12月代理实际分时电量'!$C:$C,0))</f>
        <v>3.830943</v>
      </c>
      <c r="N147" s="73" cm="1">
        <f t="array" ref="N147">0.5*INDEX('[1]12月代理实际分时电量'!N:N,MATCH($A147-7,'[1]12月代理实际分时电量'!$C:$C,0))+0.3*INDEX('[1]12月代理实际分时电量'!N:N,MATCH($A147-14,'[1]12月代理实际分时电量'!$C:$C,0))+0.2*INDEX('[1]12月代理实际分时电量'!N:N,MATCH($A147-21,'[1]12月代理实际分时电量'!$C:$C,0))</f>
        <v>3.993706</v>
      </c>
      <c r="O147" s="73" cm="1">
        <f t="array" ref="O147">0.5*INDEX('[1]12月代理实际分时电量'!O:O,MATCH($A147-7,'[1]12月代理实际分时电量'!$C:$C,0))+0.3*INDEX('[1]12月代理实际分时电量'!O:O,MATCH($A147-14,'[1]12月代理实际分时电量'!$C:$C,0))+0.2*INDEX('[1]12月代理实际分时电量'!O:O,MATCH($A147-21,'[1]12月代理实际分时电量'!$C:$C,0))</f>
        <v>3.429557</v>
      </c>
      <c r="P147" s="73" cm="1">
        <f t="array" ref="P147">0.5*INDEX('[1]12月代理实际分时电量'!P:P,MATCH($A147-7,'[1]12月代理实际分时电量'!$C:$C,0))+0.3*INDEX('[1]12月代理实际分时电量'!P:P,MATCH($A147-14,'[1]12月代理实际分时电量'!$C:$C,0))+0.2*INDEX('[1]12月代理实际分时电量'!P:P,MATCH($A147-21,'[1]12月代理实际分时电量'!$C:$C,0))</f>
        <v>3.355569</v>
      </c>
      <c r="Q147" s="73" cm="1">
        <f t="array" ref="Q147">0.5*INDEX('[1]12月代理实际分时电量'!Q:Q,MATCH($A147-7,'[1]12月代理实际分时电量'!$C:$C,0))+0.3*INDEX('[1]12月代理实际分时电量'!Q:Q,MATCH($A147-14,'[1]12月代理实际分时电量'!$C:$C,0))+0.2*INDEX('[1]12月代理实际分时电量'!Q:Q,MATCH($A147-21,'[1]12月代理实际分时电量'!$C:$C,0))</f>
        <v>2.679651</v>
      </c>
      <c r="R147" s="73" cm="1">
        <f t="array" ref="R147">0.5*INDEX('[1]12月代理实际分时电量'!R:R,MATCH($A147-7,'[1]12月代理实际分时电量'!$C:$C,0))+0.3*INDEX('[1]12月代理实际分时电量'!R:R,MATCH($A147-14,'[1]12月代理实际分时电量'!$C:$C,0))+0.2*INDEX('[1]12月代理实际分时电量'!R:R,MATCH($A147-21,'[1]12月代理实际分时电量'!$C:$C,0))</f>
        <v>3.249739</v>
      </c>
      <c r="S147" s="73" cm="1">
        <f t="array" ref="S147">0.5*INDEX('[1]12月代理实际分时电量'!S:S,MATCH($A147-7,'[1]12月代理实际分时电量'!$C:$C,0))+0.3*INDEX('[1]12月代理实际分时电量'!S:S,MATCH($A147-14,'[1]12月代理实际分时电量'!$C:$C,0))+0.2*INDEX('[1]12月代理实际分时电量'!S:S,MATCH($A147-21,'[1]12月代理实际分时电量'!$C:$C,0))</f>
        <v>3.762121</v>
      </c>
      <c r="T147" s="73" cm="1">
        <f t="array" ref="T147">0.5*INDEX('[1]12月代理实际分时电量'!T:T,MATCH($A147-7,'[1]12月代理实际分时电量'!$C:$C,0))+0.3*INDEX('[1]12月代理实际分时电量'!T:T,MATCH($A147-14,'[1]12月代理实际分时电量'!$C:$C,0))+0.2*INDEX('[1]12月代理实际分时电量'!T:T,MATCH($A147-21,'[1]12月代理实际分时电量'!$C:$C,0))</f>
        <v>3.615505</v>
      </c>
      <c r="U147" s="73" cm="1">
        <f t="array" ref="U147">0.5*INDEX('[1]12月代理实际分时电量'!U:U,MATCH($A147-7,'[1]12月代理实际分时电量'!$C:$C,0))+0.3*INDEX('[1]12月代理实际分时电量'!U:U,MATCH($A147-14,'[1]12月代理实际分时电量'!$C:$C,0))+0.2*INDEX('[1]12月代理实际分时电量'!U:U,MATCH($A147-21,'[1]12月代理实际分时电量'!$C:$C,0))</f>
        <v>3.828549</v>
      </c>
      <c r="V147" s="73" cm="1">
        <f t="array" ref="V147">0.5*INDEX('[1]12月代理实际分时电量'!V:V,MATCH($A147-7,'[1]12月代理实际分时电量'!$C:$C,0))+0.3*INDEX('[1]12月代理实际分时电量'!V:V,MATCH($A147-14,'[1]12月代理实际分时电量'!$C:$C,0))+0.2*INDEX('[1]12月代理实际分时电量'!V:V,MATCH($A147-21,'[1]12月代理实际分时电量'!$C:$C,0))</f>
        <v>3.653552</v>
      </c>
      <c r="W147" s="73" cm="1">
        <f t="array" ref="W147">0.5*INDEX('[1]12月代理实际分时电量'!W:W,MATCH($A147-7,'[1]12月代理实际分时电量'!$C:$C,0))+0.3*INDEX('[1]12月代理实际分时电量'!W:W,MATCH($A147-14,'[1]12月代理实际分时电量'!$C:$C,0))+0.2*INDEX('[1]12月代理实际分时电量'!W:W,MATCH($A147-21,'[1]12月代理实际分时电量'!$C:$C,0))</f>
        <v>3.287449</v>
      </c>
      <c r="X147" s="73" cm="1">
        <f t="array" ref="X147">0.5*INDEX('[1]12月代理实际分时电量'!X:X,MATCH($A147-7,'[1]12月代理实际分时电量'!$C:$C,0))+0.3*INDEX('[1]12月代理实际分时电量'!X:X,MATCH($A147-14,'[1]12月代理实际分时电量'!$C:$C,0))+0.2*INDEX('[1]12月代理实际分时电量'!X:X,MATCH($A147-21,'[1]12月代理实际分时电量'!$C:$C,0))</f>
        <v>3.41393</v>
      </c>
      <c r="Y147" s="73" cm="1">
        <f t="array" ref="Y147">0.5*INDEX('[1]12月代理实际分时电量'!Y:Y,MATCH($A147-7,'[1]12月代理实际分时电量'!$C:$C,0))+0.3*INDEX('[1]12月代理实际分时电量'!Y:Y,MATCH($A147-14,'[1]12月代理实际分时电量'!$C:$C,0))+0.2*INDEX('[1]12月代理实际分时电量'!Y:Y,MATCH($A147-21,'[1]12月代理实际分时电量'!$C:$C,0))</f>
        <v>3.010305</v>
      </c>
      <c r="Z147" s="73" cm="1">
        <f t="array" ref="Z147">0.5*INDEX('[1]12月代理实际分时电量'!Z:Z,MATCH($A147-7,'[1]12月代理实际分时电量'!$C:$C,0))+0.3*INDEX('[1]12月代理实际分时电量'!Z:Z,MATCH($A147-14,'[1]12月代理实际分时电量'!$C:$C,0))+0.2*INDEX('[1]12月代理实际分时电量'!Z:Z,MATCH($A147-21,'[1]12月代理实际分时电量'!$C:$C,0))</f>
        <v>2.49677</v>
      </c>
      <c r="AA147" s="73" cm="1">
        <f t="array" ref="AA147">0.5*INDEX('[1]12月代理实际分时电量'!AA:AA,MATCH($A147-7,'[1]12月代理实际分时电量'!$C:$C,0))+0.3*INDEX('[1]12月代理实际分时电量'!AA:AA,MATCH($A147-14,'[1]12月代理实际分时电量'!$C:$C,0))+0.2*INDEX('[1]12月代理实际分时电量'!AA:AA,MATCH($A147-21,'[1]12月代理实际分时电量'!$C:$C,0))</f>
        <v>1.90547</v>
      </c>
      <c r="AB147" s="73" cm="1">
        <f t="array" ref="AB147">0.5*INDEX('[1]12月代理实际分时电量'!AB:AB,MATCH($A147-7,'[1]12月代理实际分时电量'!$C:$C,0))+0.3*INDEX('[1]12月代理实际分时电量'!AB:AB,MATCH($A147-14,'[1]12月代理实际分时电量'!$C:$C,0))+0.2*INDEX('[1]12月代理实际分时电量'!AB:AB,MATCH($A147-21,'[1]12月代理实际分时电量'!$C:$C,0))</f>
        <v>1.6303</v>
      </c>
      <c r="AC147" s="81"/>
    </row>
    <row r="148" spans="1:29">
      <c r="A148" s="4"/>
      <c r="B148" s="68"/>
      <c r="C148" s="2" t="s">
        <v>35</v>
      </c>
      <c r="D148" s="3">
        <f>D149/D147</f>
        <v>0.941824398316193</v>
      </c>
      <c r="E148" s="74">
        <v>0.9</v>
      </c>
      <c r="F148" s="75">
        <v>0.9</v>
      </c>
      <c r="G148" s="75">
        <v>0.9</v>
      </c>
      <c r="H148" s="75">
        <v>0.9</v>
      </c>
      <c r="I148" s="75">
        <v>0.9</v>
      </c>
      <c r="J148" s="75">
        <v>0.9</v>
      </c>
      <c r="K148" s="75">
        <v>0.9</v>
      </c>
      <c r="L148" s="75">
        <v>0.9</v>
      </c>
      <c r="M148" s="75">
        <v>0.9</v>
      </c>
      <c r="N148" s="75">
        <v>0.9</v>
      </c>
      <c r="O148" s="75">
        <v>0.9</v>
      </c>
      <c r="P148" s="75">
        <v>0.9</v>
      </c>
      <c r="Q148" s="75">
        <v>0.9</v>
      </c>
      <c r="R148" s="75">
        <v>0.9</v>
      </c>
      <c r="S148" s="75">
        <v>0.9</v>
      </c>
      <c r="T148" s="75">
        <v>0.9</v>
      </c>
      <c r="U148" s="75">
        <v>0.9</v>
      </c>
      <c r="V148" s="75">
        <v>1</v>
      </c>
      <c r="W148" s="75">
        <v>1.2</v>
      </c>
      <c r="X148" s="75">
        <v>1.2</v>
      </c>
      <c r="Y148" s="75">
        <v>1</v>
      </c>
      <c r="Z148" s="75">
        <v>0.9</v>
      </c>
      <c r="AA148" s="75">
        <v>0.9</v>
      </c>
      <c r="AB148" s="75">
        <v>0.9</v>
      </c>
      <c r="AC148" s="81"/>
    </row>
    <row r="149" spans="1:29">
      <c r="A149" s="4"/>
      <c r="B149" s="68"/>
      <c r="C149" s="2" t="s">
        <v>36</v>
      </c>
      <c r="D149" s="3">
        <f>SUM(E149:AB149)</f>
        <v>60.33</v>
      </c>
      <c r="E149" s="13">
        <f t="shared" ref="E149:AB149" si="58">ROUND(E147*E148,3)</f>
        <v>1.436</v>
      </c>
      <c r="F149" s="13">
        <f t="shared" si="58"/>
        <v>1.441</v>
      </c>
      <c r="G149" s="13">
        <f t="shared" si="58"/>
        <v>1.398</v>
      </c>
      <c r="H149" s="13">
        <f t="shared" si="58"/>
        <v>1.405</v>
      </c>
      <c r="I149" s="13">
        <f t="shared" si="58"/>
        <v>1.42</v>
      </c>
      <c r="J149" s="13">
        <f t="shared" si="58"/>
        <v>1.44</v>
      </c>
      <c r="K149" s="13">
        <f t="shared" si="58"/>
        <v>1.362</v>
      </c>
      <c r="L149" s="13">
        <f t="shared" si="58"/>
        <v>1.721</v>
      </c>
      <c r="M149" s="13">
        <f t="shared" si="58"/>
        <v>3.448</v>
      </c>
      <c r="N149" s="13">
        <f t="shared" si="58"/>
        <v>3.594</v>
      </c>
      <c r="O149" s="13">
        <f t="shared" si="58"/>
        <v>3.087</v>
      </c>
      <c r="P149" s="13">
        <f t="shared" si="58"/>
        <v>3.02</v>
      </c>
      <c r="Q149" s="13">
        <f t="shared" si="58"/>
        <v>2.412</v>
      </c>
      <c r="R149" s="13">
        <f t="shared" si="58"/>
        <v>2.925</v>
      </c>
      <c r="S149" s="13">
        <f t="shared" si="58"/>
        <v>3.386</v>
      </c>
      <c r="T149" s="13">
        <f t="shared" si="58"/>
        <v>3.254</v>
      </c>
      <c r="U149" s="13">
        <f t="shared" si="58"/>
        <v>3.446</v>
      </c>
      <c r="V149" s="13">
        <f t="shared" si="58"/>
        <v>3.654</v>
      </c>
      <c r="W149" s="13">
        <f t="shared" si="58"/>
        <v>3.945</v>
      </c>
      <c r="X149" s="13">
        <f t="shared" si="58"/>
        <v>4.097</v>
      </c>
      <c r="Y149" s="13">
        <f t="shared" si="58"/>
        <v>3.01</v>
      </c>
      <c r="Z149" s="13">
        <f t="shared" si="58"/>
        <v>2.247</v>
      </c>
      <c r="AA149" s="13">
        <f t="shared" si="58"/>
        <v>1.715</v>
      </c>
      <c r="AB149" s="13">
        <f t="shared" si="58"/>
        <v>1.467</v>
      </c>
      <c r="AC149" s="81"/>
    </row>
    <row r="150" ht="17" spans="1:29">
      <c r="A150" s="4"/>
      <c r="B150" s="68"/>
      <c r="C150" s="66" t="s">
        <v>37</v>
      </c>
      <c r="D150" s="3">
        <f>SUM(E150:AB150)</f>
        <v>61.0196</v>
      </c>
      <c r="E150" s="13">
        <v>1.6095</v>
      </c>
      <c r="F150" s="13">
        <v>1.5538</v>
      </c>
      <c r="G150" s="13">
        <v>1.6343</v>
      </c>
      <c r="H150" s="13">
        <v>1.5118</v>
      </c>
      <c r="I150" s="13">
        <v>1.5532</v>
      </c>
      <c r="J150" s="13">
        <v>1.5586</v>
      </c>
      <c r="K150" s="13">
        <v>1.5414</v>
      </c>
      <c r="L150" s="13">
        <v>1.824</v>
      </c>
      <c r="M150" s="13">
        <v>3.6699</v>
      </c>
      <c r="N150" s="13">
        <v>3.8209</v>
      </c>
      <c r="O150" s="13">
        <v>3.3675</v>
      </c>
      <c r="P150" s="13">
        <v>3.0189</v>
      </c>
      <c r="Q150" s="13">
        <v>2.5315</v>
      </c>
      <c r="R150" s="13">
        <v>3.0254</v>
      </c>
      <c r="S150" s="13">
        <v>3.5417</v>
      </c>
      <c r="T150" s="13">
        <v>3.4406</v>
      </c>
      <c r="U150" s="13">
        <v>3.4092</v>
      </c>
      <c r="V150" s="13">
        <v>3.3272</v>
      </c>
      <c r="W150" s="13">
        <v>3.0456</v>
      </c>
      <c r="X150" s="13">
        <v>3.0614</v>
      </c>
      <c r="Y150" s="13">
        <v>2.7636</v>
      </c>
      <c r="Z150" s="13">
        <v>2.5534</v>
      </c>
      <c r="AA150" s="13">
        <v>2.0067</v>
      </c>
      <c r="AB150" s="13">
        <v>1.6495</v>
      </c>
      <c r="AC150" s="81"/>
    </row>
    <row r="151" spans="1:29">
      <c r="A151" s="69"/>
      <c r="B151" s="68"/>
      <c r="C151" s="64" t="s">
        <v>38</v>
      </c>
      <c r="D151" s="70">
        <f>D150/D147</f>
        <v>0.952589889863995</v>
      </c>
      <c r="E151" s="76">
        <f t="shared" ref="E151:AB151" si="59">1-ABS(E147-E150)/E150</f>
        <v>0.991513513513513</v>
      </c>
      <c r="F151" s="76">
        <f t="shared" si="59"/>
        <v>0.969683356931394</v>
      </c>
      <c r="G151" s="76">
        <f t="shared" si="59"/>
        <v>0.950387933671908</v>
      </c>
      <c r="H151" s="76">
        <f t="shared" si="59"/>
        <v>0.967538034131499</v>
      </c>
      <c r="I151" s="76">
        <f t="shared" si="59"/>
        <v>0.984328483131599</v>
      </c>
      <c r="J151" s="76">
        <f t="shared" si="59"/>
        <v>0.973751443603234</v>
      </c>
      <c r="K151" s="76">
        <f t="shared" si="59"/>
        <v>0.981812637861684</v>
      </c>
      <c r="L151" s="76">
        <f t="shared" si="59"/>
        <v>0.951671600877193</v>
      </c>
      <c r="M151" s="76">
        <f t="shared" si="59"/>
        <v>0.956117877871332</v>
      </c>
      <c r="N151" s="76">
        <f t="shared" si="59"/>
        <v>0.954773482687325</v>
      </c>
      <c r="O151" s="76">
        <f t="shared" si="59"/>
        <v>0.981571789161099</v>
      </c>
      <c r="P151" s="76">
        <f t="shared" si="59"/>
        <v>0.888479578654477</v>
      </c>
      <c r="Q151" s="76">
        <f t="shared" si="59"/>
        <v>0.941476989926921</v>
      </c>
      <c r="R151" s="76">
        <f t="shared" si="59"/>
        <v>0.925848152310438</v>
      </c>
      <c r="S151" s="76">
        <f t="shared" si="59"/>
        <v>0.937764068102888</v>
      </c>
      <c r="T151" s="76">
        <f t="shared" si="59"/>
        <v>0.949164389931989</v>
      </c>
      <c r="U151" s="76">
        <f t="shared" si="59"/>
        <v>0.876994896163323</v>
      </c>
      <c r="V151" s="76">
        <f t="shared" si="59"/>
        <v>0.901913921615773</v>
      </c>
      <c r="W151" s="76">
        <f t="shared" si="59"/>
        <v>0.920590688205936</v>
      </c>
      <c r="X151" s="76">
        <f t="shared" si="59"/>
        <v>0.884846802116679</v>
      </c>
      <c r="Y151" s="76">
        <f t="shared" si="59"/>
        <v>0.910730568823274</v>
      </c>
      <c r="Z151" s="76">
        <f t="shared" si="59"/>
        <v>0.977821727892222</v>
      </c>
      <c r="AA151" s="76">
        <f t="shared" si="59"/>
        <v>0.949553994119699</v>
      </c>
      <c r="AB151" s="76">
        <f t="shared" si="59"/>
        <v>0.988360109123977</v>
      </c>
      <c r="AC151" s="81"/>
    </row>
    <row r="152" spans="1:29">
      <c r="A152" s="4">
        <v>46022</v>
      </c>
      <c r="B152" s="67"/>
      <c r="C152" s="2" t="s">
        <v>33</v>
      </c>
      <c r="D152" s="3">
        <f>SUM(E152:AB152)</f>
        <v>67.520669</v>
      </c>
      <c r="E152" s="73" cm="1">
        <f t="array" ref="E152">0.5*INDEX('[1]12月代理实际分时电量'!E:E,MATCH($A152-7,'[1]12月代理实际分时电量'!$C:$C,0))+0.3*INDEX('[1]12月代理实际分时电量'!E:E,MATCH($A152-14,'[1]12月代理实际分时电量'!$C:$C,0))+0.2*INDEX('[1]12月代理实际分时电量'!E:E,MATCH($A152-21,'[1]12月代理实际分时电量'!$C:$C,0))</f>
        <v>1.679812</v>
      </c>
      <c r="F152" s="73" cm="1">
        <f t="array" ref="F152">0.5*INDEX('[1]12月代理实际分时电量'!F:F,MATCH($A152-7,'[1]12月代理实际分时电量'!$C:$C,0))+0.3*INDEX('[1]12月代理实际分时电量'!F:F,MATCH($A152-14,'[1]12月代理实际分时电量'!$C:$C,0))+0.2*INDEX('[1]12月代理实际分时电量'!F:F,MATCH($A152-21,'[1]12月代理实际分时电量'!$C:$C,0))</f>
        <v>1.694608</v>
      </c>
      <c r="G152" s="73" cm="1">
        <f t="array" ref="G152">0.5*INDEX('[1]12月代理实际分时电量'!G:G,MATCH($A152-7,'[1]12月代理实际分时电量'!$C:$C,0))+0.3*INDEX('[1]12月代理实际分时电量'!G:G,MATCH($A152-14,'[1]12月代理实际分时电量'!$C:$C,0))+0.2*INDEX('[1]12月代理实际分时电量'!G:G,MATCH($A152-21,'[1]12月代理实际分时电量'!$C:$C,0))</f>
        <v>1.652695</v>
      </c>
      <c r="H152" s="73" cm="1">
        <f t="array" ref="H152">0.5*INDEX('[1]12月代理实际分时电量'!H:H,MATCH($A152-7,'[1]12月代理实际分时电量'!$C:$C,0))+0.3*INDEX('[1]12月代理实际分时电量'!H:H,MATCH($A152-14,'[1]12月代理实际分时电量'!$C:$C,0))+0.2*INDEX('[1]12月代理实际分时电量'!H:H,MATCH($A152-21,'[1]12月代理实际分时电量'!$C:$C,0))</f>
        <v>1.65138</v>
      </c>
      <c r="I152" s="73" cm="1">
        <f t="array" ref="I152">0.5*INDEX('[1]12月代理实际分时电量'!I:I,MATCH($A152-7,'[1]12月代理实际分时电量'!$C:$C,0))+0.3*INDEX('[1]12月代理实际分时电量'!I:I,MATCH($A152-14,'[1]12月代理实际分时电量'!$C:$C,0))+0.2*INDEX('[1]12月代理实际分时电量'!I:I,MATCH($A152-21,'[1]12月代理实际分时电量'!$C:$C,0))</f>
        <v>1.685412</v>
      </c>
      <c r="J152" s="73" cm="1">
        <f t="array" ref="J152">0.5*INDEX('[1]12月代理实际分时电量'!J:J,MATCH($A152-7,'[1]12月代理实际分时电量'!$C:$C,0))+0.3*INDEX('[1]12月代理实际分时电量'!J:J,MATCH($A152-14,'[1]12月代理实际分时电量'!$C:$C,0))+0.2*INDEX('[1]12月代理实际分时电量'!J:J,MATCH($A152-21,'[1]12月代理实际分时电量'!$C:$C,0))</f>
        <v>1.66248</v>
      </c>
      <c r="K152" s="73" cm="1">
        <f t="array" ref="K152">0.5*INDEX('[1]12月代理实际分时电量'!K:K,MATCH($A152-7,'[1]12月代理实际分时电量'!$C:$C,0))+0.3*INDEX('[1]12月代理实际分时电量'!K:K,MATCH($A152-14,'[1]12月代理实际分时电量'!$C:$C,0))+0.2*INDEX('[1]12月代理实际分时电量'!K:K,MATCH($A152-21,'[1]12月代理实际分时电量'!$C:$C,0))</f>
        <v>1.587875</v>
      </c>
      <c r="L152" s="73" cm="1">
        <f t="array" ref="L152">0.5*INDEX('[1]12月代理实际分时电量'!L:L,MATCH($A152-7,'[1]12月代理实际分时电量'!$C:$C,0))+0.3*INDEX('[1]12月代理实际分时电量'!L:L,MATCH($A152-14,'[1]12月代理实际分时电量'!$C:$C,0))+0.2*INDEX('[1]12月代理实际分时电量'!L:L,MATCH($A152-21,'[1]12月代理实际分时电量'!$C:$C,0))</f>
        <v>1.964907</v>
      </c>
      <c r="M152" s="73" cm="1">
        <f t="array" ref="M152">0.5*INDEX('[1]12月代理实际分时电量'!M:M,MATCH($A152-7,'[1]12月代理实际分时电量'!$C:$C,0))+0.3*INDEX('[1]12月代理实际分时电量'!M:M,MATCH($A152-14,'[1]12月代理实际分时电量'!$C:$C,0))+0.2*INDEX('[1]12月代理实际分时电量'!M:M,MATCH($A152-21,'[1]12月代理实际分时电量'!$C:$C,0))</f>
        <v>4.015879</v>
      </c>
      <c r="N152" s="73" cm="1">
        <f t="array" ref="N152">0.5*INDEX('[1]12月代理实际分时电量'!N:N,MATCH($A152-7,'[1]12月代理实际分时电量'!$C:$C,0))+0.3*INDEX('[1]12月代理实际分时电量'!N:N,MATCH($A152-14,'[1]12月代理实际分时电量'!$C:$C,0))+0.2*INDEX('[1]12月代理实际分时电量'!N:N,MATCH($A152-21,'[1]12月代理实际分时电量'!$C:$C,0))</f>
        <v>4.325793</v>
      </c>
      <c r="O152" s="73" cm="1">
        <f t="array" ref="O152">0.5*INDEX('[1]12月代理实际分时电量'!O:O,MATCH($A152-7,'[1]12月代理实际分时电量'!$C:$C,0))+0.3*INDEX('[1]12月代理实际分时电量'!O:O,MATCH($A152-14,'[1]12月代理实际分时电量'!$C:$C,0))+0.2*INDEX('[1]12月代理实际分时电量'!O:O,MATCH($A152-21,'[1]12月代理实际分时电量'!$C:$C,0))</f>
        <v>3.756357</v>
      </c>
      <c r="P152" s="73" cm="1">
        <f t="array" ref="P152">0.5*INDEX('[1]12月代理实际分时电量'!P:P,MATCH($A152-7,'[1]12月代理实际分时电量'!$C:$C,0))+0.3*INDEX('[1]12月代理实际分时电量'!P:P,MATCH($A152-14,'[1]12月代理实际分时电量'!$C:$C,0))+0.2*INDEX('[1]12月代理实际分时电量'!P:P,MATCH($A152-21,'[1]12月代理实际分时电量'!$C:$C,0))</f>
        <v>3.598129</v>
      </c>
      <c r="Q152" s="73" cm="1">
        <f t="array" ref="Q152">0.5*INDEX('[1]12月代理实际分时电量'!Q:Q,MATCH($A152-7,'[1]12月代理实际分时电量'!$C:$C,0))+0.3*INDEX('[1]12月代理实际分时电量'!Q:Q,MATCH($A152-14,'[1]12月代理实际分时电量'!$C:$C,0))+0.2*INDEX('[1]12月代理实际分时电量'!Q:Q,MATCH($A152-21,'[1]12月代理实际分时电量'!$C:$C,0))</f>
        <v>2.9002</v>
      </c>
      <c r="R152" s="73" cm="1">
        <f t="array" ref="R152">0.5*INDEX('[1]12月代理实际分时电量'!R:R,MATCH($A152-7,'[1]12月代理实际分时电量'!$C:$C,0))+0.3*INDEX('[1]12月代理实际分时电量'!R:R,MATCH($A152-14,'[1]12月代理实际分时电量'!$C:$C,0))+0.2*INDEX('[1]12月代理实际分时电量'!R:R,MATCH($A152-21,'[1]12月代理实际分时电量'!$C:$C,0))</f>
        <v>3.434485</v>
      </c>
      <c r="S152" s="73" cm="1">
        <f t="array" ref="S152">0.5*INDEX('[1]12月代理实际分时电量'!S:S,MATCH($A152-7,'[1]12月代理实际分时电量'!$C:$C,0))+0.3*INDEX('[1]12月代理实际分时电量'!S:S,MATCH($A152-14,'[1]12月代理实际分时电量'!$C:$C,0))+0.2*INDEX('[1]12月代理实际分时电量'!S:S,MATCH($A152-21,'[1]12月代理实际分时电量'!$C:$C,0))</f>
        <v>4.005913</v>
      </c>
      <c r="T152" s="73" cm="1">
        <f t="array" ref="T152">0.5*INDEX('[1]12月代理实际分时电量'!T:T,MATCH($A152-7,'[1]12月代理实际分时电量'!$C:$C,0))+0.3*INDEX('[1]12月代理实际分时电量'!T:T,MATCH($A152-14,'[1]12月代理实际分时电量'!$C:$C,0))+0.2*INDEX('[1]12月代理实际分时电量'!T:T,MATCH($A152-21,'[1]12月代理实际分时电量'!$C:$C,0))</f>
        <v>3.799133</v>
      </c>
      <c r="U152" s="73" cm="1">
        <f t="array" ref="U152">0.5*INDEX('[1]12月代理实际分时电量'!U:U,MATCH($A152-7,'[1]12月代理实际分时电量'!$C:$C,0))+0.3*INDEX('[1]12月代理实际分时电量'!U:U,MATCH($A152-14,'[1]12月代理实际分时电量'!$C:$C,0))+0.2*INDEX('[1]12月代理实际分时电量'!U:U,MATCH($A152-21,'[1]12月代理实际分时电量'!$C:$C,0))</f>
        <v>3.988808</v>
      </c>
      <c r="V152" s="73" cm="1">
        <f t="array" ref="V152">0.5*INDEX('[1]12月代理实际分时电量'!V:V,MATCH($A152-7,'[1]12月代理实际分时电量'!$C:$C,0))+0.3*INDEX('[1]12月代理实际分时电量'!V:V,MATCH($A152-14,'[1]12月代理实际分时电量'!$C:$C,0))+0.2*INDEX('[1]12月代理实际分时电量'!V:V,MATCH($A152-21,'[1]12月代理实际分时电量'!$C:$C,0))</f>
        <v>3.696159</v>
      </c>
      <c r="W152" s="73" cm="1">
        <f t="array" ref="W152">0.5*INDEX('[1]12月代理实际分时电量'!W:W,MATCH($A152-7,'[1]12月代理实际分时电量'!$C:$C,0))+0.3*INDEX('[1]12月代理实际分时电量'!W:W,MATCH($A152-14,'[1]12月代理实际分时电量'!$C:$C,0))+0.2*INDEX('[1]12月代理实际分时电量'!W:W,MATCH($A152-21,'[1]12月代理实际分时电量'!$C:$C,0))</f>
        <v>3.401376</v>
      </c>
      <c r="X152" s="73" cm="1">
        <f t="array" ref="X152">0.5*INDEX('[1]12月代理实际分时电量'!X:X,MATCH($A152-7,'[1]12月代理实际分时电量'!$C:$C,0))+0.3*INDEX('[1]12月代理实际分时电量'!X:X,MATCH($A152-14,'[1]12月代理实际分时电量'!$C:$C,0))+0.2*INDEX('[1]12月代理实际分时电量'!X:X,MATCH($A152-21,'[1]12月代理实际分时电量'!$C:$C,0))</f>
        <v>3.597749</v>
      </c>
      <c r="Y152" s="73" cm="1">
        <f t="array" ref="Y152">0.5*INDEX('[1]12月代理实际分时电量'!Y:Y,MATCH($A152-7,'[1]12月代理实际分时电量'!$C:$C,0))+0.3*INDEX('[1]12月代理实际分时电量'!Y:Y,MATCH($A152-14,'[1]12月代理实际分时电量'!$C:$C,0))+0.2*INDEX('[1]12月代理实际分时电量'!Y:Y,MATCH($A152-21,'[1]12月代理实际分时电量'!$C:$C,0))</f>
        <v>3.138299</v>
      </c>
      <c r="Z152" s="73" cm="1">
        <f t="array" ref="Z152">0.5*INDEX('[1]12月代理实际分时电量'!Z:Z,MATCH($A152-7,'[1]12月代理实际分时电量'!$C:$C,0))+0.3*INDEX('[1]12月代理实际分时电量'!Z:Z,MATCH($A152-14,'[1]12月代理实际分时电量'!$C:$C,0))+0.2*INDEX('[1]12月代理实际分时电量'!Z:Z,MATCH($A152-21,'[1]12月代理实际分时电量'!$C:$C,0))</f>
        <v>2.561809</v>
      </c>
      <c r="AA152" s="73" cm="1">
        <f t="array" ref="AA152">0.5*INDEX('[1]12月代理实际分时电量'!AA:AA,MATCH($A152-7,'[1]12月代理实际分时电量'!$C:$C,0))+0.3*INDEX('[1]12月代理实际分时电量'!AA:AA,MATCH($A152-14,'[1]12月代理实际分时电量'!$C:$C,0))+0.2*INDEX('[1]12月代理实际分时电量'!AA:AA,MATCH($A152-21,'[1]12月代理实际分时电量'!$C:$C,0))</f>
        <v>1.979644</v>
      </c>
      <c r="AB152" s="73" cm="1">
        <f t="array" ref="AB152">0.5*INDEX('[1]12月代理实际分时电量'!AB:AB,MATCH($A152-7,'[1]12月代理实际分时电量'!$C:$C,0))+0.3*INDEX('[1]12月代理实际分时电量'!AB:AB,MATCH($A152-14,'[1]12月代理实际分时电量'!$C:$C,0))+0.2*INDEX('[1]12月代理实际分时电量'!AB:AB,MATCH($A152-21,'[1]12月代理实际分时电量'!$C:$C,0))</f>
        <v>1.741767</v>
      </c>
      <c r="AC152" s="81"/>
    </row>
    <row r="153" spans="1:29">
      <c r="A153" s="4"/>
      <c r="B153" s="68"/>
      <c r="C153" s="2" t="s">
        <v>35</v>
      </c>
      <c r="D153" s="3">
        <f>D154/D152</f>
        <v>0.939341996152319</v>
      </c>
      <c r="E153" s="85">
        <v>0.9</v>
      </c>
      <c r="F153" s="85">
        <v>1.1</v>
      </c>
      <c r="G153" s="85">
        <v>0.8</v>
      </c>
      <c r="H153" s="85">
        <v>0.9</v>
      </c>
      <c r="I153" s="85">
        <v>0.9</v>
      </c>
      <c r="J153" s="85">
        <v>0.8</v>
      </c>
      <c r="K153" s="85">
        <v>1.1</v>
      </c>
      <c r="L153" s="85">
        <v>1.1</v>
      </c>
      <c r="M153" s="85">
        <v>1.2</v>
      </c>
      <c r="N153" s="85">
        <v>1</v>
      </c>
      <c r="O153" s="85">
        <v>0.8</v>
      </c>
      <c r="P153" s="85">
        <v>0.8</v>
      </c>
      <c r="Q153" s="85">
        <v>0.8</v>
      </c>
      <c r="R153" s="85">
        <v>0.9</v>
      </c>
      <c r="S153" s="85">
        <v>0.8</v>
      </c>
      <c r="T153" s="85">
        <v>0.7</v>
      </c>
      <c r="U153" s="85">
        <v>1.1</v>
      </c>
      <c r="V153" s="85">
        <v>1.1</v>
      </c>
      <c r="W153" s="85">
        <v>1.1</v>
      </c>
      <c r="X153" s="85">
        <v>0.8</v>
      </c>
      <c r="Y153" s="85">
        <v>1.1</v>
      </c>
      <c r="Z153" s="85">
        <v>0.9</v>
      </c>
      <c r="AA153" s="85">
        <v>0.9</v>
      </c>
      <c r="AB153" s="85">
        <v>0.9</v>
      </c>
      <c r="AC153" s="81"/>
    </row>
    <row r="154" spans="1:29">
      <c r="A154" s="4"/>
      <c r="B154" s="68"/>
      <c r="C154" s="2" t="s">
        <v>36</v>
      </c>
      <c r="D154" s="3">
        <f>SUM(E154:AB154)</f>
        <v>63.425</v>
      </c>
      <c r="E154" s="13">
        <f t="shared" ref="E154:AB154" si="60">ROUND(E152*E153,3)</f>
        <v>1.512</v>
      </c>
      <c r="F154" s="13">
        <f t="shared" si="60"/>
        <v>1.864</v>
      </c>
      <c r="G154" s="13">
        <f t="shared" si="60"/>
        <v>1.322</v>
      </c>
      <c r="H154" s="13">
        <f t="shared" si="60"/>
        <v>1.486</v>
      </c>
      <c r="I154" s="13">
        <f t="shared" si="60"/>
        <v>1.517</v>
      </c>
      <c r="J154" s="13">
        <f t="shared" si="60"/>
        <v>1.33</v>
      </c>
      <c r="K154" s="13">
        <f t="shared" si="60"/>
        <v>1.747</v>
      </c>
      <c r="L154" s="13">
        <f t="shared" si="60"/>
        <v>2.161</v>
      </c>
      <c r="M154" s="13">
        <f t="shared" si="60"/>
        <v>4.819</v>
      </c>
      <c r="N154" s="13">
        <f t="shared" si="60"/>
        <v>4.326</v>
      </c>
      <c r="O154" s="13">
        <f t="shared" si="60"/>
        <v>3.005</v>
      </c>
      <c r="P154" s="13">
        <f t="shared" si="60"/>
        <v>2.879</v>
      </c>
      <c r="Q154" s="13">
        <f t="shared" si="60"/>
        <v>2.32</v>
      </c>
      <c r="R154" s="13">
        <f t="shared" si="60"/>
        <v>3.091</v>
      </c>
      <c r="S154" s="13">
        <f t="shared" si="60"/>
        <v>3.205</v>
      </c>
      <c r="T154" s="13">
        <f t="shared" si="60"/>
        <v>2.659</v>
      </c>
      <c r="U154" s="13">
        <f t="shared" si="60"/>
        <v>4.388</v>
      </c>
      <c r="V154" s="13">
        <f t="shared" si="60"/>
        <v>4.066</v>
      </c>
      <c r="W154" s="13">
        <f t="shared" si="60"/>
        <v>3.742</v>
      </c>
      <c r="X154" s="13">
        <f t="shared" si="60"/>
        <v>2.878</v>
      </c>
      <c r="Y154" s="13">
        <f t="shared" si="60"/>
        <v>3.452</v>
      </c>
      <c r="Z154" s="13">
        <f t="shared" si="60"/>
        <v>2.306</v>
      </c>
      <c r="AA154" s="13">
        <f t="shared" si="60"/>
        <v>1.782</v>
      </c>
      <c r="AB154" s="13">
        <f t="shared" si="60"/>
        <v>1.568</v>
      </c>
      <c r="AC154" s="81"/>
    </row>
    <row r="155" ht="17" spans="1:29">
      <c r="A155" s="4"/>
      <c r="B155" s="68"/>
      <c r="C155" s="66" t="s">
        <v>37</v>
      </c>
      <c r="D155" s="3">
        <f>SUM(E155:AB155)</f>
        <v>65.2793</v>
      </c>
      <c r="E155" s="13">
        <v>1.7356</v>
      </c>
      <c r="F155" s="13">
        <v>1.733</v>
      </c>
      <c r="G155" s="13">
        <v>1.7353</v>
      </c>
      <c r="H155" s="13">
        <v>1.7277</v>
      </c>
      <c r="I155" s="13">
        <v>1.655</v>
      </c>
      <c r="J155" s="13">
        <v>1.6331</v>
      </c>
      <c r="K155" s="13">
        <v>1.6269</v>
      </c>
      <c r="L155" s="13">
        <v>2.0913</v>
      </c>
      <c r="M155" s="13">
        <v>4.5506</v>
      </c>
      <c r="N155" s="13">
        <v>4.7365</v>
      </c>
      <c r="O155" s="13">
        <v>4.3133</v>
      </c>
      <c r="P155" s="13">
        <v>3.8531</v>
      </c>
      <c r="Q155" s="13">
        <v>2.8212</v>
      </c>
      <c r="R155" s="13">
        <v>3.5752</v>
      </c>
      <c r="S155" s="13">
        <v>4.288</v>
      </c>
      <c r="T155" s="13">
        <v>4.1042</v>
      </c>
      <c r="U155" s="13">
        <v>4.0239</v>
      </c>
      <c r="V155" s="13">
        <v>3.4929</v>
      </c>
      <c r="W155" s="13">
        <v>2.8079</v>
      </c>
      <c r="X155" s="13">
        <v>2.6478</v>
      </c>
      <c r="Y155" s="13">
        <v>2.1253</v>
      </c>
      <c r="Z155" s="13">
        <v>1.6265</v>
      </c>
      <c r="AA155" s="13">
        <v>1.2981</v>
      </c>
      <c r="AB155" s="13">
        <v>1.0769</v>
      </c>
      <c r="AC155" s="81"/>
    </row>
    <row r="156" spans="1:29">
      <c r="A156" s="69"/>
      <c r="B156" s="68"/>
      <c r="C156" s="64" t="s">
        <v>38</v>
      </c>
      <c r="D156" s="70">
        <f>D155/D152</f>
        <v>0.966804697980703</v>
      </c>
      <c r="E156" s="76">
        <f t="shared" ref="E156:AB156" si="61">1-ABS(E152-E155)/E155</f>
        <v>0.967856648997465</v>
      </c>
      <c r="F156" s="76">
        <f t="shared" si="61"/>
        <v>0.977846508944028</v>
      </c>
      <c r="G156" s="76">
        <f t="shared" si="61"/>
        <v>0.95239728000922</v>
      </c>
      <c r="H156" s="76">
        <f t="shared" si="61"/>
        <v>0.955825664177809</v>
      </c>
      <c r="I156" s="76">
        <f t="shared" si="61"/>
        <v>0.98162416918429</v>
      </c>
      <c r="J156" s="76">
        <f t="shared" si="61"/>
        <v>0.982009674851509</v>
      </c>
      <c r="K156" s="76">
        <f t="shared" si="61"/>
        <v>0.976012662118139</v>
      </c>
      <c r="L156" s="76">
        <f t="shared" si="61"/>
        <v>0.939562473102855</v>
      </c>
      <c r="M156" s="76">
        <f t="shared" si="61"/>
        <v>0.882494396343339</v>
      </c>
      <c r="N156" s="76">
        <f t="shared" si="61"/>
        <v>0.913288926422464</v>
      </c>
      <c r="O156" s="76">
        <f t="shared" si="61"/>
        <v>0.870877750214453</v>
      </c>
      <c r="P156" s="76">
        <f t="shared" si="61"/>
        <v>0.933827048350679</v>
      </c>
      <c r="Q156" s="76">
        <f t="shared" si="61"/>
        <v>0.971997731461789</v>
      </c>
      <c r="R156" s="76">
        <f t="shared" si="61"/>
        <v>0.960641362720967</v>
      </c>
      <c r="S156" s="76">
        <f t="shared" si="61"/>
        <v>0.934214785447761</v>
      </c>
      <c r="T156" s="76">
        <f t="shared" si="61"/>
        <v>0.925669558013742</v>
      </c>
      <c r="U156" s="76">
        <f t="shared" si="61"/>
        <v>0.991279107333681</v>
      </c>
      <c r="V156" s="76">
        <f t="shared" si="61"/>
        <v>0.941807953276647</v>
      </c>
      <c r="W156" s="76">
        <f t="shared" si="61"/>
        <v>0.78864062110474</v>
      </c>
      <c r="X156" s="76">
        <f t="shared" si="61"/>
        <v>0.641230833144497</v>
      </c>
      <c r="Y156" s="76">
        <f t="shared" si="61"/>
        <v>0.52336187832306</v>
      </c>
      <c r="Z156" s="76">
        <f t="shared" si="61"/>
        <v>0.424956040577928</v>
      </c>
      <c r="AA156" s="76">
        <f t="shared" si="61"/>
        <v>0.474968030197982</v>
      </c>
      <c r="AB156" s="76">
        <f t="shared" si="61"/>
        <v>0.382610270220076</v>
      </c>
      <c r="AC156" s="81"/>
    </row>
    <row r="160" spans="4:27"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C1:C160" etc:filterBottomFollowUsedRange="0">
    <extLst/>
  </autoFilter>
  <mergeCells count="93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AC2:AC6"/>
    <mergeCell ref="AC7:AC11"/>
    <mergeCell ref="AC12:AC16"/>
    <mergeCell ref="AC17:AC21"/>
    <mergeCell ref="AC22:AC26"/>
    <mergeCell ref="AC27:AC31"/>
    <mergeCell ref="AC32:AC36"/>
    <mergeCell ref="AC37:AC41"/>
    <mergeCell ref="AC42:AC46"/>
    <mergeCell ref="AC47:AC51"/>
    <mergeCell ref="AC52:AC56"/>
    <mergeCell ref="AC57:AC61"/>
    <mergeCell ref="AC62:AC66"/>
    <mergeCell ref="AC67:AC71"/>
    <mergeCell ref="AC72:AC76"/>
    <mergeCell ref="AC77:AC81"/>
    <mergeCell ref="AC82:AC86"/>
    <mergeCell ref="AC87:AC91"/>
    <mergeCell ref="AC92:AC96"/>
    <mergeCell ref="AC97:AC101"/>
    <mergeCell ref="AC102:AC106"/>
    <mergeCell ref="AC107:AC111"/>
    <mergeCell ref="AC112:AC116"/>
    <mergeCell ref="AC117:AC121"/>
    <mergeCell ref="AC122:AC126"/>
    <mergeCell ref="AC127:AC131"/>
    <mergeCell ref="AC132:AC136"/>
    <mergeCell ref="AC137:AC141"/>
    <mergeCell ref="AC142:AC146"/>
    <mergeCell ref="AC147:AC151"/>
    <mergeCell ref="AC152:AC156"/>
  </mergeCells>
  <conditionalFormatting sqref="E6:AB6">
    <cfRule type="colorScale" priority="31">
      <colorScale>
        <cfvo type="num" val="0.2"/>
        <cfvo type="num" val="0.7"/>
        <color rgb="FFFFFF00"/>
        <color rgb="FF63BE7B"/>
      </colorScale>
    </cfRule>
  </conditionalFormatting>
  <conditionalFormatting sqref="E11:AB11">
    <cfRule type="colorScale" priority="32">
      <colorScale>
        <cfvo type="num" val="0.2"/>
        <cfvo type="num" val="0.7"/>
        <color rgb="FFFFFF00"/>
        <color rgb="FF63BE7B"/>
      </colorScale>
    </cfRule>
  </conditionalFormatting>
  <conditionalFormatting sqref="E16:AB16">
    <cfRule type="colorScale" priority="30">
      <colorScale>
        <cfvo type="num" val="0.2"/>
        <cfvo type="num" val="0.7"/>
        <color rgb="FFFFFF00"/>
        <color rgb="FF63BE7B"/>
      </colorScale>
    </cfRule>
  </conditionalFormatting>
  <conditionalFormatting sqref="E21:AB21">
    <cfRule type="colorScale" priority="29">
      <colorScale>
        <cfvo type="num" val="0.2"/>
        <cfvo type="num" val="0.7"/>
        <color rgb="FFFFFF00"/>
        <color rgb="FF63BE7B"/>
      </colorScale>
    </cfRule>
  </conditionalFormatting>
  <conditionalFormatting sqref="E26:AB26">
    <cfRule type="colorScale" priority="28">
      <colorScale>
        <cfvo type="num" val="0.2"/>
        <cfvo type="num" val="0.7"/>
        <color rgb="FFFFFF00"/>
        <color rgb="FF63BE7B"/>
      </colorScale>
    </cfRule>
  </conditionalFormatting>
  <conditionalFormatting sqref="E31:AB31">
    <cfRule type="colorScale" priority="27">
      <colorScale>
        <cfvo type="num" val="0.2"/>
        <cfvo type="num" val="0.7"/>
        <color rgb="FFFFFF00"/>
        <color rgb="FF63BE7B"/>
      </colorScale>
    </cfRule>
  </conditionalFormatting>
  <conditionalFormatting sqref="E36:AB36">
    <cfRule type="colorScale" priority="26">
      <colorScale>
        <cfvo type="num" val="0.2"/>
        <cfvo type="num" val="0.7"/>
        <color rgb="FFFFFF00"/>
        <color rgb="FF63BE7B"/>
      </colorScale>
    </cfRule>
  </conditionalFormatting>
  <conditionalFormatting sqref="E41:AB41">
    <cfRule type="colorScale" priority="24">
      <colorScale>
        <cfvo type="num" val="0.2"/>
        <cfvo type="num" val="0.7"/>
        <color rgb="FFFFFF00"/>
        <color rgb="FF63BE7B"/>
      </colorScale>
    </cfRule>
  </conditionalFormatting>
  <conditionalFormatting sqref="E46:AB46">
    <cfRule type="colorScale" priority="23">
      <colorScale>
        <cfvo type="num" val="0.2"/>
        <cfvo type="num" val="0.7"/>
        <color rgb="FFFFFF00"/>
        <color rgb="FF63BE7B"/>
      </colorScale>
    </cfRule>
  </conditionalFormatting>
  <conditionalFormatting sqref="E51:AB51">
    <cfRule type="colorScale" priority="22">
      <colorScale>
        <cfvo type="num" val="0.2"/>
        <cfvo type="num" val="0.7"/>
        <color rgb="FFFFFF00"/>
        <color rgb="FF63BE7B"/>
      </colorScale>
    </cfRule>
  </conditionalFormatting>
  <conditionalFormatting sqref="E56:AB56">
    <cfRule type="colorScale" priority="21">
      <colorScale>
        <cfvo type="num" val="0.2"/>
        <cfvo type="num" val="0.7"/>
        <color rgb="FFFFFF00"/>
        <color rgb="FF63BE7B"/>
      </colorScale>
    </cfRule>
  </conditionalFormatting>
  <conditionalFormatting sqref="E61:AB61">
    <cfRule type="colorScale" priority="20">
      <colorScale>
        <cfvo type="num" val="0.2"/>
        <cfvo type="num" val="0.7"/>
        <color rgb="FFFFFF00"/>
        <color rgb="FF63BE7B"/>
      </colorScale>
    </cfRule>
  </conditionalFormatting>
  <conditionalFormatting sqref="E66:AB66">
    <cfRule type="colorScale" priority="19">
      <colorScale>
        <cfvo type="num" val="0.2"/>
        <cfvo type="num" val="0.7"/>
        <color rgb="FFFFFF00"/>
        <color rgb="FF63BE7B"/>
      </colorScale>
    </cfRule>
  </conditionalFormatting>
  <conditionalFormatting sqref="E71:AB71">
    <cfRule type="colorScale" priority="18">
      <colorScale>
        <cfvo type="num" val="0.2"/>
        <cfvo type="num" val="0.7"/>
        <color rgb="FFFFFF00"/>
        <color rgb="FF63BE7B"/>
      </colorScale>
    </cfRule>
  </conditionalFormatting>
  <conditionalFormatting sqref="E76:AB76">
    <cfRule type="colorScale" priority="17">
      <colorScale>
        <cfvo type="num" val="0.2"/>
        <cfvo type="num" val="0.7"/>
        <color rgb="FFFFFF00"/>
        <color rgb="FF63BE7B"/>
      </colorScale>
    </cfRule>
  </conditionalFormatting>
  <conditionalFormatting sqref="E81:AB81">
    <cfRule type="colorScale" priority="16">
      <colorScale>
        <cfvo type="num" val="0.2"/>
        <cfvo type="num" val="0.7"/>
        <color rgb="FFFFFF00"/>
        <color rgb="FF63BE7B"/>
      </colorScale>
    </cfRule>
  </conditionalFormatting>
  <conditionalFormatting sqref="E86:AB86">
    <cfRule type="colorScale" priority="15">
      <colorScale>
        <cfvo type="num" val="0.2"/>
        <cfvo type="num" val="0.7"/>
        <color rgb="FFFFFF00"/>
        <color rgb="FF63BE7B"/>
      </colorScale>
    </cfRule>
  </conditionalFormatting>
  <conditionalFormatting sqref="E91:AB91">
    <cfRule type="colorScale" priority="14">
      <colorScale>
        <cfvo type="num" val="0.2"/>
        <cfvo type="num" val="0.7"/>
        <color rgb="FFFFFF00"/>
        <color rgb="FF63BE7B"/>
      </colorScale>
    </cfRule>
  </conditionalFormatting>
  <conditionalFormatting sqref="E96:AB96">
    <cfRule type="colorScale" priority="13">
      <colorScale>
        <cfvo type="num" val="0.2"/>
        <cfvo type="num" val="0.7"/>
        <color rgb="FFFFFF00"/>
        <color rgb="FF63BE7B"/>
      </colorScale>
    </cfRule>
  </conditionalFormatting>
  <conditionalFormatting sqref="E101:AB101">
    <cfRule type="colorScale" priority="12">
      <colorScale>
        <cfvo type="num" val="0.2"/>
        <cfvo type="num" val="0.7"/>
        <color rgb="FFFFFF00"/>
        <color rgb="FF63BE7B"/>
      </colorScale>
    </cfRule>
  </conditionalFormatting>
  <conditionalFormatting sqref="E106:AB106">
    <cfRule type="colorScale" priority="11">
      <colorScale>
        <cfvo type="num" val="0.2"/>
        <cfvo type="num" val="0.7"/>
        <color rgb="FFFFFF00"/>
        <color rgb="FF63BE7B"/>
      </colorScale>
    </cfRule>
  </conditionalFormatting>
  <conditionalFormatting sqref="E111:AB111">
    <cfRule type="colorScale" priority="10">
      <colorScale>
        <cfvo type="num" val="0.2"/>
        <cfvo type="num" val="0.7"/>
        <color rgb="FFFFFF00"/>
        <color rgb="FF63BE7B"/>
      </colorScale>
    </cfRule>
  </conditionalFormatting>
  <conditionalFormatting sqref="E116:AB116">
    <cfRule type="colorScale" priority="9">
      <colorScale>
        <cfvo type="num" val="0.2"/>
        <cfvo type="num" val="0.7"/>
        <color rgb="FFFFFF00"/>
        <color rgb="FF63BE7B"/>
      </colorScale>
    </cfRule>
  </conditionalFormatting>
  <conditionalFormatting sqref="E121:AB121">
    <cfRule type="colorScale" priority="8">
      <colorScale>
        <cfvo type="num" val="0.2"/>
        <cfvo type="num" val="0.7"/>
        <color rgb="FFFFFF00"/>
        <color rgb="FF63BE7B"/>
      </colorScale>
    </cfRule>
  </conditionalFormatting>
  <conditionalFormatting sqref="E126:AB126">
    <cfRule type="colorScale" priority="7">
      <colorScale>
        <cfvo type="num" val="0.2"/>
        <cfvo type="num" val="0.7"/>
        <color rgb="FFFFFF00"/>
        <color rgb="FF63BE7B"/>
      </colorScale>
    </cfRule>
  </conditionalFormatting>
  <conditionalFormatting sqref="E131:AB131">
    <cfRule type="colorScale" priority="6">
      <colorScale>
        <cfvo type="num" val="0.2"/>
        <cfvo type="num" val="0.7"/>
        <color rgb="FFFFFF00"/>
        <color rgb="FF63BE7B"/>
      </colorScale>
    </cfRule>
  </conditionalFormatting>
  <conditionalFormatting sqref="E136:AB136">
    <cfRule type="colorScale" priority="5">
      <colorScale>
        <cfvo type="num" val="0.2"/>
        <cfvo type="num" val="0.7"/>
        <color rgb="FFFFFF00"/>
        <color rgb="FF63BE7B"/>
      </colorScale>
    </cfRule>
  </conditionalFormatting>
  <conditionalFormatting sqref="E141:AB141">
    <cfRule type="colorScale" priority="4">
      <colorScale>
        <cfvo type="num" val="0.2"/>
        <cfvo type="num" val="0.7"/>
        <color rgb="FFFFFF00"/>
        <color rgb="FF63BE7B"/>
      </colorScale>
    </cfRule>
  </conditionalFormatting>
  <conditionalFormatting sqref="E146:AB146">
    <cfRule type="colorScale" priority="3">
      <colorScale>
        <cfvo type="num" val="0.2"/>
        <cfvo type="num" val="0.7"/>
        <color rgb="FFFFFF00"/>
        <color rgb="FF63BE7B"/>
      </colorScale>
    </cfRule>
  </conditionalFormatting>
  <conditionalFormatting sqref="E151:AB151">
    <cfRule type="colorScale" priority="2">
      <colorScale>
        <cfvo type="num" val="0.2"/>
        <cfvo type="num" val="0.7"/>
        <color rgb="FFFFFF00"/>
        <color rgb="FF63BE7B"/>
      </colorScale>
    </cfRule>
  </conditionalFormatting>
  <conditionalFormatting sqref="E156:AB156">
    <cfRule type="colorScale" priority="1">
      <colorScale>
        <cfvo type="num" val="0.2"/>
        <cfvo type="num" val="0.7"/>
        <color rgb="FFFFFF00"/>
        <color rgb="FF63BE7B"/>
      </colorScale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ns0:worksheet xmlns:ns0="http://schemas.openxmlformats.org/spreadsheetml/2006/main">
  <ns0:sheetPr/>
  <ns0:dimension ref="A1:AC320"/>
  <ns0:sheetViews>
    <ns0:sheetView tabSelected="1" zoomScale="115" zoomScaleNormal="115" topLeftCell="A48" workbookViewId="0">
      <ns0:pane xSplit="5" topLeftCell="F1" activePane="topRight" state="frozen"/>
      <ns0:selection/>
      <ns0:selection pane="topRight" activeCell="C283" sqref="A3:AC284"/>
    </ns0:sheetView>
  </ns0:sheetViews>
  <ns0:sheetFormatPr defaultColWidth="8.75" defaultRowHeight="13.6"/>
  <ns0:cols>
    <ns0:col min="1" max="1" width="25.0961538461538" style="24" customWidth="1"/>
    <ns0:col min="2" max="2" width="12.3846153846154" style="24" customWidth="1"/>
    <ns0:col min="3" max="3" width="9.88461538461538" style="24" customWidth="1"/>
    <ns0:col min="4" max="4" width="12.6538461538462" style="24" customWidth="1"/>
    <ns0:col min="5" max="5" width="12.3846153846154" style="24" customWidth="1"/>
    <ns0:col min="6" max="11" width="11.3846153846154" style="24" customWidth="1"/>
    <ns0:col min="12" max="14" width="10.3846153846154" style="24" customWidth="1"/>
    <ns0:col min="15" max="15" width="11.3846153846154" style="24" customWidth="1"/>
    <ns0:col min="16" max="27" width="10.3846153846154" style="24" customWidth="1"/>
    <ns0:col min="28" max="28" width="9.88461538461538" style="24" customWidth="1"/>
    <ns0:col min="29" max="29" width="10.75" style="24" customWidth="1"/>
    <ns0:col min="30" max="16384" width="8.75" style="25"/>
  </ns0:cols>
  <ns0:sheetData>
    <ns0:row r="1" ht="14.45" customHeight="1" spans="1:29">
      <ns0:c r="A1" s="26" t="s">
        <ns0:v>2</ns0:v>
      </ns0:c>
      <ns0:c r="B1" s="27" t="s">
        <ns0:v>45</ns0:v>
      </ns0:c>
      <ns0:c r="C1" s="26" t="s">
        <ns0:v>46</ns0:v>
      </ns0:c>
      <ns0:c r="D1" s="28"/>
      <ns0:c r="E1" s="37"/>
      <ns0:c r="F1" s="40">
        <ns0:v>0</ns0:v>
      </ns0:c>
      <ns0:c r="G1" s="41" t="s">
        <ns0:v>5</ns0:v>
      </ns0:c>
      <ns0:c r="H1" s="41" t="s">
        <ns0:v>6</ns0:v>
      </ns0:c>
      <ns0:c r="I1" s="41" t="s">
        <ns0:v>7</ns0:v>
      </ns0:c>
      <ns0:c r="J1" s="41" t="s">
        <ns0:v>8</ns0:v>
      </ns0:c>
      <ns0:c r="K1" s="41" t="s">
        <ns0:v>9</ns0:v>
      </ns0:c>
      <ns0:c r="L1" s="41" t="s">
        <ns0:v>10</ns0:v>
      </ns0:c>
      <ns0:c r="M1" s="41" t="s">
        <ns0:v>11</ns0:v>
      </ns0:c>
      <ns0:c r="N1" s="41" t="s">
        <ns0:v>12</ns0:v>
      </ns0:c>
      <ns0:c r="O1" s="41" t="s">
        <ns0:v>13</ns0:v>
      </ns0:c>
      <ns0:c r="P1" s="41" t="s">
        <ns0:v>14</ns0:v>
      </ns0:c>
      <ns0:c r="Q1" s="41" t="s">
        <ns0:v>15</ns0:v>
      </ns0:c>
      <ns0:c r="R1" s="41" t="s">
        <ns0:v>16</ns0:v>
      </ns0:c>
      <ns0:c r="S1" s="41" t="s">
        <ns0:v>17</ns0:v>
      </ns0:c>
      <ns0:c r="T1" s="41" t="s">
        <ns0:v>18</ns0:v>
      </ns0:c>
      <ns0:c r="U1" s="41" t="s">
        <ns0:v>19</ns0:v>
      </ns0:c>
      <ns0:c r="V1" s="41" t="s">
        <ns0:v>20</ns0:v>
      </ns0:c>
      <ns0:c r="W1" s="41" t="s">
        <ns0:v>21</ns0:v>
      </ns0:c>
      <ns0:c r="X1" s="41" t="s">
        <ns0:v>22</ns0:v>
      </ns0:c>
      <ns0:c r="Y1" s="41" t="s">
        <ns0:v>23</ns0:v>
      </ns0:c>
      <ns0:c r="Z1" s="41" t="s">
        <ns0:v>24</ns0:v>
      </ns0:c>
      <ns0:c r="AA1" s="41" t="s">
        <ns0:v>25</ns0:v>
      </ns0:c>
      <ns0:c r="AB1" s="41" t="s">
        <ns0:v>26</ns0:v>
      </ns0:c>
      <ns0:c r="AC1" s="41" t="s">
        <ns0:v>27</ns0:v>
      </ns0:c>
    </ns0:row>
    <ns0:row r="2" ht="14.45" customHeight="1" spans="1:29">
      <ns0:c r="A2" s="56"/>
      <ns0:c r="B2" s="57"/>
      <ns0:c r="C2" s="26"/>
      <ns0:c r="D2" s="58"/>
      <ns0:c r="E2" s="59"/>
      <ns0:c r="F2" s="60"/>
      <ns0:c r="G2" s="41"/>
      <ns0:c r="H2" s="41"/>
      <ns0:c r="I2" s="41"/>
      <ns0:c r="J2" s="41"/>
      <ns0:c r="K2" s="41"/>
      <ns0:c r="L2" s="41"/>
      <ns0:c r="M2" s="41"/>
      <ns0:c r="N2" s="41"/>
      <ns0:c r="O2" s="41"/>
      <ns0:c r="P2" s="41"/>
      <ns0:c r="Q2" s="41"/>
      <ns0:c r="R2" s="41"/>
      <ns0:c r="S2" s="41"/>
      <ns0:c r="T2" s="41"/>
      <ns0:c r="U2" s="41"/>
      <ns0:c r="V2" s="41"/>
      <ns0:c r="W2" s="41"/>
      <ns0:c r="X2" s="41"/>
      <ns0:c r="Y2" s="41"/>
      <ns0:c r="Z2" s="41"/>
      <ns0:c r="AA2" s="41"/>
      <ns0:c r="AB2" s="41"/>
      <ns0:c r="AC2" s="41"/>
    </ns0:row>
    <ns0:row r="3" ht="11.25" customHeight="1" spans="1:29">
      <ns0:c r="A3" s="29">
        <ns0:v>45992</ns0:v>
      </ns0:c>
      <ns0:c r="B3" s="30">
        <ns0:f>E10</ns0:f>
        <ns0:v>-2257.473794</ns0:v>
      </ns0:c>
      <ns0:c r="C3" s="31" t="s">
        <ns0:v>47</ns0:v>
      </ns0:c>
      <ns0:c r="D3" s="31" t="s">
        <ns0:v>48</ns0:v>
      </ns0:c>
      <ns0:c r="E3" s="42">
        <ns0:f>SUM(F3:AC3)</ns0:f>
        <ns0:v>56.707</ns0:v>
      </ns0:c>
      <ns0:c r="F3" s="43">
        <ns0:v>1.409</ns0:v>
      </ns0:c>
      <ns0:c r="G3" s="43">
        <ns0:v>1.297</ns0:v>
      </ns0:c>
      <ns0:c r="H3" s="43">
        <ns0:v>1.023</ns0:v>
      </ns0:c>
      <ns0:c r="I3" s="43">
        <ns0:v>0.966</ns0:v>
      </ns0:c>
      <ns0:c r="J3" s="43">
        <ns0:v>0.997</ns0:v>
      </ns0:c>
      <ns0:c r="K3" s="43">
        <ns0:v>0.993</ns0:v>
      </ns0:c>
      <ns0:c r="L3" s="43">
        <ns0:v>0.968</ns0:v>
      </ns0:c>
      <ns0:c r="M3" s="43">
        <ns0:v>1.646</ns0:v>
      </ns0:c>
      <ns0:c r="N3" s="43">
        <ns0:v>3.47</ns0:v>
      </ns0:c>
      <ns0:c r="O3" s="43">
        <ns0:v>3.874</ns0:v>
      </ns0:c>
      <ns0:c r="P3" s="43">
        <ns0:v>2.653</ns0:v>
      </ns0:c>
      <ns0:c r="Q3" s="43">
        <ns0:v>2.629</ns0:v>
      </ns0:c>
      <ns0:c r="R3" s="43">
        <ns0:v>2.102</ns0:v>
      </ns0:c>
      <ns0:c r="S3" s="43">
        <ns0:v>2.47</ns0:v>
      </ns0:c>
      <ns0:c r="T3" s="43">
        <ns0:v>2.99</ns0:v>
      </ns0:c>
      <ns0:c r="U3" s="43">
        <ns0:v>3.61</ns0:v>
      </ns0:c>
      <ns0:c r="V3" s="43">
        <ns0:v>4.256</ns0:v>
      </ns0:c>
      <ns0:c r="W3" s="43">
        <ns0:v>4.013</ns0:v>
      </ns0:c>
      <ns0:c r="X3" s="43">
        <ns0:v>3.648</ns0:v>
      </ns0:c>
      <ns0:c r="Y3" s="43">
        <ns0:v>3.764</ns0:v>
      </ns0:c>
      <ns0:c r="Z3" s="43">
        <ns0:v>2.601</ns0:v>
      </ns0:c>
      <ns0:c r="AA3" s="43">
        <ns0:v>2.121</ns0:v>
      </ns0:c>
      <ns0:c r="AB3" s="43">
        <ns0:v>1.664</ns0:v>
      </ns0:c>
      <ns0:c r="AC3" s="43">
        <ns0:v>1.543</ns0:v>
      </ns0:c>
    </ns0:row>
    <ns0:row r="4" spans="1:29">
      <ns0:c r="A4" s="32"/>
      <ns0:c r="B4" s="33"/>
      <ns0:c r="C4" s="32"/>
      <ns0:c r="D4" s="6" t="s">
        <ns0:v>49</ns0:v>
      </ns0:c>
      <ns0:c r="E4" s="42">
        <ns0:f>SUM(F4:AC4)</ns0:f>
        <ns0:v>44.4764</ns0:v>
      </ns0:c>
      <ns0:c r="F4" s="43">
        <ns0:v>0.9755</ns0:v>
      </ns0:c>
      <ns0:c r="G4" s="43">
        <ns0:v>0.9683</ns0:v>
      </ns0:c>
      <ns0:c r="H4" s="43">
        <ns0:v>0.9103</ns0:v>
      </ns0:c>
      <ns0:c r="I4" s="43">
        <ns0:v>0.7648</ns0:v>
      </ns0:c>
      <ns0:c r="J4" s="43">
        <ns0:v>0.7345</ns0:v>
      </ns0:c>
      <ns0:c r="K4" s="43">
        <ns0:v>0.7851</ns0:v>
      </ns0:c>
      <ns0:c r="L4" s="43">
        <ns0:v>0.9163</ns0:v>
      </ns0:c>
      <ns0:c r="M4" s="43">
        <ns0:v>1.2499</ns0:v>
      </ns0:c>
      <ns0:c r="N4" s="43">
        <ns0:v>2.5941</ns0:v>
      </ns0:c>
      <ns0:c r="O4" s="43">
        <ns0:v>3.0418</ns0:v>
      </ns0:c>
      <ns0:c r="P4" s="43">
        <ns0:v>2.3309</ns0:v>
      </ns0:c>
      <ns0:c r="Q4" s="43">
        <ns0:v>2.1625</ns0:v>
      </ns0:c>
      <ns0:c r="R4" s="43">
        <ns0:v>2.0026</ns0:v>
      </ns0:c>
      <ns0:c r="S4" s="43">
        <ns0:v>2.3623</ns0:v>
      </ns0:c>
      <ns0:c r="T4" s="43">
        <ns0:v>2.6797</ns0:v>
      </ns0:c>
      <ns0:c r="U4" s="43">
        <ns0:v>2.5526</ns0:v>
      </ns0:c>
      <ns0:c r="V4" s="43">
        <ns0:v>2.6743</ns0:v>
      </ns0:c>
      <ns0:c r="W4" s="43">
        <ns0:v>2.7308</ns0:v>
      </ns0:c>
      <ns0:c r="X4" s="43">
        <ns0:v>2.5227</ns0:v>
      </ns0:c>
      <ns0:c r="Y4" s="43">
        <ns0:v>2.5735</ns0:v>
      </ns0:c>
      <ns0:c r="Z4" s="43">
        <ns0:v>2.2502</ns0:v>
      </ns0:c>
      <ns0:c r="AA4" s="43">
        <ns0:v>1.9423</ns0:v>
      </ns0:c>
      <ns0:c r="AB4" s="43">
        <ns0:v>1.4737</ns0:v>
      </ns0:c>
      <ns0:c r="AC4" s="43">
        <ns0:v>1.2777</ns0:v>
      </ns0:c>
    </ns0:row>
    <ns0:row r="5" spans="1:29">
      <ns0:c r="A5" s="32"/>
      <ns0:c r="B5" s="33"/>
      <ns0:c r="C5" s="34"/>
      <ns0:c r="D5" s="31" t="s">
        <ns0:v>50</ns0:v>
      </ns0:c>
      <ns0:c r="E5" s="26">
        <ns0:f>E3-E4</ns0:f>
        <ns0:v>12.2306</ns0:v>
      </ns0:c>
      <ns0:c r="F5" s="43">
        <ns0:f t="shared" ref="F5:AC5" si="0">(F3-F4)*1</ns0:f>
        <ns0:v>0.4335</ns0:v>
      </ns0:c>
      <ns0:c r="G5" s="43">
        <ns0:f t="shared" si="0"/>
        <ns0:v>0.3287</ns0:v>
      </ns0:c>
      <ns0:c r="H5" s="43">
        <ns0:f t="shared" si="0"/>
        <ns0:v>0.1127</ns0:v>
      </ns0:c>
      <ns0:c r="I5" s="43">
        <ns0:f t="shared" si="0"/>
        <ns0:v>0.2012</ns0:v>
      </ns0:c>
      <ns0:c r="J5" s="43">
        <ns0:f t="shared" si="0"/>
        <ns0:v>0.2625</ns0:v>
      </ns0:c>
      <ns0:c r="K5" s="43">
        <ns0:f t="shared" si="0"/>
        <ns0:v>0.2079</ns0:v>
      </ns0:c>
      <ns0:c r="L5" s="43">
        <ns0:f t="shared" si="0"/>
        <ns0:v>0.0517</ns0:v>
      </ns0:c>
      <ns0:c r="M5" s="43">
        <ns0:f t="shared" si="0"/>
        <ns0:v>0.3961</ns0:v>
      </ns0:c>
      <ns0:c r="N5" s="43">
        <ns0:f t="shared" si="0"/>
        <ns0:v>0.8759</ns0:v>
      </ns0:c>
      <ns0:c r="O5" s="43">
        <ns0:f t="shared" si="0"/>
        <ns0:v>0.8322</ns0:v>
      </ns0:c>
      <ns0:c r="P5" s="43">
        <ns0:f t="shared" si="0"/>
        <ns0:v>0.3221</ns0:v>
      </ns0:c>
      <ns0:c r="Q5" s="43">
        <ns0:f t="shared" si="0"/>
        <ns0:v>0.4665</ns0:v>
      </ns0:c>
      <ns0:c r="R5" s="43">
        <ns0:f t="shared" si="0"/>
        <ns0:v>0.0993999999999997</ns0:v>
      </ns0:c>
      <ns0:c r="S5" s="43">
        <ns0:f t="shared" si="0"/>
        <ns0:v>0.1077</ns0:v>
      </ns0:c>
      <ns0:c r="T5" s="43">
        <ns0:f t="shared" si="0"/>
        <ns0:v>0.3103</ns0:v>
      </ns0:c>
      <ns0:c r="U5" s="43">
        <ns0:f t="shared" si="0"/>
        <ns0:v>1.0574</ns0:v>
      </ns0:c>
      <ns0:c r="V5" s="43">
        <ns0:f t="shared" si="0"/>
        <ns0:v>1.5817</ns0:v>
      </ns0:c>
      <ns0:c r="W5" s="43">
        <ns0:f t="shared" si="0"/>
        <ns0:v>1.2822</ns0:v>
      </ns0:c>
      <ns0:c r="X5" s="43">
        <ns0:f t="shared" si="0"/>
        <ns0:v>1.1253</ns0:v>
      </ns0:c>
      <ns0:c r="Y5" s="43">
        <ns0:f t="shared" si="0"/>
        <ns0:v>1.1905</ns0:v>
      </ns0:c>
      <ns0:c r="Z5" s="43">
        <ns0:f t="shared" si="0"/>
        <ns0:v>0.3508</ns0:v>
      </ns0:c>
      <ns0:c r="AA5" s="43">
        <ns0:f t="shared" si="0"/>
        <ns0:v>0.1787</ns0:v>
      </ns0:c>
      <ns0:c r="AB5" s="43">
        <ns0:f t="shared" si="0"/>
        <ns0:v>0.1903</ns0:v>
      </ns0:c>
      <ns0:c r="AC5" s="43">
        <ns0:f t="shared" si="0"/>
        <ns0:v>0.2653</ns0:v>
      </ns0:c>
    </ns0:row>
    <ns0:row r="6" spans="1:29">
      <ns0:c r="A6" s="32"/>
      <ns0:c r="B6" s="33"/>
      <ns0:c r="C6" s="35" t="s">
        <ns0:v>51</ns0:v>
      </ns0:c>
      <ns0:c r="D6" s="31" t="s">
        <ns0:v>48</ns0:v>
      </ns0:c>
      <ns0:c r="E6" s="31">
        <ns0:f>AVERAGE(F6:AC6)</ns0:f>
        <ns0:v>419.872916666667</ns0:v>
      </ns0:c>
      <ns0:c r="F6" s="43">
        <ns0:v>424.58</ns0:v>
      </ns0:c>
      <ns0:c r="G6" s="43">
        <ns0:v>369.07</ns0:v>
      </ns0:c>
      <ns0:c r="H6" s="43">
        <ns0:v>332.16</ns0:v>
      </ns0:c>
      <ns0:c r="I6" s="43">
        <ns0:v>314.43</ns0:v>
      </ns0:c>
      <ns0:c r="J6" s="43">
        <ns0:v>303.14</ns0:v>
      </ns0:c>
      <ns0:c r="K6" s="43">
        <ns0:v>303.05</ns0:v>
      </ns0:c>
      <ns0:c r="L6" s="43">
        <ns0:v>390.99</ns0:v>
      </ns0:c>
      <ns0:c r="M6" s="43">
        <ns0:v>454.88</ns0:v>
      </ns0:c>
      <ns0:c r="N6" s="43">
        <ns0:v>498.98</ns0:v>
      </ns0:c>
      <ns0:c r="O6" s="43">
        <ns0:v>394.38</ns0:v>
      </ns0:c>
      <ns0:c r="P6" s="43">
        <ns0:v>273.39</ns0:v>
      </ns0:c>
      <ns0:c r="Q6" s="43">
        <ns0:v>292.35</ns0:v>
      </ns0:c>
      <ns0:c r="R6" s="43">
        <ns0:v>260.76</ns0:v>
      </ns0:c>
      <ns0:c r="S6" s="43">
        <ns0:v>281.95</ns0:v>
      </ns0:c>
      <ns0:c r="T6" s="43">
        <ns0:v>263.06</ns0:v>
      </ns0:c>
      <ns0:c r="U6" s="43">
        <ns0:v>281.45</ns0:v>
      </ns0:c>
      <ns0:c r="V6" s="43">
        <ns0:v>405.88</ns0:v>
      </ns0:c>
      <ns0:c r="W6" s="43">
        <ns0:v>657.29</ns0:v>
      </ns0:c>
      <ns0:c r="X6" s="43">
        <ns0:v>692.17</ns0:v>
      </ns0:c>
      <ns0:c r="Y6" s="43">
        <ns0:v>773.49</ns0:v>
      </ns0:c>
      <ns0:c r="Z6" s="43">
        <ns0:v>634.93</ns0:v>
      </ns0:c>
      <ns0:c r="AA6" s="43">
        <ns0:v>599.04</ns0:v>
      </ns0:c>
      <ns0:c r="AB6" s="43">
        <ns0:v>499.42</ns0:v>
      </ns0:c>
      <ns0:c r="AC6" s="43">
        <ns0:v>376.11</ns0:v>
      </ns0:c>
    </ns0:row>
    <ns0:row r="7" spans="1:29">
      <ns0:c r="A7" s="32"/>
      <ns0:c r="B7" s="33"/>
      <ns0:c r="C7" s="32"/>
      <ns0:c r="D7" s="31" t="s">
        <ns0:v>49</ns0:v>
      </ns0:c>
      <ns0:c r="E7" s="31">
        <ns0:f>AVERAGE(F7:AC7)</ns0:f>
        <ns0:v>277.8675</ns0:v>
      </ns0:c>
      <ns0:c r="F7" s="43">
        <ns0:v>319.22</ns0:v>
      </ns0:c>
      <ns0:c r="G7" s="43">
        <ns0:v>305.33</ns0:v>
      </ns0:c>
      <ns0:c r="H7" s="43">
        <ns0:v>284.98</ns0:v>
      </ns0:c>
      <ns0:c r="I7" s="43">
        <ns0:v>275.32</ns0:v>
      </ns0:c>
      <ns0:c r="J7" s="43">
        <ns0:v>271.97</ns0:v>
      </ns0:c>
      <ns0:c r="K7" s="43">
        <ns0:v>273.85</ns0:v>
      </ns0:c>
      <ns0:c r="L7" s="43">
        <ns0:v>297.72</ns0:v>
      </ns0:c>
      <ns0:c r="M7" s="43">
        <ns0:v>332.76</ns0:v>
      </ns0:c>
      <ns0:c r="N7" s="43">
        <ns0:v>412.44</ns0:v>
      </ns0:c>
      <ns0:c r="O7" s="43">
        <ns0:v>327.15</ns0:v>
      </ns0:c>
      <ns0:c r="P7" s="43">
        <ns0:v>240.09</ns0:v>
      </ns0:c>
      <ns0:c r="Q7" s="43">
        <ns0:v>207.44</ns0:v>
      </ns0:c>
      <ns0:c r="R7" s="43">
        <ns0:v>97.94</ns0:v>
      </ns0:c>
      <ns0:c r="S7" s="43">
        <ns0:v>92.94</ns0:v>
      </ns0:c>
      <ns0:c r="T7" s="43">
        <ns0:v>174.94</ns0:v>
      </ns0:c>
      <ns0:c r="U7" s="43">
        <ns0:v>253.69</ns0:v>
      </ns0:c>
      <ns0:c r="V7" s="43">
        <ns0:v>287.45</ns0:v>
      </ns0:c>
      <ns0:c r="W7" s="43">
        <ns0:v>292.71</ns0:v>
      </ns0:c>
      <ns0:c r="X7" s="43">
        <ns0:v>325.56</ns0:v>
      </ns0:c>
      <ns0:c r="Y7" s="43">
        <ns0:v>305.26</ns0:v>
      </ns0:c>
      <ns0:c r="Z7" s="43">
        <ns0:v>311.96</ns0:v>
      </ns0:c>
      <ns0:c r="AA7" s="43">
        <ns0:v>332.87</ns0:v>
      </ns0:c>
      <ns0:c r="AB7" s="43">
        <ns0:v>341.72</ns0:v>
      </ns0:c>
      <ns0:c r="AC7" s="43">
        <ns0:v>303.51</ns0:v>
      </ns0:c>
    </ns0:row>
    <ns0:row r="8" spans="1:29">
      <ns0:c r="A8" s="32"/>
      <ns0:c r="B8" s="33"/>
      <ns0:c r="C8" s="34"/>
      <ns0:c r="D8" s="31" t="s">
        <ns0:v>50</ns0:v>
      </ns0:c>
      <ns0:c r="E8" s="26">
        <ns0:f>E6-E7</ns0:f>
        <ns0:v>142.005416666667</ns0:v>
      </ns0:c>
      <ns0:c r="F8" s="43">
        <ns0:f t="shared" ref="F8:AC8" si="1">(F6-F7)*1</ns0:f>
        <ns0:v>105.36</ns0:v>
      </ns0:c>
      <ns0:c r="G8" s="43">
        <ns0:f t="shared" si="1"/>
        <ns0:v>63.74</ns0:v>
      </ns0:c>
      <ns0:c r="H8" s="43">
        <ns0:f t="shared" si="1"/>
        <ns0:v>47.18</ns0:v>
      </ns0:c>
      <ns0:c r="I8" s="43">
        <ns0:f t="shared" si="1"/>
        <ns0:v>39.11</ns0:v>
      </ns0:c>
      <ns0:c r="J8" s="43">
        <ns0:f t="shared" si="1"/>
        <ns0:v>31.17</ns0:v>
      </ns0:c>
      <ns0:c r="K8" s="43">
        <ns0:f t="shared" si="1"/>
        <ns0:v>29.2</ns0:v>
      </ns0:c>
      <ns0:c r="L8" s="43">
        <ns0:f t="shared" si="1"/>
        <ns0:v>93.27</ns0:v>
      </ns0:c>
      <ns0:c r="M8" s="43">
        <ns0:f t="shared" si="1"/>
        <ns0:v>122.12</ns0:v>
      </ns0:c>
      <ns0:c r="N8" s="43">
        <ns0:f t="shared" si="1"/>
        <ns0:v>86.54</ns0:v>
      </ns0:c>
      <ns0:c r="O8" s="43">
        <ns0:f t="shared" si="1"/>
        <ns0:v>67.23</ns0:v>
      </ns0:c>
      <ns0:c r="P8" s="43">
        <ns0:f t="shared" si="1"/>
        <ns0:v>33.3</ns0:v>
      </ns0:c>
      <ns0:c r="Q8" s="43">
        <ns0:f t="shared" si="1"/>
        <ns0:v>84.91</ns0:v>
      </ns0:c>
      <ns0:c r="R8" s="43">
        <ns0:f t="shared" si="1"/>
        <ns0:v>162.82</ns0:v>
      </ns0:c>
      <ns0:c r="S8" s="43">
        <ns0:f t="shared" si="1"/>
        <ns0:v>189.01</ns0:v>
      </ns0:c>
      <ns0:c r="T8" s="43">
        <ns0:f t="shared" si="1"/>
        <ns0:v>88.12</ns0:v>
      </ns0:c>
      <ns0:c r="U8" s="43">
        <ns0:f t="shared" si="1"/>
        <ns0:v>27.76</ns0:v>
      </ns0:c>
      <ns0:c r="V8" s="43">
        <ns0:f t="shared" si="1"/>
        <ns0:v>118.43</ns0:v>
      </ns0:c>
      <ns0:c r="W8" s="43">
        <ns0:f t="shared" si="1"/>
        <ns0:v>364.58</ns0:v>
      </ns0:c>
      <ns0:c r="X8" s="43">
        <ns0:f t="shared" si="1"/>
        <ns0:v>366.61</ns0:v>
      </ns0:c>
      <ns0:c r="Y8" s="43">
        <ns0:f t="shared" si="1"/>
        <ns0:v>468.23</ns0:v>
      </ns0:c>
      <ns0:c r="Z8" s="43">
        <ns0:f t="shared" si="1"/>
        <ns0:v>322.97</ns0:v>
      </ns0:c>
      <ns0:c r="AA8" s="43">
        <ns0:f t="shared" si="1"/>
        <ns0:v>266.17</ns0:v>
      </ns0:c>
      <ns0:c r="AB8" s="43">
        <ns0:f t="shared" si="1"/>
        <ns0:v>157.7</ns0:v>
      </ns0:c>
      <ns0:c r="AC8" s="43">
        <ns0:f t="shared" si="1"/>
        <ns0:v>72.6</ns0:v>
      </ns0:c>
    </ns0:row>
    <ns0:row r="9" spans="1:29">
      <ns0:c r="A9" s="32"/>
      <ns0:c r="B9" s="33"/>
      <ns0:c r="C9" s="36" t="s">
        <ns0:v>52</ns0:v>
      </ns0:c>
      <ns0:c r="D9" s="37"/>
      <ns0:c r="E9" s="26">
        <ns0:f t="shared" ref="E9:E13" si="2">SUM(F9:AC9)</ns0:f>
        <ns0:v>-2257.473794</ns0:v>
      </ns0:c>
      <ns0:c r="F9" s="43">
        <ns0:f t="shared" ref="F9:AC9" si="3">(-F5*F8)*1</ns0:f>
        <ns0:v>-45.67356</ns0:v>
      </ns0:c>
      <ns0:c r="G9" s="43">
        <ns0:f t="shared" si="3"/>
        <ns0:v>-20.951338</ns0:v>
      </ns0:c>
      <ns0:c r="H9" s="43">
        <ns0:f t="shared" si="3"/>
        <ns0:v>-5.317186</ns0:v>
      </ns0:c>
      <ns0:c r="I9" s="43">
        <ns0:f t="shared" si="3"/>
        <ns0:v>-7.868932</ns0:v>
      </ns0:c>
      <ns0:c r="J9" s="43">
        <ns0:f t="shared" si="3"/>
        <ns0:v>-8.182125</ns0:v>
      </ns0:c>
      <ns0:c r="K9" s="43">
        <ns0:f t="shared" si="3"/>
        <ns0:v>-6.07068</ns0:v>
      </ns0:c>
      <ns0:c r="L9" s="43">
        <ns0:f t="shared" si="3"/>
        <ns0:v>-4.822059</ns0:v>
      </ns0:c>
      <ns0:c r="M9" s="43">
        <ns0:f t="shared" si="3"/>
        <ns0:v>-48.371732</ns0:v>
      </ns0:c>
      <ns0:c r="N9" s="43">
        <ns0:f t="shared" si="3"/>
        <ns0:v>-75.800386</ns0:v>
      </ns0:c>
      <ns0:c r="O9" s="43">
        <ns0:f t="shared" si="3"/>
        <ns0:v>-55.948806</ns0:v>
      </ns0:c>
      <ns0:c r="P9" s="43">
        <ns0:f t="shared" si="3"/>
        <ns0:v>-10.72593</ns0:v>
      </ns0:c>
      <ns0:c r="Q9" s="43">
        <ns0:f t="shared" si="3"/>
        <ns0:v>-39.610515</ns0:v>
      </ns0:c>
      <ns0:c r="R9" s="43">
        <ns0:f t="shared" si="3"/>
        <ns0:v>-16.184308</ns0:v>
      </ns0:c>
      <ns0:c r="S9" s="43">
        <ns0:f t="shared" si="3"/>
        <ns0:v>-20.3563770000001</ns0:v>
      </ns0:c>
      <ns0:c r="T9" s="43">
        <ns0:f t="shared" si="3"/>
        <ns0:v>-27.343636</ns0:v>
      </ns0:c>
      <ns0:c r="U9" s="43">
        <ns0:f t="shared" si="3"/>
        <ns0:v>-29.353424</ns0:v>
      </ns0:c>
      <ns0:c r="V9" s="43">
        <ns0:f t="shared" si="3"/>
        <ns0:v>-187.320731</ns0:v>
      </ns0:c>
      <ns0:c r="W9" s="43">
        <ns0:f t="shared" si="3"/>
        <ns0:v>-467.464476</ns0:v>
      </ns0:c>
      <ns0:c r="X9" s="43">
        <ns0:f t="shared" si="3"/>
        <ns0:v>-412.546233</ns0:v>
      </ns0:c>
      <ns0:c r="Y9" s="43">
        <ns0:f t="shared" si="3"/>
        <ns0:v>-557.427815</ns0:v>
      </ns0:c>
      <ns0:c r="Z9" s="43">
        <ns0:f t="shared" si="3"/>
        <ns0:v>-113.297876</ns0:v>
      </ns0:c>
      <ns0:c r="AA9" s="43">
        <ns0:f t="shared" si="3"/>
        <ns0:v>-47.564579</ns0:v>
      </ns0:c>
      <ns0:c r="AB9" s="43">
        <ns0:f t="shared" si="3"/>
        <ns0:v>-30.01031</ns0:v>
      </ns0:c>
      <ns0:c r="AC9" s="43">
        <ns0:f t="shared" si="3"/>
        <ns0:v>-19.26078</ns0:v>
      </ns0:c>
    </ns0:row>
    <ns0:row r="10" spans="1:29">
      <ns0:c r="A10" s="32"/>
      <ns0:c r="B10" s="33"/>
      <ns0:c r="C10" s="38" t="s">
        <ns0:v>53</ns0:v>
      </ns0:c>
      <ns0:c r="D10" s="37"/>
      <ns0:c r="E10" s="26">
        <ns0:f t="shared" si="2"/>
        <ns0:v>-2257.473794</ns0:v>
      </ns0:c>
      <ns0:c r="F10" s="43">
        <ns0:f t="shared" ref="F10:AC10" si="4">(IF(F9&gt;0,ABS(MIN(F4*0.2,ABS(F5))*F8),F9))*1</ns0:f>
        <ns0:v>-45.67356</ns0:v>
      </ns0:c>
      <ns0:c r="G10" s="43">
        <ns0:f t="shared" si="4"/>
        <ns0:v>-20.951338</ns0:v>
      </ns0:c>
      <ns0:c r="H10" s="43">
        <ns0:f t="shared" si="4"/>
        <ns0:v>-5.317186</ns0:v>
      </ns0:c>
      <ns0:c r="I10" s="43">
        <ns0:f t="shared" si="4"/>
        <ns0:v>-7.868932</ns0:v>
      </ns0:c>
      <ns0:c r="J10" s="43">
        <ns0:f t="shared" si="4"/>
        <ns0:v>-8.182125</ns0:v>
      </ns0:c>
      <ns0:c r="K10" s="43">
        <ns0:f t="shared" si="4"/>
        <ns0:v>-6.07068</ns0:v>
      </ns0:c>
      <ns0:c r="L10" s="43">
        <ns0:f t="shared" si="4"/>
        <ns0:v>-4.822059</ns0:v>
      </ns0:c>
      <ns0:c r="M10" s="43">
        <ns0:f t="shared" si="4"/>
        <ns0:v>-48.371732</ns0:v>
      </ns0:c>
      <ns0:c r="N10" s="43">
        <ns0:f t="shared" si="4"/>
        <ns0:v>-75.800386</ns0:v>
      </ns0:c>
      <ns0:c r="O10" s="43">
        <ns0:f t="shared" si="4"/>
        <ns0:v>-55.948806</ns0:v>
      </ns0:c>
      <ns0:c r="P10" s="43">
        <ns0:f t="shared" si="4"/>
        <ns0:v>-10.72593</ns0:v>
      </ns0:c>
      <ns0:c r="Q10" s="43">
        <ns0:f t="shared" si="4"/>
        <ns0:v>-39.610515</ns0:v>
      </ns0:c>
      <ns0:c r="R10" s="43">
        <ns0:f t="shared" si="4"/>
        <ns0:v>-16.184308</ns0:v>
      </ns0:c>
      <ns0:c r="S10" s="43">
        <ns0:f t="shared" si="4"/>
        <ns0:v>-20.3563770000001</ns0:v>
      </ns0:c>
      <ns0:c r="T10" s="43">
        <ns0:f t="shared" si="4"/>
        <ns0:v>-27.343636</ns0:v>
      </ns0:c>
      <ns0:c r="U10" s="43">
        <ns0:f t="shared" si="4"/>
        <ns0:v>-29.353424</ns0:v>
      </ns0:c>
      <ns0:c r="V10" s="43">
        <ns0:f t="shared" si="4"/>
        <ns0:v>-187.320731</ns0:v>
      </ns0:c>
      <ns0:c r="W10" s="43">
        <ns0:f t="shared" si="4"/>
        <ns0:v>-467.464476</ns0:v>
      </ns0:c>
      <ns0:c r="X10" s="43">
        <ns0:f t="shared" si="4"/>
        <ns0:v>-412.546233</ns0:v>
      </ns0:c>
      <ns0:c r="Y10" s="43">
        <ns0:f t="shared" si="4"/>
        <ns0:v>-557.427815</ns0:v>
      </ns0:c>
      <ns0:c r="Z10" s="43">
        <ns0:f t="shared" si="4"/>
        <ns0:v>-113.297876</ns0:v>
      </ns0:c>
      <ns0:c r="AA10" s="43">
        <ns0:f t="shared" si="4"/>
        <ns0:v>-47.564579</ns0:v>
      </ns0:c>
      <ns0:c r="AB10" s="43">
        <ns0:f t="shared" si="4"/>
        <ns0:v>-30.01031</ns0:v>
      </ns0:c>
      <ns0:c r="AC10" s="43">
        <ns0:f t="shared" si="4"/>
        <ns0:v>-19.26078</ns0:v>
      </ns0:c>
    </ns0:row>
    <ns0:row r="11" spans="1:29">
      <ns0:c r="A11" s="32"/>
      <ns0:c r="B11" s="33"/>
      <ns0:c r="C11" s="39" t="s">
        <ns0:v>50</ns0:v>
      </ns0:c>
      <ns0:c r="D11" s="37"/>
      <ns0:c r="E11" s="44">
        <ns0:f>E9-E10</ns0:f>
        <ns0:v>0</ns0:v>
      </ns0:c>
      <ns0:c r="F11" s="26">
        <ns0:f t="shared" ref="F11:AC11" si="5">(F9-F10)*1</ns0:f>
        <ns0:v>0</ns0:v>
      </ns0:c>
      <ns0:c r="G11" s="26">
        <ns0:f t="shared" si="5"/>
        <ns0:v>0</ns0:v>
      </ns0:c>
      <ns0:c r="H11" s="26">
        <ns0:f t="shared" si="5"/>
        <ns0:v>0</ns0:v>
      </ns0:c>
      <ns0:c r="I11" s="26">
        <ns0:f t="shared" si="5"/>
        <ns0:v>0</ns0:v>
      </ns0:c>
      <ns0:c r="J11" s="26">
        <ns0:f t="shared" si="5"/>
        <ns0:v>0</ns0:v>
      </ns0:c>
      <ns0:c r="K11" s="26">
        <ns0:f t="shared" si="5"/>
        <ns0:v>0</ns0:v>
      </ns0:c>
      <ns0:c r="L11" s="26">
        <ns0:f t="shared" si="5"/>
        <ns0:v>0</ns0:v>
      </ns0:c>
      <ns0:c r="M11" s="26">
        <ns0:f t="shared" si="5"/>
        <ns0:v>0</ns0:v>
      </ns0:c>
      <ns0:c r="N11" s="26">
        <ns0:f t="shared" si="5"/>
        <ns0:v>0</ns0:v>
      </ns0:c>
      <ns0:c r="O11" s="26">
        <ns0:f t="shared" si="5"/>
        <ns0:v>0</ns0:v>
      </ns0:c>
      <ns0:c r="P11" s="26">
        <ns0:f t="shared" si="5"/>
        <ns0:v>0</ns0:v>
      </ns0:c>
      <ns0:c r="Q11" s="26">
        <ns0:f t="shared" si="5"/>
        <ns0:v>0</ns0:v>
      </ns0:c>
      <ns0:c r="R11" s="26">
        <ns0:f t="shared" si="5"/>
        <ns0:v>0</ns0:v>
      </ns0:c>
      <ns0:c r="S11" s="26">
        <ns0:f t="shared" si="5"/>
        <ns0:v>0</ns0:v>
      </ns0:c>
      <ns0:c r="T11" s="26">
        <ns0:f t="shared" si="5"/>
        <ns0:v>0</ns0:v>
      </ns0:c>
      <ns0:c r="U11" s="26">
        <ns0:f t="shared" si="5"/>
        <ns0:v>0</ns0:v>
      </ns0:c>
      <ns0:c r="V11" s="26">
        <ns0:f t="shared" si="5"/>
        <ns0:v>0</ns0:v>
      </ns0:c>
      <ns0:c r="W11" s="26">
        <ns0:f t="shared" si="5"/>
        <ns0:v>0</ns0:v>
      </ns0:c>
      <ns0:c r="X11" s="26">
        <ns0:f t="shared" si="5"/>
        <ns0:v>0</ns0:v>
      </ns0:c>
      <ns0:c r="Y11" s="26">
        <ns0:f t="shared" si="5"/>
        <ns0:v>0</ns0:v>
      </ns0:c>
      <ns0:c r="Z11" s="26">
        <ns0:f t="shared" si="5"/>
        <ns0:v>0</ns0:v>
      </ns0:c>
      <ns0:c r="AA11" s="26">
        <ns0:f t="shared" si="5"/>
        <ns0:v>0</ns0:v>
      </ns0:c>
      <ns0:c r="AB11" s="26">
        <ns0:f t="shared" si="5"/>
        <ns0:v>0</ns0:v>
      </ns0:c>
      <ns0:c r="AC11" s="26">
        <ns0:f t="shared" si="5"/>
        <ns0:v>0</ns0:v>
      </ns0:c>
    </ns0:row>
    <ns0:row r="12" spans="1:29">
      <ns0:c r="A12" s="29">
        <ns0:v>45993</ns0:v>
      </ns0:c>
      <ns0:c r="B12" s="30">
        <ns0:f>E19</ns0:f>
        <ns0:v>-209.140509</ns0:v>
      </ns0:c>
      <ns0:c r="C12" s="31" t="s">
        <ns0:v>47</ns0:v>
      </ns0:c>
      <ns0:c r="D12" s="31" t="s">
        <ns0:v>48</ns0:v>
      </ns0:c>
      <ns0:c r="E12" s="42">
        <ns0:f t="shared" si="2"/>
        <ns0:v>55.059</ns0:v>
      </ns0:c>
      <ns0:c r="F12" s="43">
        <ns0:v>1.655</ns0:v>
      </ns0:c>
      <ns0:c r="G12" s="43">
        <ns0:v>1.517</ns0:v>
      </ns0:c>
      <ns0:c r="H12" s="43">
        <ns0:v>1.379</ns0:v>
      </ns0:c>
      <ns0:c r="I12" s="43">
        <ns0:v>1.34</ns0:v>
      </ns0:c>
      <ns0:c r="J12" s="43">
        <ns0:v>1.336</ns0:v>
      </ns0:c>
      <ns0:c r="K12" s="43">
        <ns0:v>1.187</ns0:v>
      </ns0:c>
      <ns0:c r="L12" s="43">
        <ns0:v>1.154</ns0:v>
      </ns0:c>
      <ns0:c r="M12" s="43">
        <ns0:v>1.938</ns0:v>
      </ns0:c>
      <ns0:c r="N12" s="43">
        <ns0:v>3.986</ns0:v>
      </ns0:c>
      <ns0:c r="O12" s="43">
        <ns0:v>3.905</ns0:v>
      </ns0:c>
      <ns0:c r="P12" s="43">
        <ns0:v>2.733</ns0:v>
      </ns0:c>
      <ns0:c r="Q12" s="43">
        <ns0:v>2.64</ns0:v>
      </ns0:c>
      <ns0:c r="R12" s="43">
        <ns0:v>2.102</ns0:v>
      </ns0:c>
      <ns0:c r="S12" s="43">
        <ns0:v>2.493</ns0:v>
      </ns0:c>
      <ns0:c r="T12" s="43">
        <ns0:v>2.931</ns0:v>
      </ns0:c>
      <ns0:c r="U12" s="43">
        <ns0:v>2.789</ns0:v>
      </ns0:c>
      <ns0:c r="V12" s="43">
        <ns0:v>2.885</ns0:v>
      </ns0:c>
      <ns0:c r="W12" s="43">
        <ns0:v>3.481</ns0:v>
      </ns0:c>
      <ns0:c r="X12" s="43">
        <ns0:v>2.887</ns0:v>
      </ns0:c>
      <ns0:c r="Y12" s="43">
        <ns0:v>2.99</ns0:v>
      </ns0:c>
      <ns0:c r="Z12" s="43">
        <ns0:v>2.645</ns0:v>
      </ns0:c>
      <ns0:c r="AA12" s="43">
        <ns0:v>2.068</ns0:v>
      </ns0:c>
      <ns0:c r="AB12" s="43">
        <ns0:v>1.672</ns0:v>
      </ns0:c>
      <ns0:c r="AC12" s="43">
        <ns0:v>1.346</ns0:v>
      </ns0:c>
    </ns0:row>
    <ns0:row r="13" spans="1:29">
      <ns0:c r="A13" s="32"/>
      <ns0:c r="B13" s="33"/>
      <ns0:c r="C13" s="32"/>
      <ns0:c r="D13" s="6" t="s">
        <ns0:v>49</ns0:v>
      </ns0:c>
      <ns0:c r="E13" s="42">
        <ns0:f t="shared" si="2"/>
        <ns0:v>64.1441</ns0:v>
      </ns0:c>
      <ns0:c r="F13" s="43">
        <ns0:v>1.3738</ns0:v>
      </ns0:c>
      <ns0:c r="G13" s="43">
        <ns0:v>1.3887</ns0:v>
      </ns0:c>
      <ns0:c r="H13" s="43">
        <ns0:v>1.3377</ns0:v>
      </ns0:c>
      <ns0:c r="I13" s="43">
        <ns0:v>1.2493</ns0:v>
      </ns0:c>
      <ns0:c r="J13" s="43">
        <ns0:v>1.2389</ns0:v>
      </ns0:c>
      <ns0:c r="K13" s="43">
        <ns0:v>1.242</ns0:v>
      </ns0:c>
      <ns0:c r="L13" s="43">
        <ns0:v>1.2403</ns0:v>
      </ns0:c>
      <ns0:c r="M13" s="43">
        <ns0:v>1.7035</ns0:v>
      </ns0:c>
      <ns0:c r="N13" s="43">
        <ns0:v>3.8685</ns0:v>
      </ns0:c>
      <ns0:c r="O13" s="43">
        <ns0:v>4.1165</ns0:v>
      </ns0:c>
      <ns0:c r="P13" s="43">
        <ns0:v>3.6086</ns0:v>
      </ns0:c>
      <ns0:c r="Q13" s="43">
        <ns0:v>3.4586</ns0:v>
      </ns0:c>
      <ns0:c r="R13" s="43">
        <ns0:v>2.8528</ns0:v>
      </ns0:c>
      <ns0:c r="S13" s="43">
        <ns0:v>3.5267</ns0:v>
      </ns0:c>
      <ns0:c r="T13" s="43">
        <ns0:v>4.0565</ns0:v>
      </ns0:c>
      <ns0:c r="U13" s="43">
        <ns0:v>3.882</ns0:v>
      </ns0:c>
      <ns0:c r="V13" s="43">
        <ns0:v>3.9285</ns0:v>
      </ns0:c>
      <ns0:c r="W13" s="43">
        <ns0:v>3.8313</ns0:v>
      </ns0:c>
      <ns0:c r="X13" s="43">
        <ns0:v>3.4441</ns0:v>
      </ns0:c>
      <ns0:c r="Y13" s="43">
        <ns0:v>3.4902</ns0:v>
      </ns0:c>
      <ns0:c r="Z13" s="43">
        <ns0:v>3.0839</ns0:v>
      </ns0:c>
      <ns0:c r="AA13" s="43">
        <ns0:v>2.5905</ns0:v>
      </ns0:c>
      <ns0:c r="AB13" s="43">
        <ns0:v>2.0101</ns0:v>
      </ns0:c>
      <ns0:c r="AC13" s="43">
        <ns0:v>1.6211</ns0:v>
      </ns0:c>
    </ns0:row>
    <ns0:row r="14" spans="1:29">
      <ns0:c r="A14" s="32"/>
      <ns0:c r="B14" s="33"/>
      <ns0:c r="C14" s="34"/>
      <ns0:c r="D14" s="31" t="s">
        <ns0:v>50</ns0:v>
      </ns0:c>
      <ns0:c r="E14" s="26">
        <ns0:f>E12-E13</ns0:f>
        <ns0:v>-9.0851</ns0:v>
      </ns0:c>
      <ns0:c r="F14" s="43">
        <ns0:f t="shared" ref="F14:AC14" si="6">(F12-F13)*1</ns0:f>
        <ns0:v>0.2812</ns0:v>
      </ns0:c>
      <ns0:c r="G14" s="43">
        <ns0:f t="shared" si="6"/>
        <ns0:v>0.1283</ns0:v>
      </ns0:c>
      <ns0:c r="H14" s="43">
        <ns0:f t="shared" si="6"/>
        <ns0:v>0.0413000000000001</ns0:v>
      </ns0:c>
      <ns0:c r="I14" s="43">
        <ns0:f t="shared" si="6"/>
        <ns0:v>0.0907</ns0:v>
      </ns0:c>
      <ns0:c r="J14" s="43">
        <ns0:f t="shared" si="6"/>
        <ns0:v>0.0971000000000002</ns0:v>
      </ns0:c>
      <ns0:c r="K14" s="43">
        <ns0:f t="shared" si="6"/>
        <ns0:v>-0.0549999999999999</ns0:v>
      </ns0:c>
      <ns0:c r="L14" s="43">
        <ns0:f t="shared" si="6"/>
        <ns0:v>-0.0863</ns0:v>
      </ns0:c>
      <ns0:c r="M14" s="43">
        <ns0:f t="shared" si="6"/>
        <ns0:v>0.2345</ns0:v>
      </ns0:c>
      <ns0:c r="N14" s="43">
        <ns0:f t="shared" si="6"/>
        <ns0:v>0.1175</ns0:v>
      </ns0:c>
      <ns0:c r="O14" s="43">
        <ns0:f t="shared" si="6"/>
        <ns0:v>-0.2115</ns0:v>
      </ns0:c>
      <ns0:c r="P14" s="43">
        <ns0:f t="shared" si="6"/>
        <ns0:v>-0.8756</ns0:v>
      </ns0:c>
      <ns0:c r="Q14" s="43">
        <ns0:f t="shared" si="6"/>
        <ns0:v>-0.8186</ns0:v>
      </ns0:c>
      <ns0:c r="R14" s="43">
        <ns0:f t="shared" si="6"/>
        <ns0:v>-0.7508</ns0:v>
      </ns0:c>
      <ns0:c r="S14" s="43">
        <ns0:f t="shared" si="6"/>
        <ns0:v>-1.0337</ns0:v>
      </ns0:c>
      <ns0:c r="T14" s="43">
        <ns0:f t="shared" si="6"/>
        <ns0:v>-1.1255</ns0:v>
      </ns0:c>
      <ns0:c r="U14" s="43">
        <ns0:f t="shared" si="6"/>
        <ns0:v>-1.093</ns0:v>
      </ns0:c>
      <ns0:c r="V14" s="43">
        <ns0:f t="shared" si="6"/>
        <ns0:v>-1.0435</ns0:v>
      </ns0:c>
      <ns0:c r="W14" s="43">
        <ns0:f t="shared" si="6"/>
        <ns0:v>-0.3503</ns0:v>
      </ns0:c>
      <ns0:c r="X14" s="43">
        <ns0:f t="shared" si="6"/>
        <ns0:v>-0.5571</ns0:v>
      </ns0:c>
      <ns0:c r="Y14" s="43">
        <ns0:f t="shared" si="6"/>
        <ns0:v>-0.5002</ns0:v>
      </ns0:c>
      <ns0:c r="Z14" s="43">
        <ns0:f t="shared" si="6"/>
        <ns0:v>-0.4389</ns0:v>
      </ns0:c>
      <ns0:c r="AA14" s="43">
        <ns0:f t="shared" si="6"/>
        <ns0:v>-0.5225</ns0:v>
      </ns0:c>
      <ns0:c r="AB14" s="43">
        <ns0:f t="shared" si="6"/>
        <ns0:v>-0.3381</ns0:v>
      </ns0:c>
      <ns0:c r="AC14" s="43">
        <ns0:f t="shared" si="6"/>
        <ns0:v>-0.2751</ns0:v>
      </ns0:c>
    </ns0:row>
    <ns0:row r="15" spans="1:29">
      <ns0:c r="A15" s="32"/>
      <ns0:c r="B15" s="33"/>
      <ns0:c r="C15" s="35" t="s">
        <ns0:v>51</ns0:v>
      </ns0:c>
      <ns0:c r="D15" s="31" t="s">
        <ns0:v>48</ns0:v>
      </ns0:c>
      <ns0:c r="E15" s="31">
        <ns0:f>AVERAGE(F15:AC15)</ns0:f>
        <ns0:v>399.16625</ns0:v>
      </ns0:c>
      <ns0:c r="F15" s="43">
        <ns0:v>425.07</ns0:v>
      </ns0:c>
      <ns0:c r="G15" s="43">
        <ns0:v>400.51</ns0:v>
      </ns0:c>
      <ns0:c r="H15" s="43">
        <ns0:v>391.29</ns0:v>
      </ns0:c>
      <ns0:c r="I15" s="43">
        <ns0:v>362.56</ns0:v>
      </ns0:c>
      <ns0:c r="J15" s="43">
        <ns0:v>329.38</ns0:v>
      </ns0:c>
      <ns0:c r="K15" s="43">
        <ns0:v>355.6</ns0:v>
      </ns0:c>
      <ns0:c r="L15" s="43">
        <ns0:v>420.5</ns0:v>
      </ns0:c>
      <ns0:c r="M15" s="43">
        <ns0:v>466.52</ns0:v>
      </ns0:c>
      <ns0:c r="N15" s="43">
        <ns0:v>494.78</ns0:v>
      </ns0:c>
      <ns0:c r="O15" s="43">
        <ns0:v>452.92</ns0:v>
      </ns0:c>
      <ns0:c r="P15" s="43">
        <ns0:v>343.97</ns0:v>
      </ns0:c>
      <ns0:c r="Q15" s="43">
        <ns0:v>295.19</ns0:v>
      </ns0:c>
      <ns0:c r="R15" s="43">
        <ns0:v>262.55</ns0:v>
      </ns0:c>
      <ns0:c r="S15" s="43">
        <ns0:v>273.14</ns0:v>
      </ns0:c>
      <ns0:c r="T15" s="43">
        <ns0:v>278.7</ns0:v>
      </ns0:c>
      <ns0:c r="U15" s="43">
        <ns0:v>313.76</ns0:v>
      </ns0:c>
      <ns0:c r="V15" s="43">
        <ns0:v>419.18</ns0:v>
      </ns0:c>
      <ns0:c r="W15" s="43">
        <ns0:v>539.47</ns0:v>
      </ns0:c>
      <ns0:c r="X15" s="43">
        <ns0:v>711.11</ns0:v>
      </ns0:c>
      <ns0:c r="Y15" s="43">
        <ns0:v>542.94</ns0:v>
      </ns0:c>
      <ns0:c r="Z15" s="43">
        <ns0:v>493.8</ns0:v>
      </ns0:c>
      <ns0:c r="AA15" s="43">
        <ns0:v>427.56</ns0:v>
      </ns0:c>
      <ns0:c r="AB15" s="43">
        <ns0:v>310.65</ns0:v>
      </ns0:c>
      <ns0:c r="AC15" s="43">
        <ns0:v>268.84</ns0:v>
      </ns0:c>
    </ns0:row>
    <ns0:row r="16" spans="1:29">
      <ns0:c r="A16" s="32"/>
      <ns0:c r="B16" s="33"/>
      <ns0:c r="C16" s="32"/>
      <ns0:c r="D16" s="31" t="s">
        <ns0:v>49</ns0:v>
      </ns0:c>
      <ns0:c r="E16" s="31">
        <ns0:f>AVERAGE(F16:AC16)</ns0:f>
        <ns0:v>399.737083333333</ns0:v>
      </ns0:c>
      <ns0:c r="F16" s="43">
        <ns0:v>382.32</ns0:v>
      </ns0:c>
      <ns0:c r="G16" s="43">
        <ns0:v>366.89</ns0:v>
      </ns0:c>
      <ns0:c r="H16" s="43">
        <ns0:v>335.31</ns0:v>
      </ns0:c>
      <ns0:c r="I16" s="43">
        <ns0:v>303.46</ns0:v>
      </ns0:c>
      <ns0:c r="J16" s="43">
        <ns0:v>303.15</ns0:v>
      </ns0:c>
      <ns0:c r="K16" s="43">
        <ns0:v>312.85</ns0:v>
      </ns0:c>
      <ns0:c r="L16" s="43">
        <ns0:v>428.93</ns0:v>
      </ns0:c>
      <ns0:c r="M16" s="43">
        <ns0:v>490.58</ns0:v>
      </ns0:c>
      <ns0:c r="N16" s="43">
        <ns0:v>766.27</ns0:v>
      </ns0:c>
      <ns0:c r="O16" s="43">
        <ns0:v>545.08</ns0:v>
      </ns0:c>
      <ns0:c r="P16" s="43">
        <ns0:v>433.03</ns0:v>
      </ns0:c>
      <ns0:c r="Q16" s="43">
        <ns0:v>394.84</ns0:v>
      </ns0:c>
      <ns0:c r="R16" s="43">
        <ns0:v>310.26</ns0:v>
      </ns0:c>
      <ns0:c r="S16" s="43">
        <ns0:v>367.6</ns0:v>
      </ns0:c>
      <ns0:c r="T16" s="43">
        <ns0:v>321.36</ns0:v>
      </ns0:c>
      <ns0:c r="U16" s="43">
        <ns0:v>400.66</ns0:v>
      </ns0:c>
      <ns0:c r="V16" s="43">
        <ns0:v>531.07</ns0:v>
      </ns0:c>
      <ns0:c r="W16" s="43">
        <ns0:v>549.95</ns0:v>
      </ns0:c>
      <ns0:c r="X16" s="43">
        <ns0:v>435.58</ns0:v>
      </ns0:c>
      <ns0:c r="Y16" s="43">
        <ns0:v>401.93</ns0:v>
      </ns0:c>
      <ns0:c r="Z16" s="43">
        <ns0:v>341</ns0:v>
      </ns0:c>
      <ns0:c r="AA16" s="43">
        <ns0:v>327.34</ns0:v>
      </ns0:c>
      <ns0:c r="AB16" s="43">
        <ns0:v>287.43</ns0:v>
      </ns0:c>
      <ns0:c r="AC16" s="43">
        <ns0:v>256.8</ns0:v>
      </ns0:c>
    </ns0:row>
    <ns0:row r="17" spans="1:29">
      <ns0:c r="A17" s="32"/>
      <ns0:c r="B17" s="33"/>
      <ns0:c r="C17" s="34"/>
      <ns0:c r="D17" s="31" t="s">
        <ns0:v>50</ns0:v>
      </ns0:c>
      <ns0:c r="E17" s="26">
        <ns0:f>E15-E16</ns0:f>
        <ns0:v>-0.570833333333269</ns0:v>
      </ns0:c>
      <ns0:c r="F17" s="43">
        <ns0:f t="shared" ref="F17:AC17" si="7">(F15-F16)*1</ns0:f>
        <ns0:v>42.75</ns0:v>
      </ns0:c>
      <ns0:c r="G17" s="43">
        <ns0:f t="shared" si="7"/>
        <ns0:v>33.62</ns0:v>
      </ns0:c>
      <ns0:c r="H17" s="43">
        <ns0:f t="shared" si="7"/>
        <ns0:v>55.98</ns0:v>
      </ns0:c>
      <ns0:c r="I17" s="43">
        <ns0:f t="shared" si="7"/>
        <ns0:v>59.1</ns0:v>
      </ns0:c>
      <ns0:c r="J17" s="43">
        <ns0:f t="shared" si="7"/>
        <ns0:v>26.23</ns0:v>
      </ns0:c>
      <ns0:c r="K17" s="43">
        <ns0:f t="shared" si="7"/>
        <ns0:v>42.75</ns0:v>
      </ns0:c>
      <ns0:c r="L17" s="43">
        <ns0:f t="shared" si="7"/>
        <ns0:v>-8.43000000000001</ns0:v>
      </ns0:c>
      <ns0:c r="M17" s="43">
        <ns0:f t="shared" si="7"/>
        <ns0:v>-24.06</ns0:v>
      </ns0:c>
      <ns0:c r="N17" s="43">
        <ns0:f t="shared" si="7"/>
        <ns0:v>-271.49</ns0:v>
      </ns0:c>
      <ns0:c r="O17" s="43">
        <ns0:f t="shared" si="7"/>
        <ns0:v>-92.16</ns0:v>
      </ns0:c>
      <ns0:c r="P17" s="43">
        <ns0:f t="shared" si="7"/>
        <ns0:v>-89.0599999999999</ns0:v>
      </ns0:c>
      <ns0:c r="Q17" s="43">
        <ns0:f t="shared" si="7"/>
        <ns0:v>-99.65</ns0:v>
      </ns0:c>
      <ns0:c r="R17" s="43">
        <ns0:f t="shared" si="7"/>
        <ns0:v>-47.71</ns0:v>
      </ns0:c>
      <ns0:c r="S17" s="43">
        <ns0:f t="shared" si="7"/>
        <ns0:v>-94.46</ns0:v>
      </ns0:c>
      <ns0:c r="T17" s="43">
        <ns0:f t="shared" si="7"/>
        <ns0:v>-42.66</ns0:v>
      </ns0:c>
      <ns0:c r="U17" s="43">
        <ns0:f t="shared" si="7"/>
        <ns0:v>-86.9</ns0:v>
      </ns0:c>
      <ns0:c r="V17" s="43">
        <ns0:f t="shared" si="7"/>
        <ns0:v>-111.89</ns0:v>
      </ns0:c>
      <ns0:c r="W17" s="43">
        <ns0:f t="shared" si="7"/>
        <ns0:v>-10.48</ns0:v>
      </ns0:c>
      <ns0:c r="X17" s="43">
        <ns0:f t="shared" si="7"/>
        <ns0:v>275.53</ns0:v>
      </ns0:c>
      <ns0:c r="Y17" s="43">
        <ns0:f t="shared" si="7"/>
        <ns0:v>141.01</ns0:v>
      </ns0:c>
      <ns0:c r="Z17" s="43">
        <ns0:f t="shared" si="7"/>
        <ns0:v>152.8</ns0:v>
      </ns0:c>
      <ns0:c r="AA17" s="43">
        <ns0:f t="shared" si="7"/>
        <ns0:v>100.22</ns0:v>
      </ns0:c>
      <ns0:c r="AB17" s="43">
        <ns0:f t="shared" si="7"/>
        <ns0:v>23.22</ns0:v>
      </ns0:c>
      <ns0:c r="AC17" s="43">
        <ns0:f t="shared" si="7"/>
        <ns0:v>12.04</ns0:v>
      </ns0:c>
    </ns0:row>
    <ns0:row r="18" spans="1:29">
      <ns0:c r="A18" s="32"/>
      <ns0:c r="B18" s="33"/>
      <ns0:c r="C18" s="36" t="s">
        <ns0:v>52</ns0:v>
      </ns0:c>
      <ns0:c r="D18" s="37"/>
      <ns0:c r="E18" s="26">
        <ns0:f t="shared" ref="E18:E22" si="8">SUM(F18:AC18)</ns0:f>
        <ns0:v>-208.699541</ns0:v>
      </ns0:c>
      <ns0:c r="F18" s="43">
        <ns0:f t="shared" ref="F18:AC18" si="9">(-F14*F17)*1</ns0:f>
        <ns0:v>-12.0213</ns0:v>
      </ns0:c>
      <ns0:c r="G18" s="43">
        <ns0:f t="shared" si="9"/>
        <ns0:v>-4.31344599999999</ns0:v>
      </ns0:c>
      <ns0:c r="H18" s="43">
        <ns0:f t="shared" si="9"/>
        <ns0:v>-2.31197400000001</ns0:v>
      </ns0:c>
      <ns0:c r="I18" s="43">
        <ns0:f t="shared" si="9"/>
        <ns0:v>-5.36037</ns0:v>
      </ns0:c>
      <ns0:c r="J18" s="43">
        <ns0:f t="shared" si="9"/>
        <ns0:v>-2.546933</ns0:v>
      </ns0:c>
      <ns0:c r="K18" s="43">
        <ns0:f t="shared" si="9"/>
        <ns0:v>2.35125</ns0:v>
      </ns0:c>
      <ns0:c r="L18" s="43">
        <ns0:f t="shared" si="9"/>
        <ns0:v>-0.727509000000001</ns0:v>
      </ns0:c>
      <ns0:c r="M18" s="43">
        <ns0:f t="shared" si="9"/>
        <ns0:v>5.64207</ns0:v>
      </ns0:c>
      <ns0:c r="N18" s="43">
        <ns0:f t="shared" si="9"/>
        <ns0:v>31.900075</ns0:v>
      </ns0:c>
      <ns0:c r="O18" s="43">
        <ns0:f t="shared" si="9"/>
        <ns0:v>-19.49184</ns0:v>
      </ns0:c>
      <ns0:c r="P18" s="43">
        <ns0:f t="shared" si="9"/>
        <ns0:v>-77.9809359999999</ns0:v>
      </ns0:c>
      <ns0:c r="Q18" s="43">
        <ns0:f t="shared" si="9"/>
        <ns0:v>-81.57349</ns0:v>
      </ns0:c>
      <ns0:c r="R18" s="43">
        <ns0:f t="shared" si="9"/>
        <ns0:v>-35.820668</ns0:v>
      </ns0:c>
      <ns0:c r="S18" s="43">
        <ns0:f t="shared" si="9"/>
        <ns0:v>-97.643302</ns0:v>
      </ns0:c>
      <ns0:c r="T18" s="43">
        <ns0:f t="shared" si="9"/>
        <ns0:v>-48.01383</ns0:v>
      </ns0:c>
      <ns0:c r="U18" s="43">
        <ns0:f t="shared" si="9"/>
        <ns0:v>-94.9817</ns0:v>
      </ns0:c>
      <ns0:c r="V18" s="43">
        <ns0:f t="shared" si="9"/>
        <ns0:v>-116.757215</ns0:v>
      </ns0:c>
      <ns0:c r="W18" s="43">
        <ns0:f t="shared" si="9"/>
        <ns0:v>-3.671144</ns0:v>
      </ns0:c>
      <ns0:c r="X18" s="43">
        <ns0:f t="shared" si="9"/>
        <ns0:v>153.497763</ns0:v>
      </ns0:c>
      <ns0:c r="Y18" s="43">
        <ns0:f t="shared" si="9"/>
        <ns0:v>70.533202</ns0:v>
      </ns0:c>
      <ns0:c r="Z18" s="43">
        <ns0:f t="shared" si="9"/>
        <ns0:v>67.06392</ns0:v>
      </ns0:c>
      <ns0:c r="AA18" s="43">
        <ns0:f t="shared" si="9"/>
        <ns0:v>52.36495</ns0:v>
      </ns0:c>
      <ns0:c r="AB18" s="43">
        <ns0:f t="shared" si="9"/>
        <ns0:v>7.850682</ns0:v>
      </ns0:c>
      <ns0:c r="AC18" s="43">
        <ns0:f t="shared" si="9"/>
        <ns0:v>3.312204</ns0:v>
      </ns0:c>
    </ns0:row>
    <ns0:row r="19" spans="1:29">
      <ns0:c r="A19" s="32"/>
      <ns0:c r="B19" s="33"/>
      <ns0:c r="C19" s="38" t="s">
        <ns0:v>53</ns0:v>
      </ns0:c>
      <ns0:c r="D19" s="37"/>
      <ns0:c r="E19" s="26">
        <ns0:f t="shared" si="8"/>
        <ns0:v>-209.140509</ns0:v>
      </ns0:c>
      <ns0:c r="F19" s="43">
        <ns0:f t="shared" ref="F19:AC19" si="10">(IF(F18&gt;0,ABS(MIN(F13*0.2,ABS(F14))*F17),F18))*1</ns0:f>
        <ns0:v>-12.0213</ns0:v>
      </ns0:c>
      <ns0:c r="G19" s="43">
        <ns0:f t="shared" si="10"/>
        <ns0:v>-4.31344599999999</ns0:v>
      </ns0:c>
      <ns0:c r="H19" s="43">
        <ns0:f t="shared" si="10"/>
        <ns0:v>-2.31197400000001</ns0:v>
      </ns0:c>
      <ns0:c r="I19" s="43">
        <ns0:f t="shared" si="10"/>
        <ns0:v>-5.36037</ns0:v>
      </ns0:c>
      <ns0:c r="J19" s="43">
        <ns0:f t="shared" si="10"/>
        <ns0:v>-2.546933</ns0:v>
      </ns0:c>
      <ns0:c r="K19" s="43">
        <ns0:f t="shared" si="10"/>
        <ns0:v>2.35125</ns0:v>
      </ns0:c>
      <ns0:c r="L19" s="43">
        <ns0:f t="shared" si="10"/>
        <ns0:v>-0.727509000000001</ns0:v>
      </ns0:c>
      <ns0:c r="M19" s="43">
        <ns0:f t="shared" si="10"/>
        <ns0:v>5.64207</ns0:v>
      </ns0:c>
      <ns0:c r="N19" s="43">
        <ns0:f t="shared" si="10"/>
        <ns0:v>31.900075</ns0:v>
      </ns0:c>
      <ns0:c r="O19" s="43">
        <ns0:f t="shared" si="10"/>
        <ns0:v>-19.49184</ns0:v>
      </ns0:c>
      <ns0:c r="P19" s="43">
        <ns0:f t="shared" si="10"/>
        <ns0:v>-77.9809359999999</ns0:v>
      </ns0:c>
      <ns0:c r="Q19" s="43">
        <ns0:f t="shared" si="10"/>
        <ns0:v>-81.57349</ns0:v>
      </ns0:c>
      <ns0:c r="R19" s="43">
        <ns0:f t="shared" si="10"/>
        <ns0:v>-35.820668</ns0:v>
      </ns0:c>
      <ns0:c r="S19" s="43">
        <ns0:f t="shared" si="10"/>
        <ns0:v>-97.643302</ns0:v>
      </ns0:c>
      <ns0:c r="T19" s="43">
        <ns0:f t="shared" si="10"/>
        <ns0:v>-48.01383</ns0:v>
      </ns0:c>
      <ns0:c r="U19" s="43">
        <ns0:f t="shared" si="10"/>
        <ns0:v>-94.9817</ns0:v>
      </ns0:c>
      <ns0:c r="V19" s="43">
        <ns0:f t="shared" si="10"/>
        <ns0:v>-116.757215</ns0:v>
      </ns0:c>
      <ns0:c r="W19" s="43">
        <ns0:f t="shared" si="10"/>
        <ns0:v>-3.671144</ns0:v>
      </ns0:c>
      <ns0:c r="X19" s="43">
        <ns0:f t="shared" si="10"/>
        <ns0:v>153.497763</ns0:v>
      </ns0:c>
      <ns0:c r="Y19" s="43">
        <ns0:f t="shared" si="10"/>
        <ns0:v>70.533202</ns0:v>
      </ns0:c>
      <ns0:c r="Z19" s="43">
        <ns0:f t="shared" si="10"/>
        <ns0:v>67.06392</ns0:v>
      </ns0:c>
      <ns0:c r="AA19" s="43">
        <ns0:f t="shared" si="10"/>
        <ns0:v>51.923982</ns0:v>
      </ns0:c>
      <ns0:c r="AB19" s="43">
        <ns0:f t="shared" si="10"/>
        <ns0:v>7.850682</ns0:v>
      </ns0:c>
      <ns0:c r="AC19" s="43">
        <ns0:f t="shared" si="10"/>
        <ns0:v>3.312204</ns0:v>
      </ns0:c>
    </ns0:row>
    <ns0:row r="20" spans="1:29">
      <ns0:c r="A20" s="32"/>
      <ns0:c r="B20" s="33"/>
      <ns0:c r="C20" s="39" t="s">
        <ns0:v>50</ns0:v>
      </ns0:c>
      <ns0:c r="D20" s="37"/>
      <ns0:c r="E20" s="44">
        <ns0:f>E18-E19</ns0:f>
        <ns0:v>0.440967999999998</ns0:v>
      </ns0:c>
      <ns0:c r="F20" s="26">
        <ns0:f t="shared" ref="F20:AC20" si="11">(F18-F19)*1</ns0:f>
        <ns0:v>0</ns0:v>
      </ns0:c>
      <ns0:c r="G20" s="26">
        <ns0:f t="shared" si="11"/>
        <ns0:v>0</ns0:v>
      </ns0:c>
      <ns0:c r="H20" s="26">
        <ns0:f t="shared" si="11"/>
        <ns0:v>0</ns0:v>
      </ns0:c>
      <ns0:c r="I20" s="26">
        <ns0:f t="shared" si="11"/>
        <ns0:v>0</ns0:v>
      </ns0:c>
      <ns0:c r="J20" s="26">
        <ns0:f t="shared" si="11"/>
        <ns0:v>0</ns0:v>
      </ns0:c>
      <ns0:c r="K20" s="26">
        <ns0:f t="shared" si="11"/>
        <ns0:v>0</ns0:v>
      </ns0:c>
      <ns0:c r="L20" s="26">
        <ns0:f t="shared" si="11"/>
        <ns0:v>0</ns0:v>
      </ns0:c>
      <ns0:c r="M20" s="26">
        <ns0:f t="shared" si="11"/>
        <ns0:v>0</ns0:v>
      </ns0:c>
      <ns0:c r="N20" s="26">
        <ns0:f t="shared" si="11"/>
        <ns0:v>0</ns0:v>
      </ns0:c>
      <ns0:c r="O20" s="26">
        <ns0:f t="shared" si="11"/>
        <ns0:v>0</ns0:v>
      </ns0:c>
      <ns0:c r="P20" s="26">
        <ns0:f t="shared" si="11"/>
        <ns0:v>0</ns0:v>
      </ns0:c>
      <ns0:c r="Q20" s="26">
        <ns0:f t="shared" si="11"/>
        <ns0:v>0</ns0:v>
      </ns0:c>
      <ns0:c r="R20" s="26">
        <ns0:f t="shared" si="11"/>
        <ns0:v>0</ns0:v>
      </ns0:c>
      <ns0:c r="S20" s="26">
        <ns0:f t="shared" si="11"/>
        <ns0:v>0</ns0:v>
      </ns0:c>
      <ns0:c r="T20" s="26">
        <ns0:f t="shared" si="11"/>
        <ns0:v>0</ns0:v>
      </ns0:c>
      <ns0:c r="U20" s="26">
        <ns0:f t="shared" si="11"/>
        <ns0:v>0</ns0:v>
      </ns0:c>
      <ns0:c r="V20" s="26">
        <ns0:f t="shared" si="11"/>
        <ns0:v>0</ns0:v>
      </ns0:c>
      <ns0:c r="W20" s="26">
        <ns0:f t="shared" si="11"/>
        <ns0:v>0</ns0:v>
      </ns0:c>
      <ns0:c r="X20" s="26">
        <ns0:f t="shared" si="11"/>
        <ns0:v>0</ns0:v>
      </ns0:c>
      <ns0:c r="Y20" s="26">
        <ns0:f t="shared" si="11"/>
        <ns0:v>0</ns0:v>
      </ns0:c>
      <ns0:c r="Z20" s="26">
        <ns0:f t="shared" si="11"/>
        <ns0:v>0</ns0:v>
      </ns0:c>
      <ns0:c r="AA20" s="26">
        <ns0:f t="shared" si="11"/>
        <ns0:v>0.440967999999991</ns0:v>
      </ns0:c>
      <ns0:c r="AB20" s="26">
        <ns0:f t="shared" si="11"/>
        <ns0:v>0</ns0:v>
      </ns0:c>
      <ns0:c r="AC20" s="26">
        <ns0:f t="shared" si="11"/>
        <ns0:v>0</ns0:v>
      </ns0:c>
    </ns0:row>
    <ns0:row r="21" spans="1:29">
      <ns0:c r="A21" s="29">
        <ns0:v>45994</ns0:v>
      </ns0:c>
      <ns0:c r="B21" s="30">
        <ns0:f>E28</ns0:f>
        <ns0:v>-1967.9439858</ns0:v>
      </ns0:c>
      <ns0:c r="C21" s="31" t="s">
        <ns0:v>47</ns0:v>
      </ns0:c>
      <ns0:c r="D21" s="31" t="s">
        <ns0:v>48</ns0:v>
      </ns0:c>
      <ns0:c r="E21" s="42">
        <ns0:f t="shared" si="8"/>
        <ns0:v>52.244</ns0:v>
      </ns0:c>
      <ns0:c r="F21" s="43">
        <ns0:v>1.538</ns0:v>
      </ns0:c>
      <ns0:c r="G21" s="43">
        <ns0:v>1.432</ns0:v>
      </ns0:c>
      <ns0:c r="H21" s="43">
        <ns0:v>1.217</ns0:v>
      </ns0:c>
      <ns0:c r="I21" s="43">
        <ns0:v>1.186</ns0:v>
      </ns0:c>
      <ns0:c r="J21" s="43">
        <ns0:v>1.156</ns0:v>
      </ns0:c>
      <ns0:c r="K21" s="43">
        <ns0:v>1.161</ns0:v>
      </ns0:c>
      <ns0:c r="L21" s="43">
        <ns0:v>1.118</ns0:v>
      </ns0:c>
      <ns0:c r="M21" s="43">
        <ns0:v>1.666</ns0:v>
      </ns0:c>
      <ns0:c r="N21" s="43">
        <ns0:v>3.315</ns0:v>
      </ns0:c>
      <ns0:c r="O21" s="43">
        <ns0:v>3.509</ns0:v>
      </ns0:c>
      <ns0:c r="P21" s="43">
        <ns0:v>2.645</ns0:v>
      </ns0:c>
      <ns0:c r="Q21" s="43">
        <ns0:v>2.543</ns0:v>
      </ns0:c>
      <ns0:c r="R21" s="43">
        <ns0:v>2.166</ns0:v>
      </ns0:c>
      <ns0:c r="S21" s="43">
        <ns0:v>2.555</ns0:v>
      </ns0:c>
      <ns0:c r="T21" s="43">
        <ns0:v>2.942</ns0:v>
      </ns0:c>
      <ns0:c r="U21" s="43">
        <ns0:v>2.796</ns0:v>
      </ns0:c>
      <ns0:c r="V21" s="43">
        <ns0:v>2.927</ns0:v>
      </ns0:c>
      <ns0:c r="W21" s="43">
        <ns0:v>3.166</ns0:v>
      </ns0:c>
      <ns0:c r="X21" s="43">
        <ns0:v>2.922</ns0:v>
      </ns0:c>
      <ns0:c r="Y21" s="43">
        <ns0:v>2.995</ns0:v>
      </ns0:c>
      <ns0:c r="Z21" s="43">
        <ns0:v>2.6</ns0:v>
      </ns0:c>
      <ns0:c r="AA21" s="43">
        <ns0:v>1.934</ns0:v>
      </ns0:c>
      <ns0:c r="AB21" s="43">
        <ns0:v>1.486</ns0:v>
      </ns0:c>
      <ns0:c r="AC21" s="43">
        <ns0:v>1.269</ns0:v>
      </ns0:c>
    </ns0:row>
    <ns0:row r="22" spans="1:29">
      <ns0:c r="A22" s="32"/>
      <ns0:c r="B22" s="33"/>
      <ns0:c r="C22" s="32"/>
      <ns0:c r="D22" s="6" t="s">
        <ns0:v>49</ns0:v>
      </ns0:c>
      <ns0:c r="E22" s="45">
        <ns0:f t="shared" si="8"/>
        <ns0:v>22.4835</ns0:v>
      </ns0:c>
      <ns0:c r="F22" s="43">
        <ns0:v>1.6391</ns0:v>
      </ns0:c>
      <ns0:c r="G22" s="43">
        <ns0:v>1.66307</ns0:v>
      </ns0:c>
      <ns0:c r="H22" s="43">
        <ns0:v>1.65322</ns0:v>
      </ns0:c>
      <ns0:c r="I22" s="43">
        <ns0:v>1.70349</ns0:v>
      </ns0:c>
      <ns0:c r="J22" s="43">
        <ns0:v>1.66121</ns0:v>
      </ns0:c>
      <ns0:c r="K22" s="43">
        <ns0:v>1.75384</ns0:v>
      </ns0:c>
      <ns0:c r="L22" s="43">
        <ns0:v>1.6611</ns0:v>
      </ns0:c>
      <ns0:c r="M22" s="43">
        <ns0:v>2.09351</ns0:v>
      </ns0:c>
      <ns0:c r="N22" s="43">
        <ns0:v>4.0232</ns0:v>
      </ns0:c>
      <ns0:c r="O22" s="43">
        <ns0:v>4.19339</ns0:v>
      </ns0:c>
      <ns0:c r="P22" s="43">
        <ns0:v>3.60673</ns0:v>
      </ns0:c>
      <ns0:c r="Q22" s="43">
        <ns0:v>3.58261</ns0:v>
      </ns0:c>
      <ns0:c r="R22" s="43">
        <ns0:v>2.91108</ns0:v>
      </ns0:c>
      <ns0:c r="S22" s="43">
        <ns0:v>3.26399</ns0:v>
      </ns0:c>
      <ns0:c r="T22" s="43">
        <ns0:v>3.87847</ns0:v>
      </ns0:c>
      <ns0:c r="U22" s="43">
        <ns0:v>3.69217</ns0:v>
      </ns0:c>
      <ns0:c r="V22" s="43">
        <ns0:v>4.02322</ns0:v>
      </ns0:c>
      <ns0:c r="W22" s="43">
        <ns0:v>3.69832</ns0:v>
      </ns0:c>
      <ns0:c r="X22" s="43">
        <ns0:v>3.28261</ns0:v>
      </ns0:c>
      <ns0:c r="Y22" s="43">
        <ns0:v>3.48528</ns0:v>
      </ns0:c>
      <ns0:c r="Z22" s="43">
        <ns0:v>3.10678</ns0:v>
      </ns0:c>
      <ns0:c r="AA22" s="43">
        <ns0:v>2.51995</ns0:v>
      </ns0:c>
      <ns0:c r="AB22" s="43">
        <ns0:v>2.16188</ns0:v>
      </ns0:c>
      <ns0:c r="AC22" s="43">
        <ns0:v>1.74862</ns0:v>
      </ns0:c>
    </ns0:row>
    <ns0:row r="23" spans="1:29">
      <ns0:c r="A23" s="32"/>
      <ns0:c r="B23" s="33"/>
      <ns0:c r="C23" s="34"/>
      <ns0:c r="D23" s="31" t="s">
        <ns0:v>50</ns0:v>
      </ns0:c>
      <ns0:c r="E23" s="26">
        <ns0:f>E21-E22</ns0:f>
        <ns0:v>29.7605</ns0:v>
      </ns0:c>
      <ns0:c r="F23" s="43">
        <ns0:f t="shared" ref="F23:AC23" si="12">(F21-F22)*1</ns0:f>
        <ns0:v>1.0518</ns0:v>
      </ns0:c>
      <ns0:c r="G23" s="43">
        <ns0:f t="shared" si="12"/>
        <ns0:v>0.8757</ns0:v>
      </ns0:c>
      <ns0:c r="H23" s="43">
        <ns0:f t="shared" si="12"/>
        <ns0:v>0.6487</ns0:v>
      </ns0:c>
      <ns0:c r="I23" s="43">
        <ns0:f t="shared" si="12"/>
        <ns0:v>0.5877</ns0:v>
      </ns0:c>
      <ns0:c r="J23" s="43">
        <ns0:f t="shared" si="12"/>
        <ns0:v>0.5753</ns0:v>
      </ns0:c>
      <ns0:c r="K23" s="43">
        <ns0:f t="shared" si="12"/>
        <ns0:v>0.5176</ns0:v>
      </ns0:c>
      <ns0:c r="L23" s="43">
        <ns0:f t="shared" si="12"/>
        <ns0:v>0.4971</ns0:v>
      </ns0:c>
      <ns0:c r="M23" s="43">
        <ns0:f t="shared" si="12"/>
        <ns0:v>0.7835</ns0:v>
      </ns0:c>
      <ns0:c r="N23" s="43">
        <ns0:f t="shared" si="12"/>
        <ns0:v>1.9293</ns0:v>
      </ns0:c>
      <ns0:c r="O23" s="43">
        <ns0:f t="shared" si="12"/>
        <ns0:v>2.1471</ns0:v>
      </ns0:c>
      <ns0:c r="P23" s="43">
        <ns0:f t="shared" si="12"/>
        <ns0:v>1.271</ns0:v>
      </ns0:c>
      <ns0:c r="Q23" s="43">
        <ns0:f t="shared" si="12"/>
        <ns0:v>1.2741</ns0:v>
      </ns0:c>
      <ns0:c r="R23" s="43">
        <ns0:f t="shared" si="12"/>
        <ns0:v>1.4514</ns0:v>
      </ns0:c>
      <ns0:c r="S23" s="43">
        <ns0:f t="shared" si="12"/>
        <ns0:v>1.7328</ns0:v>
      </ns0:c>
      <ns0:c r="T23" s="43">
        <ns0:f t="shared" si="12"/>
        <ns0:v>1.617</ns0:v>
      </ns0:c>
      <ns0:c r="U23" s="43">
        <ns0:f t="shared" si="12"/>
        <ns0:v>1.4183</ns0:v>
      </ns0:c>
      <ns0:c r="V23" s="43">
        <ns0:f t="shared" si="12"/>
        <ns0:v>1.4182</ns0:v>
      </ns0:c>
      <ns0:c r="W23" s="43">
        <ns0:f t="shared" si="12"/>
        <ns0:v>1.9163</ns0:v>
      </ns0:c>
      <ns0:c r="X23" s="43">
        <ns0:f t="shared" si="12"/>
        <ns0:v>1.9952</ns0:v>
      </ns0:c>
      <ns0:c r="Y23" s="43">
        <ns0:f t="shared" si="12"/>
        <ns0:v>1.9605</ns0:v>
      </ns0:c>
      <ns0:c r="Z23" s="43">
        <ns0:f t="shared" si="12"/>
        <ns0:v>1.6937</ns0:v>
      </ns0:c>
      <ns0:c r="AA23" s="43">
        <ns0:f t="shared" si="12"/>
        <ns0:v>1.1465</ns0:v>
      </ns0:c>
      <ns0:c r="AB23" s="43">
        <ns0:f t="shared" si="12"/>
        <ns0:v>0.676</ns0:v>
      </ns0:c>
      <ns0:c r="AC23" s="43">
        <ns0:f t="shared" si="12"/>
        <ns0:v>0.5757</ns0:v>
      </ns0:c>
    </ns0:row>
    <ns0:row r="24" spans="1:29">
      <ns0:c r="A24" s="32"/>
      <ns0:c r="B24" s="33"/>
      <ns0:c r="C24" s="35" t="s">
        <ns0:v>51</ns0:v>
      </ns0:c>
      <ns0:c r="D24" s="31" t="s">
        <ns0:v>48</ns0:v>
      </ns0:c>
      <ns0:c r="E24" s="31">
        <ns0:f>AVERAGE(F24:AC24)</ns0:f>
        <ns0:v>289.04</ns0:v>
      </ns0:c>
      <ns0:c r="F24" s="43">
        <ns0:v>295.81</ns0:v>
      </ns0:c>
      <ns0:c r="G24" s="43">
        <ns0:v>282.19</ns0:v>
      </ns0:c>
      <ns0:c r="H24" s="43">
        <ns0:v>274.17</ns0:v>
      </ns0:c>
      <ns0:c r="I24" s="43">
        <ns0:v>267.83</ns0:v>
      </ns0:c>
      <ns0:c r="J24" s="43">
        <ns0:v>261.72</ns0:v>
      </ns0:c>
      <ns0:c r="K24" s="43">
        <ns0:v>259.14</ns0:v>
      </ns0:c>
      <ns0:c r="L24" s="43">
        <ns0:v>260</ns0:v>
      </ns0:c>
      <ns0:c r="M24" s="43">
        <ns0:v>261.53</ns0:v>
      </ns0:c>
      <ns0:c r="N24" s="43">
        <ns0:v>293.46</ns0:v>
      </ns0:c>
      <ns0:c r="O24" s="43">
        <ns0:v>289.35</ns0:v>
      </ns0:c>
      <ns0:c r="P24" s="43">
        <ns0:v>280.99</ns0:v>
      </ns0:c>
      <ns0:c r="Q24" s="43">
        <ns0:v>256.44</ns0:v>
      </ns0:c>
      <ns0:c r="R24" s="43">
        <ns0:v>254.73</ns0:v>
      </ns0:c>
      <ns0:c r="S24" s="43">
        <ns0:v>244.51</ns0:v>
      </ns0:c>
      <ns0:c r="T24" s="43">
        <ns0:v>248.09</ns0:v>
      </ns0:c>
      <ns0:c r="U24" s="43">
        <ns0:v>259.86</ns0:v>
      </ns0:c>
      <ns0:c r="V24" s="43">
        <ns0:v>290.63</ns0:v>
      </ns0:c>
      <ns0:c r="W24" s="43">
        <ns0:v>364.28</ns0:v>
      </ns0:c>
      <ns0:c r="X24" s="43">
        <ns0:v>387.34</ns0:v>
      </ns0:c>
      <ns0:c r="Y24" s="43">
        <ns0:v>372.52</ns0:v>
      </ns0:c>
      <ns0:c r="Z24" s="43">
        <ns0:v>355.32</ns0:v>
      </ns0:c>
      <ns0:c r="AA24" s="43">
        <ns0:v>324.88</ns0:v>
      </ns0:c>
      <ns0:c r="AB24" s="43">
        <ns0:v>290.75</ns0:v>
      </ns0:c>
      <ns0:c r="AC24" s="43">
        <ns0:v>261.42</ns0:v>
      </ns0:c>
    </ns0:row>
    <ns0:row r="25" spans="1:29">
      <ns0:c r="A25" s="32"/>
      <ns0:c r="B25" s="33"/>
      <ns0:c r="C25" s="32"/>
      <ns0:c r="D25" s="31" t="s">
        <ns0:v>49</ns0:v>
      </ns0:c>
      <ns0:c r="E25" s="31">
        <ns0:f>AVERAGE(F25:AC25)</ns0:f>
        <ns0:v>234.225833333333</ns0:v>
      </ns0:c>
      <ns0:c r="F25" s="43">
        <ns0:v>297.94</ns0:v>
      </ns0:c>
      <ns0:c r="G25" s="43">
        <ns0:v>277.59</ns0:v>
      </ns0:c>
      <ns0:c r="H25" s="43">
        <ns0:v>268.28</ns0:v>
      </ns0:c>
      <ns0:c r="I25" s="43">
        <ns0:v>261.18</ns0:v>
      </ns0:c>
      <ns0:c r="J25" s="43">
        <ns0:v>242.99</ns0:v>
      </ns0:c>
      <ns0:c r="K25" s="43">
        <ns0:v>236.68</ns0:v>
      </ns0:c>
      <ns0:c r="L25" s="43">
        <ns0:v>245.41</ns0:v>
      </ns0:c>
      <ns0:c r="M25" s="43">
        <ns0:v>262.69</ns0:v>
      </ns0:c>
      <ns0:c r="N25" s="43">
        <ns0:v>285.24</ns0:v>
      </ns0:c>
      <ns0:c r="O25" s="43">
        <ns0:v>271.87</ns0:v>
      </ns0:c>
      <ns0:c r="P25" s="43">
        <ns0:v>218.47</ns0:v>
      </ns0:c>
      <ns0:c r="Q25" s="43">
        <ns0:v>117</ns0:v>
      </ns0:c>
      <ns0:c r="R25" s="43">
        <ns0:v>8.52</ns0:v>
      </ns0:c>
      <ns0:c r="S25" s="43">
        <ns0:v>30.73</ns0:v>
      </ns0:c>
      <ns0:c r="T25" s="43">
        <ns0:v>118.35</ns0:v>
      </ns0:c>
      <ns0:c r="U25" s="43">
        <ns0:v>232.48</ns0:v>
      </ns0:c>
      <ns0:c r="V25" s="43">
        <ns0:v>269.25</ns0:v>
      </ns0:c>
      <ns0:c r="W25" s="43">
        <ns0:v>293.71</ns0:v>
      </ns0:c>
      <ns0:c r="X25" s="43">
        <ns0:v>306.85</ns0:v>
      </ns0:c>
      <ns0:c r="Y25" s="43">
        <ns0:v>295.76</ns0:v>
      </ns0:c>
      <ns0:c r="Z25" s="43">
        <ns0:v>306.43</ns0:v>
      </ns0:c>
      <ns0:c r="AA25" s="43">
        <ns0:v>293.41</ns0:v>
      </ns0:c>
      <ns0:c r="AB25" s="43">
        <ns0:v>257.93</ns0:v>
      </ns0:c>
      <ns0:c r="AC25" s="43">
        <ns0:v>222.66</ns0:v>
      </ns0:c>
    </ns0:row>
    <ns0:row r="26" spans="1:29">
      <ns0:c r="A26" s="32"/>
      <ns0:c r="B26" s="33"/>
      <ns0:c r="C26" s="34"/>
      <ns0:c r="D26" s="31" t="s">
        <ns0:v>50</ns0:v>
      </ns0:c>
      <ns0:c r="E26" s="26">
        <ns0:f>E24-E25</ns0:f>
        <ns0:v>54.8141666666667</ns0:v>
      </ns0:c>
      <ns0:c r="F26" s="43">
        <ns0:f t="shared" ref="F26:AC26" si="13">(F24-F25)*1</ns0:f>
        <ns0:v>-2.13</ns0:v>
      </ns0:c>
      <ns0:c r="G26" s="43">
        <ns0:f t="shared" si="13"/>
        <ns0:v>4.60000000000002</ns0:v>
      </ns0:c>
      <ns0:c r="H26" s="43">
        <ns0:f t="shared" si="13"/>
        <ns0:v>5.89000000000004</ns0:v>
      </ns0:c>
      <ns0:c r="I26" s="43">
        <ns0:f t="shared" si="13"/>
        <ns0:v>6.64999999999998</ns0:v>
      </ns0:c>
      <ns0:c r="J26" s="43">
        <ns0:f t="shared" si="13"/>
        <ns0:v>18.73</ns0:v>
      </ns0:c>
      <ns0:c r="K26" s="43">
        <ns0:f t="shared" si="13"/>
        <ns0:v>22.46</ns0:v>
      </ns0:c>
      <ns0:c r="L26" s="43">
        <ns0:f t="shared" si="13"/>
        <ns0:v>14.59</ns0:v>
      </ns0:c>
      <ns0:c r="M26" s="43">
        <ns0:f t="shared" si="13"/>
        <ns0:v>-1.16000000000003</ns0:v>
      </ns0:c>
      <ns0:c r="N26" s="43">
        <ns0:f t="shared" si="13"/>
        <ns0:v>8.21999999999997</ns0:v>
      </ns0:c>
      <ns0:c r="O26" s="43">
        <ns0:f t="shared" si="13"/>
        <ns0:v>17.48</ns0:v>
      </ns0:c>
      <ns0:c r="P26" s="43">
        <ns0:f t="shared" si="13"/>
        <ns0:v>62.52</ns0:v>
      </ns0:c>
      <ns0:c r="Q26" s="43">
        <ns0:f t="shared" si="13"/>
        <ns0:v>139.44</ns0:v>
      </ns0:c>
      <ns0:c r="R26" s="43">
        <ns0:f t="shared" si="13"/>
        <ns0:v>246.21</ns0:v>
      </ns0:c>
      <ns0:c r="S26" s="43">
        <ns0:f t="shared" si="13"/>
        <ns0:v>213.78</ns0:v>
      </ns0:c>
      <ns0:c r="T26" s="43">
        <ns0:f t="shared" si="13"/>
        <ns0:v>129.74</ns0:v>
      </ns0:c>
      <ns0:c r="U26" s="43">
        <ns0:f t="shared" si="13"/>
        <ns0:v>27.38</ns0:v>
      </ns0:c>
      <ns0:c r="V26" s="43">
        <ns0:f t="shared" si="13"/>
        <ns0:v>21.38</ns0:v>
      </ns0:c>
      <ns0:c r="W26" s="43">
        <ns0:f t="shared" si="13"/>
        <ns0:v>70.57</ns0:v>
      </ns0:c>
      <ns0:c r="X26" s="43">
        <ns0:f t="shared" si="13"/>
        <ns0:v>80.49</ns0:v>
      </ns0:c>
      <ns0:c r="Y26" s="43">
        <ns0:f t="shared" si="13"/>
        <ns0:v>76.76</ns0:v>
      </ns0:c>
      <ns0:c r="Z26" s="43">
        <ns0:f t="shared" si="13"/>
        <ns0:v>48.89</ns0:v>
      </ns0:c>
      <ns0:c r="AA26" s="43">
        <ns0:f t="shared" si="13"/>
        <ns0:v>31.47</ns0:v>
      </ns0:c>
      <ns0:c r="AB26" s="43">
        <ns0:f t="shared" si="13"/>
        <ns0:v>32.82</ns0:v>
      </ns0:c>
      <ns0:c r="AC26" s="43">
        <ns0:f t="shared" si="13"/>
        <ns0:v>38.76</ns0:v>
      </ns0:c>
    </ns0:row>
    <ns0:row r="27" spans="1:29">
      <ns0:c r="A27" s="32"/>
      <ns0:c r="B27" s="33"/>
      <ns0:c r="C27" s="36" t="s">
        <ns0:v>52</ns0:v>
      </ns0:c>
      <ns0:c r="D27" s="37"/>
      <ns0:c r="E27" s="26">
        <ns0:f t="shared" ref="E27:E31" si="14">SUM(F27:AC27)</ns0:f>
        <ns0:v>-1965.206653</ns0:v>
      </ns0:c>
      <ns0:c r="F27" s="43">
        <ns0:f t="shared" ref="F27:AC27" si="15">(-F23*F26)*1</ns0:f>
        <ns0:v>2.240334</ns0:v>
      </ns0:c>
      <ns0:c r="G27" s="43">
        <ns0:f t="shared" si="15"/>
        <ns0:v>-4.02822000000002</ns0:v>
      </ns0:c>
      <ns0:c r="H27" s="43">
        <ns0:f t="shared" si="15"/>
        <ns0:v>-3.82084300000003</ns0:v>
      </ns0:c>
      <ns0:c r="I27" s="43">
        <ns0:f t="shared" si="15"/>
        <ns0:v>-3.90820499999999</ns0:v>
      </ns0:c>
      <ns0:c r="J27" s="43">
        <ns0:f t="shared" si="15"/>
        <ns0:v>-10.775369</ns0:v>
      </ns0:c>
      <ns0:c r="K27" s="43">
        <ns0:f t="shared" si="15"/>
        <ns0:v>-11.625296</ns0:v>
      </ns0:c>
      <ns0:c r="L27" s="43">
        <ns0:f t="shared" si="15"/>
        <ns0:v>-7.252689</ns0:v>
      </ns0:c>
      <ns0:c r="M27" s="43">
        <ns0:f t="shared" si="15"/>
        <ns0:v>0.908860000000023</ns0:v>
      </ns0:c>
      <ns0:c r="N27" s="43">
        <ns0:f t="shared" si="15"/>
        <ns0:v>-15.8588459999999</ns0:v>
      </ns0:c>
      <ns0:c r="O27" s="43">
        <ns0:f t="shared" si="15"/>
        <ns0:v>-37.531308</ns0:v>
      </ns0:c>
      <ns0:c r="P27" s="43">
        <ns0:f t="shared" si="15"/>
        <ns0:v>-79.46292</ns0:v>
      </ns0:c>
      <ns0:c r="Q27" s="43">
        <ns0:f t="shared" si="15"/>
        <ns0:v>-177.660504</ns0:v>
      </ns0:c>
      <ns0:c r="R27" s="43">
        <ns0:f t="shared" si="15"/>
        <ns0:v>-357.349194</ns0:v>
      </ns0:c>
      <ns0:c r="S27" s="43">
        <ns0:f t="shared" si="15"/>
        <ns0:v>-370.437984</ns0:v>
      </ns0:c>
      <ns0:c r="T27" s="43">
        <ns0:f t="shared" si="15"/>
        <ns0:v>-209.78958</ns0:v>
      </ns0:c>
      <ns0:c r="U27" s="43">
        <ns0:f t="shared" si="15"/>
        <ns0:v>-38.833054</ns0:v>
      </ns0:c>
      <ns0:c r="V27" s="43">
        <ns0:f t="shared" si="15"/>
        <ns0:v>-30.321116</ns0:v>
      </ns0:c>
      <ns0:c r="W27" s="43">
        <ns0:f t="shared" si="15"/>
        <ns0:v>-135.233291</ns0:v>
      </ns0:c>
      <ns0:c r="X27" s="43">
        <ns0:f t="shared" si="15"/>
        <ns0:v>-160.593648</ns0:v>
      </ns0:c>
      <ns0:c r="Y27" s="43">
        <ns0:f t="shared" si="15"/>
        <ns0:v>-150.48798</ns0:v>
      </ns0:c>
      <ns0:c r="Z27" s="43">
        <ns0:f t="shared" si="15"/>
        <ns0:v>-82.804993</ns0:v>
      </ns0:c>
      <ns0:c r="AA27" s="43">
        <ns0:f t="shared" si="15"/>
        <ns0:v>-36.080355</ns0:v>
      </ns0:c>
      <ns0:c r="AB27" s="43">
        <ns0:f t="shared" si="15"/>
        <ns0:v>-22.18632</ns0:v>
      </ns0:c>
      <ns0:c r="AC27" s="43">
        <ns0:f t="shared" si="15"/>
        <ns0:v>-22.314132</ns0:v>
      </ns0:c>
    </ns0:row>
    <ns0:row r="28" spans="1:29">
      <ns0:c r="A28" s="32"/>
      <ns0:c r="B28" s="33"/>
      <ns0:c r="C28" s="38" t="s">
        <ns0:v>53</ns0:v>
      </ns0:c>
      <ns0:c r="D28" s="37"/>
      <ns0:c r="E28" s="26">
        <ns0:f t="shared" si="14"/>
        <ns0:v>-1967.9439858</ns0:v>
      </ns0:c>
      <ns0:c r="F28" s="43">
        <ns0:f t="shared" ref="F28:AC28" si="16">(IF(F27&gt;0,ABS(MIN(F22*0.2,ABS(F23))*F26),F27))*1</ns0:f>
        <ns0:v>0.2071212</ns0:v>
      </ns0:c>
      <ns0:c r="G28" s="43">
        <ns0:f t="shared" si="16"/>
        <ns0:v>-4.02822000000002</ns0:v>
      </ns0:c>
      <ns0:c r="H28" s="43">
        <ns0:f t="shared" si="16"/>
        <ns0:v>-3.82084300000003</ns0:v>
      </ns0:c>
      <ns0:c r="I28" s="43">
        <ns0:f t="shared" si="16"/>
        <ns0:v>-3.90820499999999</ns0:v>
      </ns0:c>
      <ns0:c r="J28" s="43">
        <ns0:f t="shared" si="16"/>
        <ns0:v>-10.775369</ns0:v>
      </ns0:c>
      <ns0:c r="K28" s="43">
        <ns0:f t="shared" si="16"/>
        <ns0:v>-11.625296</ns0:v>
      </ns0:c>
      <ns0:c r="L28" s="43">
        <ns0:f t="shared" si="16"/>
        <ns0:v>-7.252689</ns0:v>
      </ns0:c>
      <ns0:c r="M28" s="43">
        <ns0:f t="shared" si="16"/>
        <ns0:v>0.204740000000005</ns0:v>
      </ns0:c>
      <ns0:c r="N28" s="43">
        <ns0:f t="shared" si="16"/>
        <ns0:v>-15.8588459999999</ns0:v>
      </ns0:c>
      <ns0:c r="O28" s="43">
        <ns0:f t="shared" si="16"/>
        <ns0:v>-37.531308</ns0:v>
      </ns0:c>
      <ns0:c r="P28" s="43">
        <ns0:f t="shared" si="16"/>
        <ns0:v>-79.46292</ns0:v>
      </ns0:c>
      <ns0:c r="Q28" s="43">
        <ns0:f t="shared" si="16"/>
        <ns0:v>-177.660504</ns0:v>
      </ns0:c>
      <ns0:c r="R28" s="43">
        <ns0:f t="shared" si="16"/>
        <ns0:v>-357.349194</ns0:v>
      </ns0:c>
      <ns0:c r="S28" s="43">
        <ns0:f t="shared" si="16"/>
        <ns0:v>-370.437984</ns0:v>
      </ns0:c>
      <ns0:c r="T28" s="43">
        <ns0:f t="shared" si="16"/>
        <ns0:v>-209.78958</ns0:v>
      </ns0:c>
      <ns0:c r="U28" s="43">
        <ns0:f t="shared" si="16"/>
        <ns0:v>-38.833054</ns0:v>
      </ns0:c>
      <ns0:c r="V28" s="43">
        <ns0:f t="shared" si="16"/>
        <ns0:v>-30.321116</ns0:v>
      </ns0:c>
      <ns0:c r="W28" s="43">
        <ns0:f t="shared" si="16"/>
        <ns0:v>-135.233291</ns0:v>
      </ns0:c>
      <ns0:c r="X28" s="43">
        <ns0:f t="shared" si="16"/>
        <ns0:v>-160.593648</ns0:v>
      </ns0:c>
      <ns0:c r="Y28" s="43">
        <ns0:f t="shared" si="16"/>
        <ns0:v>-150.48798</ns0:v>
      </ns0:c>
      <ns0:c r="Z28" s="43">
        <ns0:f t="shared" si="16"/>
        <ns0:v>-82.804993</ns0:v>
      </ns0:c>
      <ns0:c r="AA28" s="43">
        <ns0:f t="shared" si="16"/>
        <ns0:v>-36.080355</ns0:v>
      </ns0:c>
      <ns0:c r="AB28" s="43">
        <ns0:f t="shared" si="16"/>
        <ns0:v>-22.18632</ns0:v>
      </ns0:c>
      <ns0:c r="AC28" s="43">
        <ns0:f t="shared" si="16"/>
        <ns0:v>-22.314132</ns0:v>
      </ns0:c>
    </ns0:row>
    <ns0:row r="29" spans="1:29">
      <ns0:c r="A29" s="32"/>
      <ns0:c r="B29" s="33"/>
      <ns0:c r="C29" s="39" t="s">
        <ns0:v>50</ns0:v>
      </ns0:c>
      <ns0:c r="D29" s="37"/>
      <ns0:c r="E29" s="44">
        <ns0:f>E27-E28</ns0:f>
        <ns0:v>2.73733280000033</ns0:v>
      </ns0:c>
      <ns0:c r="F29" s="26">
        <ns0:f t="shared" ref="F29:AC29" si="17">(F27-F28)*1</ns0:f>
        <ns0:v>2.0332128</ns0:v>
      </ns0:c>
      <ns0:c r="G29" s="26">
        <ns0:f t="shared" si="17"/>
        <ns0:v>0</ns0:v>
      </ns0:c>
      <ns0:c r="H29" s="26">
        <ns0:f t="shared" si="17"/>
        <ns0:v>0</ns0:v>
      </ns0:c>
      <ns0:c r="I29" s="26">
        <ns0:f t="shared" si="17"/>
        <ns0:v>0</ns0:v>
      </ns0:c>
      <ns0:c r="J29" s="26">
        <ns0:f t="shared" si="17"/>
        <ns0:v>0</ns0:v>
      </ns0:c>
      <ns0:c r="K29" s="26">
        <ns0:f t="shared" si="17"/>
        <ns0:v>0</ns0:v>
      </ns0:c>
      <ns0:c r="L29" s="26">
        <ns0:f t="shared" si="17"/>
        <ns0:v>0</ns0:v>
      </ns0:c>
      <ns0:c r="M29" s="26">
        <ns0:f t="shared" si="17"/>
        <ns0:v>0.704120000000018</ns0:v>
      </ns0:c>
      <ns0:c r="N29" s="26">
        <ns0:f t="shared" si="17"/>
        <ns0:v>0</ns0:v>
      </ns0:c>
      <ns0:c r="O29" s="26">
        <ns0:f t="shared" si="17"/>
        <ns0:v>0</ns0:v>
      </ns0:c>
      <ns0:c r="P29" s="26">
        <ns0:f t="shared" si="17"/>
        <ns0:v>0</ns0:v>
      </ns0:c>
      <ns0:c r="Q29" s="26">
        <ns0:f t="shared" si="17"/>
        <ns0:v>0</ns0:v>
      </ns0:c>
      <ns0:c r="R29" s="26">
        <ns0:f t="shared" si="17"/>
        <ns0:v>0</ns0:v>
      </ns0:c>
      <ns0:c r="S29" s="26">
        <ns0:f t="shared" si="17"/>
        <ns0:v>0</ns0:v>
      </ns0:c>
      <ns0:c r="T29" s="26">
        <ns0:f t="shared" si="17"/>
        <ns0:v>0</ns0:v>
      </ns0:c>
      <ns0:c r="U29" s="26">
        <ns0:f t="shared" si="17"/>
        <ns0:v>0</ns0:v>
      </ns0:c>
      <ns0:c r="V29" s="26">
        <ns0:f t="shared" si="17"/>
        <ns0:v>0</ns0:v>
      </ns0:c>
      <ns0:c r="W29" s="26">
        <ns0:f t="shared" si="17"/>
        <ns0:v>0</ns0:v>
      </ns0:c>
      <ns0:c r="X29" s="26">
        <ns0:f t="shared" si="17"/>
        <ns0:v>0</ns0:v>
      </ns0:c>
      <ns0:c r="Y29" s="26">
        <ns0:f t="shared" si="17"/>
        <ns0:v>0</ns0:v>
      </ns0:c>
      <ns0:c r="Z29" s="26">
        <ns0:f t="shared" si="17"/>
        <ns0:v>0</ns0:v>
      </ns0:c>
      <ns0:c r="AA29" s="26">
        <ns0:f t="shared" si="17"/>
        <ns0:v>0</ns0:v>
      </ns0:c>
      <ns0:c r="AB29" s="26">
        <ns0:f t="shared" si="17"/>
        <ns0:v>0</ns0:v>
      </ns0:c>
      <ns0:c r="AC29" s="26">
        <ns0:f t="shared" si="17"/>
        <ns0:v>0</ns0:v>
      </ns0:c>
    </ns0:row>
    <ns0:row r="30" spans="1:29">
      <ns0:c r="A30" s="29">
        <ns0:v>45995</ns0:v>
      </ns0:c>
      <ns0:c r="B30" s="30">
        <ns0:f>E37</ns0:f>
        <ns0:v>437.611726</ns0:v>
      </ns0:c>
      <ns0:c r="C30" s="31" t="s">
        <ns0:v>47</ns0:v>
      </ns0:c>
      <ns0:c r="D30" s="31" t="s">
        <ns0:v>48</ns0:v>
      </ns0:c>
      <ns0:c r="E30" s="42">
        <ns0:f t="shared" si="14"/>
        <ns0:v>55.492</ns0:v>
      </ns0:c>
      <ns0:c r="F30" s="43">
        <ns0:v>1.534</ns0:v>
      </ns0:c>
      <ns0:c r="G30" s="43">
        <ns0:v>1.423</ns0:v>
      </ns0:c>
      <ns0:c r="H30" s="43">
        <ns0:v>1.215</ns0:v>
      </ns0:c>
      <ns0:c r="I30" s="43">
        <ns0:v>1.219</ns0:v>
      </ns0:c>
      <ns0:c r="J30" s="43">
        <ns0:v>1.219</ns0:v>
      </ns0:c>
      <ns0:c r="K30" s="43">
        <ns0:v>1.207</ns0:v>
      </ns0:c>
      <ns0:c r="L30" s="43">
        <ns0:v>1.164</ns0:v>
      </ns0:c>
      <ns0:c r="M30" s="43">
        <ns0:v>1.663</ns0:v>
      </ns0:c>
      <ns0:c r="N30" s="43">
        <ns0:v>3.326</ns0:v>
      </ns0:c>
      <ns0:c r="O30" s="43">
        <ns0:v>3.54</ns0:v>
      </ns0:c>
      <ns0:c r="P30" s="43">
        <ns0:v>3.055</ns0:v>
      </ns0:c>
      <ns0:c r="Q30" s="43">
        <ns0:v>2.908</ns0:v>
      </ns0:c>
      <ns0:c r="R30" s="43">
        <ns0:v>2.444</ns0:v>
      </ns0:c>
      <ns0:c r="S30" s="43">
        <ns0:v>2.838</ns0:v>
      </ns0:c>
      <ns0:c r="T30" s="43">
        <ns0:v>3.374</ns0:v>
      </ns0:c>
      <ns0:c r="U30" s="43">
        <ns0:v>2.88</ns0:v>
      </ns0:c>
      <ns0:c r="V30" s="43">
        <ns0:v>3.306</ns0:v>
      </ns0:c>
      <ns0:c r="W30" s="43">
        <ns0:v>3.861</ns0:v>
      </ns0:c>
      <ns0:c r="X30" s="43">
        <ns0:v>3.177</ns0:v>
      </ns0:c>
      <ns0:c r="Y30" s="43">
        <ns0:v>2.895</ns0:v>
      </ns0:c>
      <ns0:c r="Z30" s="43">
        <ns0:v>2.446</ns0:v>
      </ns0:c>
      <ns0:c r="AA30" s="43">
        <ns0:v>1.981</ns0:v>
      </ns0:c>
      <ns0:c r="AB30" s="43">
        <ns0:v>1.482</ns0:v>
      </ns0:c>
      <ns0:c r="AC30" s="43">
        <ns0:v>1.335</ns0:v>
      </ns0:c>
    </ns0:row>
    <ns0:row r="31" spans="1:29">
      <ns0:c r="A31" s="32"/>
      <ns0:c r="B31" s="33"/>
      <ns0:c r="C31" s="32"/>
      <ns0:c r="D31" s="6" t="s">
        <ns0:v>49</ns0:v>
      </ns0:c>
      <ns0:c r="E31" s="42">
        <ns0:f t="shared" si="14"/>
        <ns0:v>67.6184</ns0:v>
      </ns0:c>
      <ns0:c r="F31" s="43">
        <ns0:v>1.6721</ns0:v>
      </ns0:c>
      <ns0:c r="G31" s="43">
        <ns0:v>1.6827</ns0:v>
      </ns0:c>
      <ns0:c r="H31" s="43">
        <ns0:v>1.6365</ns0:v>
      </ns0:c>
      <ns0:c r="I31" s="43">
        <ns0:v>1.6578</ns0:v>
      </ns0:c>
      <ns0:c r="J31" s="43">
        <ns0:v>1.6379</ns0:v>
      </ns0:c>
      <ns0:c r="K31" s="43">
        <ns0:v>1.6435</ns0:v>
      </ns0:c>
      <ns0:c r="L31" s="43">
        <ns0:v>1.5995</ns0:v>
      </ns0:c>
      <ns0:c r="M31" s="43">
        <ns0:v>2.0526</ns0:v>
      </ns0:c>
      <ns0:c r="N31" s="43">
        <ns0:v>4.1684</ns0:v>
      </ns0:c>
      <ns0:c r="O31" s="43">
        <ns0:v>4.461</ns0:v>
      </ns0:c>
      <ns0:c r="P31" s="43">
        <ns0:v>3.8993</ns0:v>
      </ns0:c>
      <ns0:c r="Q31" s="43">
        <ns0:v>3.5093</ns0:v>
      </ns0:c>
      <ns0:c r="R31" s="43">
        <ns0:v>2.9045</ns0:v>
      </ns0:c>
      <ns0:c r="S31" s="43">
        <ns0:v>3.3602</ns0:v>
      </ns0:c>
      <ns0:c r="T31" s="43">
        <ns0:v>3.967</ns0:v>
      </ns0:c>
      <ns0:c r="U31" s="43">
        <ns0:v>3.6719</ns0:v>
      </ns0:c>
      <ns0:c r="V31" s="43">
        <ns0:v>3.9185</ns0:v>
      </ns0:c>
      <ns0:c r="W31" s="43">
        <ns0:v>3.7977</ns0:v>
      </ns0:c>
      <ns0:c r="X31" s="43">
        <ns0:v>3.4588</ns0:v>
      </ns0:c>
      <ns0:c r="Y31" s="43">
        <ns0:v>3.4779</ns0:v>
      </ns0:c>
      <ns0:c r="Z31" s="43">
        <ns0:v>3.0514</ns0:v>
      </ns0:c>
      <ns0:c r="AA31" s="43">
        <ns0:v>2.5353</ns0:v>
      </ns0:c>
      <ns0:c r="AB31" s="43">
        <ns0:v>2.0749</ns0:v>
      </ns0:c>
      <ns0:c r="AC31" s="43">
        <ns0:v>1.7797</ns0:v>
      </ns0:c>
    </ns0:row>
    <ns0:row r="32" spans="1:29">
      <ns0:c r="A32" s="32"/>
      <ns0:c r="B32" s="33"/>
      <ns0:c r="C32" s="34"/>
      <ns0:c r="D32" s="31" t="s">
        <ns0:v>50</ns0:v>
      </ns0:c>
      <ns0:c r="E32" s="26">
        <ns0:f>E30-E31</ns0:f>
        <ns0:v>-12.1264</ns0:v>
      </ns0:c>
      <ns0:c r="F32" s="43">
        <ns0:f t="shared" ref="F32:AC32" si="18">(F30-F31)*1</ns0:f>
        <ns0:v>-0.1381</ns0:v>
      </ns0:c>
      <ns0:c r="G32" s="43">
        <ns0:f t="shared" si="18"/>
        <ns0:v>-0.2597</ns0:v>
      </ns0:c>
      <ns0:c r="H32" s="43">
        <ns0:f t="shared" si="18"/>
        <ns0:v>-0.4215</ns0:v>
      </ns0:c>
      <ns0:c r="I32" s="43">
        <ns0:f t="shared" si="18"/>
        <ns0:v>-0.4388</ns0:v>
      </ns0:c>
      <ns0:c r="J32" s="43">
        <ns0:f t="shared" si="18"/>
        <ns0:v>-0.4189</ns0:v>
      </ns0:c>
      <ns0:c r="K32" s="43">
        <ns0:f t="shared" si="18"/>
        <ns0:v>-0.4365</ns0:v>
      </ns0:c>
      <ns0:c r="L32" s="43">
        <ns0:f t="shared" si="18"/>
        <ns0:v>-0.4355</ns0:v>
      </ns0:c>
      <ns0:c r="M32" s="43">
        <ns0:f t="shared" si="18"/>
        <ns0:v>-0.3896</ns0:v>
      </ns0:c>
      <ns0:c r="N32" s="43">
        <ns0:f t="shared" si="18"/>
        <ns0:v>-0.8424</ns0:v>
      </ns0:c>
      <ns0:c r="O32" s="43">
        <ns0:f t="shared" si="18"/>
        <ns0:v>-0.921</ns0:v>
      </ns0:c>
      <ns0:c r="P32" s="43">
        <ns0:f t="shared" si="18"/>
        <ns0:v>-0.8443</ns0:v>
      </ns0:c>
      <ns0:c r="Q32" s="43">
        <ns0:f t="shared" si="18"/>
        <ns0:v>-0.6013</ns0:v>
      </ns0:c>
      <ns0:c r="R32" s="43">
        <ns0:f t="shared" si="18"/>
        <ns0:v>-0.4605</ns0:v>
      </ns0:c>
      <ns0:c r="S32" s="43">
        <ns0:f t="shared" si="18"/>
        <ns0:v>-0.5222</ns0:v>
      </ns0:c>
      <ns0:c r="T32" s="43">
        <ns0:f t="shared" si="18"/>
        <ns0:v>-0.593</ns0:v>
      </ns0:c>
      <ns0:c r="U32" s="43">
        <ns0:f t="shared" si="18"/>
        <ns0:v>-0.7919</ns0:v>
      </ns0:c>
      <ns0:c r="V32" s="43">
        <ns0:f t="shared" si="18"/>
        <ns0:v>-0.6125</ns0:v>
      </ns0:c>
      <ns0:c r="W32" s="43">
        <ns0:f t="shared" si="18"/>
        <ns0:v>0.0633000000000004</ns0:v>
      </ns0:c>
      <ns0:c r="X32" s="43">
        <ns0:f t="shared" si="18"/>
        <ns0:v>-0.2818</ns0:v>
      </ns0:c>
      <ns0:c r="Y32" s="43">
        <ns0:f t="shared" si="18"/>
        <ns0:v>-0.5829</ns0:v>
      </ns0:c>
      <ns0:c r="Z32" s="43">
        <ns0:f t="shared" si="18"/>
        <ns0:v>-0.6054</ns0:v>
      </ns0:c>
      <ns0:c r="AA32" s="43">
        <ns0:f t="shared" si="18"/>
        <ns0:v>-0.5543</ns0:v>
      </ns0:c>
      <ns0:c r="AB32" s="43">
        <ns0:f t="shared" si="18"/>
        <ns0:v>-0.5929</ns0:v>
      </ns0:c>
      <ns0:c r="AC32" s="43">
        <ns0:f t="shared" si="18"/>
        <ns0:v>-0.4447</ns0:v>
      </ns0:c>
    </ns0:row>
    <ns0:row r="33" spans="1:29">
      <ns0:c r="A33" s="32"/>
      <ns0:c r="B33" s="33"/>
      <ns0:c r="C33" s="35" t="s">
        <ns0:v>51</ns0:v>
      </ns0:c>
      <ns0:c r="D33" s="31" t="s">
        <ns0:v>48</ns0:v>
      </ns0:c>
      <ns0:c r="E33" s="31">
        <ns0:f>AVERAGE(F33:AC33)</ns0:f>
        <ns0:v>286.226666666667</ns0:v>
      </ns0:c>
      <ns0:c r="F33" s="43">
        <ns0:v>275.92</ns0:v>
      </ns0:c>
      <ns0:c r="G33" s="43">
        <ns0:v>263.74</ns0:v>
      </ns0:c>
      <ns0:c r="H33" s="43">
        <ns0:v>267.82</ns0:v>
      </ns0:c>
      <ns0:c r="I33" s="43">
        <ns0:v>266.58</ns0:v>
      </ns0:c>
      <ns0:c r="J33" s="43">
        <ns0:v>258.42</ns0:v>
      </ns0:c>
      <ns0:c r="K33" s="43">
        <ns0:v>251.38</ns0:v>
      </ns0:c>
      <ns0:c r="L33" s="43">
        <ns0:v>264.29</ns0:v>
      </ns0:c>
      <ns0:c r="M33" s="43">
        <ns0:v>279.97</ns0:v>
      </ns0:c>
      <ns0:c r="N33" s="43">
        <ns0:v>295.35</ns0:v>
      </ns0:c>
      <ns0:c r="O33" s="43">
        <ns0:v>290.91</ns0:v>
      </ns0:c>
      <ns0:c r="P33" s="43">
        <ns0:v>250.63</ns0:v>
      </ns0:c>
      <ns0:c r="Q33" s="43">
        <ns0:v>233.4</ns0:v>
      </ns0:c>
      <ns0:c r="R33" s="43">
        <ns0:v>133.83</ns0:v>
      </ns0:c>
      <ns0:c r="S33" s="43">
        <ns0:v>187.97</ns0:v>
      </ns0:c>
      <ns0:c r="T33" s="43">
        <ns0:v>246.27</ns0:v>
      </ns0:c>
      <ns0:c r="U33" s="43">
        <ns0:v>263.43</ns0:v>
      </ns0:c>
      <ns0:c r="V33" s="43">
        <ns0:v>301.91</ns0:v>
      </ns0:c>
      <ns0:c r="W33" s="43">
        <ns0:v>387.49</ns0:v>
      </ns0:c>
      <ns0:c r="X33" s="43">
        <ns0:v>440.33</ns0:v>
      </ns0:c>
      <ns0:c r="Y33" s="43">
        <ns0:v>424.08</ns0:v>
      </ns0:c>
      <ns0:c r="Z33" s="43">
        <ns0:v>371.14</ns0:v>
      </ns0:c>
      <ns0:c r="AA33" s="43">
        <ns0:v>335.75</ns0:v>
      </ns0:c>
      <ns0:c r="AB33" s="43">
        <ns0:v>304.89</ns0:v>
      </ns0:c>
      <ns0:c r="AC33" s="43">
        <ns0:v>273.94</ns0:v>
      </ns0:c>
    </ns0:row>
    <ns0:row r="34" spans="1:29">
      <ns0:c r="A34" s="32"/>
      <ns0:c r="B34" s="33"/>
      <ns0:c r="C34" s="32"/>
      <ns0:c r="D34" s="31" t="s">
        <ns0:v>49</ns0:v>
      </ns0:c>
      <ns0:c r="E34" s="31">
        <ns0:f>AVERAGE(F34:AC34)</ns0:f>
        <ns0:v>246.0025</ns0:v>
      </ns0:c>
      <ns0:c r="F34" s="43">
        <ns0:v>254.39</ns0:v>
      </ns0:c>
      <ns0:c r="G34" s="43">
        <ns0:v>244.18</ns0:v>
      </ns0:c>
      <ns0:c r="H34" s="43">
        <ns0:v>238.96</ns0:v>
      </ns0:c>
      <ns0:c r="I34" s="43">
        <ns0:v>235.01</ns0:v>
      </ns0:c>
      <ns0:c r="J34" s="43">
        <ns0:v>228.43</ns0:v>
      </ns0:c>
      <ns0:c r="K34" s="43">
        <ns0:v>232.41</ns0:v>
      </ns0:c>
      <ns0:c r="L34" s="43">
        <ns0:v>244.31</ns0:v>
      </ns0:c>
      <ns0:c r="M34" s="43">
        <ns0:v>269.23</ns0:v>
      </ns0:c>
      <ns0:c r="N34" s="43">
        <ns0:v>314.42</ns0:v>
      </ns0:c>
      <ns0:c r="O34" s="43">
        <ns0:v>318.91</ns0:v>
      </ns0:c>
      <ns0:c r="P34" s="43">
        <ns0:v>262.02</ns0:v>
      </ns0:c>
      <ns0:c r="Q34" s="43">
        <ns0:v>182.55</ns0:v>
      </ns0:c>
      <ns0:c r="R34" s="43">
        <ns0:v>97.09</ns0:v>
      </ns0:c>
      <ns0:c r="S34" s="43">
        <ns0:v>80.85</ns0:v>
      </ns0:c>
      <ns0:c r="T34" s="43">
        <ns0:v>65.84</ns0:v>
      </ns0:c>
      <ns0:c r="U34" s="43">
        <ns0:v>195.98</ns0:v>
      </ns0:c>
      <ns0:c r="V34" s="43">
        <ns0:v>291.82</ns0:v>
      </ns0:c>
      <ns0:c r="W34" s="43">
        <ns0:v>361.23</ns0:v>
      </ns0:c>
      <ns0:c r="X34" s="43">
        <ns0:v>337.68</ns0:v>
      </ns0:c>
      <ns0:c r="Y34" s="43">
        <ns0:v>298.9</ns0:v>
      </ns0:c>
      <ns0:c r="Z34" s="43">
        <ns0:v>315.72</ns0:v>
      </ns0:c>
      <ns0:c r="AA34" s="43">
        <ns0:v>310.22</ns0:v>
      </ns0:c>
      <ns0:c r="AB34" s="43">
        <ns0:v>269.99</ns0:v>
      </ns0:c>
      <ns0:c r="AC34" s="43">
        <ns0:v>253.92</ns0:v>
      </ns0:c>
    </ns0:row>
    <ns0:row r="35" spans="1:29">
      <ns0:c r="A35" s="32"/>
      <ns0:c r="B35" s="33"/>
      <ns0:c r="C35" s="34"/>
      <ns0:c r="D35" s="31" t="s">
        <ns0:v>50</ns0:v>
      </ns0:c>
      <ns0:c r="E35" s="26">
        <ns0:f>E33-E34</ns0:f>
        <ns0:v>40.2241666666666</ns0:v>
      </ns0:c>
      <ns0:c r="F35" s="43">
        <ns0:f t="shared" ref="F35:AC35" si="19">(F33-F34)*1</ns0:f>
        <ns0:v>21.53</ns0:v>
      </ns0:c>
      <ns0:c r="G35" s="43">
        <ns0:f t="shared" si="19"/>
        <ns0:v>19.56</ns0:v>
      </ns0:c>
      <ns0:c r="H35" s="43">
        <ns0:f t="shared" si="19"/>
        <ns0:v>28.86</ns0:v>
      </ns0:c>
      <ns0:c r="I35" s="43">
        <ns0:f t="shared" si="19"/>
        <ns0:v>31.57</ns0:v>
      </ns0:c>
      <ns0:c r="J35" s="43">
        <ns0:f t="shared" si="19"/>
        <ns0:v>29.99</ns0:v>
      </ns0:c>
      <ns0:c r="K35" s="43">
        <ns0:f t="shared" si="19"/>
        <ns0:v>18.97</ns0:v>
      </ns0:c>
      <ns0:c r="L35" s="43">
        <ns0:f t="shared" si="19"/>
        <ns0:v>19.98</ns0:v>
      </ns0:c>
      <ns0:c r="M35" s="43">
        <ns0:f t="shared" si="19"/>
        <ns0:v>10.74</ns0:v>
      </ns0:c>
      <ns0:c r="N35" s="43">
        <ns0:f t="shared" si="19"/>
        <ns0:v>-19.07</ns0:v>
      </ns0:c>
      <ns0:c r="O35" s="43">
        <ns0:f t="shared" si="19"/>
        <ns0:v>-28</ns0:v>
      </ns0:c>
      <ns0:c r="P35" s="43">
        <ns0:f t="shared" si="19"/>
        <ns0:v>-11.39</ns0:v>
      </ns0:c>
      <ns0:c r="Q35" s="43">
        <ns0:f t="shared" si="19"/>
        <ns0:v>50.85</ns0:v>
      </ns0:c>
      <ns0:c r="R35" s="43">
        <ns0:f t="shared" si="19"/>
        <ns0:v>36.74</ns0:v>
      </ns0:c>
      <ns0:c r="S35" s="43">
        <ns0:f t="shared" si="19"/>
        <ns0:v>107.12</ns0:v>
      </ns0:c>
      <ns0:c r="T35" s="43">
        <ns0:f t="shared" si="19"/>
        <ns0:v>180.43</ns0:v>
      </ns0:c>
      <ns0:c r="U35" s="43">
        <ns0:f t="shared" si="19"/>
        <ns0:v>67.45</ns0:v>
      </ns0:c>
      <ns0:c r="V35" s="43">
        <ns0:f t="shared" si="19"/>
        <ns0:v>10.09</ns0:v>
      </ns0:c>
      <ns0:c r="W35" s="43">
        <ns0:f t="shared" si="19"/>
        <ns0:v>26.26</ns0:v>
      </ns0:c>
      <ns0:c r="X35" s="43">
        <ns0:f t="shared" si="19"/>
        <ns0:v>102.65</ns0:v>
      </ns0:c>
      <ns0:c r="Y35" s="43">
        <ns0:f t="shared" si="19"/>
        <ns0:v>125.18</ns0:v>
      </ns0:c>
      <ns0:c r="Z35" s="43">
        <ns0:f t="shared" si="19"/>
        <ns0:v>55.42</ns0:v>
      </ns0:c>
      <ns0:c r="AA35" s="43">
        <ns0:f t="shared" si="19"/>
        <ns0:v>25.53</ns0:v>
      </ns0:c>
      <ns0:c r="AB35" s="43">
        <ns0:f t="shared" si="19"/>
        <ns0:v>34.9</ns0:v>
      </ns0:c>
      <ns0:c r="AC35" s="43">
        <ns0:f t="shared" si="19"/>
        <ns0:v>20.02</ns0:v>
      </ns0:c>
    </ns0:row>
    <ns0:row r="36" spans="1:29">
      <ns0:c r="A36" s="32"/>
      <ns0:c r="B36" s="33"/>
      <ns0:c r="C36" s="36" t="s">
        <ns0:v>52</ns0:v>
      </ns0:c>
      <ns0:c r="D36" s="37"/>
      <ns0:c r="E36" s="26">
        <ns0:f t="shared" ref="E36:E40" si="20">SUM(F36:AC36)</ns0:f>
        <ns0:v>463.88139</ns0:v>
      </ns0:c>
      <ns0:c r="F36" s="43">
        <ns0:f t="shared" ref="F36:AC36" si="21">(-F32*F35)*1</ns0:f>
        <ns0:v>2.973293</ns0:v>
      </ns0:c>
      <ns0:c r="G36" s="43">
        <ns0:f t="shared" si="21"/>
        <ns0:v>5.079732</ns0:v>
      </ns0:c>
      <ns0:c r="H36" s="43">
        <ns0:f t="shared" si="21"/>
        <ns0:v>12.16449</ns0:v>
      </ns0:c>
      <ns0:c r="I36" s="43">
        <ns0:f t="shared" si="21"/>
        <ns0:v>13.852916</ns0:v>
      </ns0:c>
      <ns0:c r="J36" s="43">
        <ns0:f t="shared" si="21"/>
        <ns0:v>12.562811</ns0:v>
      </ns0:c>
      <ns0:c r="K36" s="43">
        <ns0:f t="shared" si="21"/>
        <ns0:v>8.280405</ns0:v>
      </ns0:c>
      <ns0:c r="L36" s="43">
        <ns0:f t="shared" si="21"/>
        <ns0:v>8.70129</ns0:v>
      </ns0:c>
      <ns0:c r="M36" s="43">
        <ns0:f t="shared" si="21"/>
        <ns0:v>4.184304</ns0:v>
      </ns0:c>
      <ns0:c r="N36" s="43">
        <ns0:f t="shared" si="21"/>
        <ns0:v>-16.064568</ns0:v>
      </ns0:c>
      <ns0:c r="O36" s="43">
        <ns0:f t="shared" si="21"/>
        <ns0:v>-25.788</ns0:v>
      </ns0:c>
      <ns0:c r="P36" s="43">
        <ns0:f t="shared" si="21"/>
        <ns0:v>-9.616577</ns0:v>
      </ns0:c>
      <ns0:c r="Q36" s="43">
        <ns0:f t="shared" si="21"/>
        <ns0:v>30.576105</ns0:v>
      </ns0:c>
      <ns0:c r="R36" s="43">
        <ns0:f t="shared" si="21"/>
        <ns0:v>16.91877</ns0:v>
      </ns0:c>
      <ns0:c r="S36" s="43">
        <ns0:f t="shared" si="21"/>
        <ns0:v>55.938064</ns0:v>
      </ns0:c>
      <ns0:c r="T36" s="43">
        <ns0:f t="shared" si="21"/>
        <ns0:v>106.99499</ns0:v>
      </ns0:c>
      <ns0:c r="U36" s="43">
        <ns0:f t="shared" si="21"/>
        <ns0:v>53.413655</ns0:v>
      </ns0:c>
      <ns0:c r="V36" s="43">
        <ns0:f t="shared" si="21"/>
        <ns0:v>6.180125</ns0:v>
      </ns0:c>
      <ns0:c r="W36" s="43">
        <ns0:f t="shared" si="21"/>
        <ns0:v>-1.66225800000001</ns0:v>
      </ns0:c>
      <ns0:c r="X36" s="43">
        <ns0:f t="shared" si="21"/>
        <ns0:v>28.92677</ns0:v>
      </ns0:c>
      <ns0:c r="Y36" s="43">
        <ns0:f t="shared" si="21"/>
        <ns0:v>72.967422</ns0:v>
      </ns0:c>
      <ns0:c r="Z36" s="43">
        <ns0:f t="shared" si="21"/>
        <ns0:v>33.551268</ns0:v>
      </ns0:c>
      <ns0:c r="AA36" s="43">
        <ns0:f t="shared" si="21"/>
        <ns0:v>14.151279</ns0:v>
      </ns0:c>
      <ns0:c r="AB36" s="43">
        <ns0:f t="shared" si="21"/>
        <ns0:v>20.69221</ns0:v>
      </ns0:c>
      <ns0:c r="AC36" s="43">
        <ns0:f t="shared" si="21"/>
        <ns0:v>8.902894</ns0:v>
      </ns0:c>
    </ns0:row>
    <ns0:row r="37" spans="1:29">
      <ns0:c r="A37" s="32"/>
      <ns0:c r="B37" s="33"/>
      <ns0:c r="C37" s="38" t="s">
        <ns0:v>53</ns0:v>
      </ns0:c>
      <ns0:c r="D37" s="37"/>
      <ns0:c r="E37" s="26">
        <ns0:f t="shared" si="20"/>
        <ns0:v>437.611726</ns0:v>
      </ns0:c>
      <ns0:c r="F37" s="43">
        <ns0:f t="shared" ref="F37:AC37" si="22">(IF(F36&gt;0,ABS(MIN(F31*0.2,ABS(F32))*F35),F36))*1</ns0:f>
        <ns0:v>2.973293</ns0:v>
      </ns0:c>
      <ns0:c r="G37" s="43">
        <ns0:f t="shared" si="22"/>
        <ns0:v>5.079732</ns0:v>
      </ns0:c>
      <ns0:c r="H37" s="43">
        <ns0:f t="shared" si="22"/>
        <ns0:v>9.445878</ns0:v>
      </ns0:c>
      <ns0:c r="I37" s="43">
        <ns0:f t="shared" si="22"/>
        <ns0:v>10.4673492</ns0:v>
      </ns0:c>
      <ns0:c r="J37" s="43">
        <ns0:f t="shared" si="22"/>
        <ns0:v>9.8241242</ns0:v>
      </ns0:c>
      <ns0:c r="K37" s="43">
        <ns0:f t="shared" si="22"/>
        <ns0:v>6.235439</ns0:v>
      </ns0:c>
      <ns0:c r="L37" s="43">
        <ns0:f t="shared" si="22"/>
        <ns0:v>6.391602</ns0:v>
      </ns0:c>
      <ns0:c r="M37" s="43">
        <ns0:f t="shared" si="22"/>
        <ns0:v>4.184304</ns0:v>
      </ns0:c>
      <ns0:c r="N37" s="43">
        <ns0:f t="shared" si="22"/>
        <ns0:v>-16.064568</ns0:v>
      </ns0:c>
      <ns0:c r="O37" s="43">
        <ns0:f t="shared" si="22"/>
        <ns0:v>-25.788</ns0:v>
      </ns0:c>
      <ns0:c r="P37" s="43">
        <ns0:f t="shared" si="22"/>
        <ns0:v>-9.616577</ns0:v>
      </ns0:c>
      <ns0:c r="Q37" s="43">
        <ns0:f t="shared" si="22"/>
        <ns0:v>30.576105</ns0:v>
      </ns0:c>
      <ns0:c r="R37" s="43">
        <ns0:f t="shared" si="22"/>
        <ns0:v>16.91877</ns0:v>
      </ns0:c>
      <ns0:c r="S37" s="43">
        <ns0:f t="shared" si="22"/>
        <ns0:v>55.938064</ns0:v>
      </ns0:c>
      <ns0:c r="T37" s="43">
        <ns0:f t="shared" si="22"/>
        <ns0:v>106.99499</ns0:v>
      </ns0:c>
      <ns0:c r="U37" s="43">
        <ns0:f t="shared" si="22"/>
        <ns0:v>49.533931</ns0:v>
      </ns0:c>
      <ns0:c r="V37" s="43">
        <ns0:f t="shared" si="22"/>
        <ns0:v>6.180125</ns0:v>
      </ns0:c>
      <ns0:c r="W37" s="43">
        <ns0:f t="shared" si="22"/>
        <ns0:v>-1.66225800000001</ns0:v>
      </ns0:c>
      <ns0:c r="X37" s="43">
        <ns0:f t="shared" si="22"/>
        <ns0:v>28.92677</ns0:v>
      </ns0:c>
      <ns0:c r="Y37" s="43">
        <ns0:f t="shared" si="22"/>
        <ns0:v>72.967422</ns0:v>
      </ns0:c>
      <ns0:c r="Z37" s="43">
        <ns0:f t="shared" si="22"/>
        <ns0:v>33.551268</ns0:v>
      </ns0:c>
      <ns0:c r="AA37" s="43">
        <ns0:f t="shared" si="22"/>
        <ns0:v>12.9452418</ns0:v>
      </ns0:c>
      <ns0:c r="AB37" s="43">
        <ns0:f t="shared" si="22"/>
        <ns0:v>14.482802</ns0:v>
      </ns0:c>
      <ns0:c r="AC37" s="43">
        <ns0:f t="shared" si="22"/>
        <ns0:v>7.1259188</ns0:v>
      </ns0:c>
    </ns0:row>
    <ns0:row r="38" spans="1:29">
      <ns0:c r="A38" s="32"/>
      <ns0:c r="B38" s="33"/>
      <ns0:c r="C38" s="39" t="s">
        <ns0:v>50</ns0:v>
      </ns0:c>
      <ns0:c r="D38" s="37"/>
      <ns0:c r="E38" s="44">
        <ns0:f>E36-E37</ns0:f>
        <ns0:v>26.2696639999999</ns0:v>
      </ns0:c>
      <ns0:c r="F38" s="26">
        <ns0:f t="shared" ref="F38:AC38" si="23">(F36-F37)*1</ns0:f>
        <ns0:v>0</ns0:v>
      </ns0:c>
      <ns0:c r="G38" s="26">
        <ns0:f t="shared" si="23"/>
        <ns0:v>0</ns0:v>
      </ns0:c>
      <ns0:c r="H38" s="26">
        <ns0:f t="shared" si="23"/>
        <ns0:v>2.718612</ns0:v>
      </ns0:c>
      <ns0:c r="I38" s="26">
        <ns0:f t="shared" si="23"/>
        <ns0:v>3.38556679999999</ns0:v>
      </ns0:c>
      <ns0:c r="J38" s="26">
        <ns0:f t="shared" si="23"/>
        <ns0:v>2.7386868</ns0:v>
      </ns0:c>
      <ns0:c r="K38" s="26">
        <ns0:f t="shared" si="23"/>
        <ns0:v>2.044966</ns0:v>
      </ns0:c>
      <ns0:c r="L38" s="26">
        <ns0:f t="shared" si="23"/>
        <ns0:v>2.309688</ns0:v>
      </ns0:c>
      <ns0:c r="M38" s="26">
        <ns0:f t="shared" si="23"/>
        <ns0:v>0</ns0:v>
      </ns0:c>
      <ns0:c r="N38" s="26">
        <ns0:f t="shared" si="23"/>
        <ns0:v>0</ns0:v>
      </ns0:c>
      <ns0:c r="O38" s="26">
        <ns0:f t="shared" si="23"/>
        <ns0:v>0</ns0:v>
      </ns0:c>
      <ns0:c r="P38" s="26">
        <ns0:f t="shared" si="23"/>
        <ns0:v>0</ns0:v>
      </ns0:c>
      <ns0:c r="Q38" s="26">
        <ns0:f t="shared" si="23"/>
        <ns0:v>0</ns0:v>
      </ns0:c>
      <ns0:c r="R38" s="26">
        <ns0:f t="shared" si="23"/>
        <ns0:v>0</ns0:v>
      </ns0:c>
      <ns0:c r="S38" s="26">
        <ns0:f t="shared" si="23"/>
        <ns0:v>0</ns0:v>
      </ns0:c>
      <ns0:c r="T38" s="26">
        <ns0:f t="shared" si="23"/>
        <ns0:v>0</ns0:v>
      </ns0:c>
      <ns0:c r="U38" s="26">
        <ns0:f t="shared" si="23"/>
        <ns0:v>3.879724</ns0:v>
      </ns0:c>
      <ns0:c r="V38" s="26">
        <ns0:f t="shared" si="23"/>
        <ns0:v>0</ns0:v>
      </ns0:c>
      <ns0:c r="W38" s="26">
        <ns0:f t="shared" si="23"/>
        <ns0:v>0</ns0:v>
      </ns0:c>
      <ns0:c r="X38" s="26">
        <ns0:f t="shared" si="23"/>
        <ns0:v>0</ns0:v>
      </ns0:c>
      <ns0:c r="Y38" s="26">
        <ns0:f t="shared" si="23"/>
        <ns0:v>0</ns0:v>
      </ns0:c>
      <ns0:c r="Z38" s="26">
        <ns0:f t="shared" si="23"/>
        <ns0:v>0</ns0:v>
      </ns0:c>
      <ns0:c r="AA38" s="26">
        <ns0:f t="shared" si="23"/>
        <ns0:v>1.2060372</ns0:v>
      </ns0:c>
      <ns0:c r="AB38" s="26">
        <ns0:f t="shared" si="23"/>
        <ns0:v>6.209408</ns0:v>
      </ns0:c>
      <ns0:c r="AC38" s="26">
        <ns0:f t="shared" si="23"/>
        <ns0:v>1.7769752</ns0:v>
      </ns0:c>
    </ns0:row>
    <ns0:row r="39" spans="1:29">
      <ns0:c r="A39" s="29">
        <ns0:v>45996</ns0:v>
      </ns0:c>
      <ns0:c r="B39" s="30">
        <ns0:f>E46</ns0:f>
        <ns0:v>-1702.075244</ns0:v>
      </ns0:c>
      <ns0:c r="C39" s="31" t="s">
        <ns0:v>47</ns0:v>
      </ns0:c>
      <ns0:c r="D39" s="31" t="s">
        <ns0:v>48</ns0:v>
      </ns0:c>
      <ns0:c r="E39" s="42">
        <ns0:f t="shared" si="20"/>
        <ns0:v>58.12</ns0:v>
      </ns0:c>
      <ns0:c r="F39" s="43">
        <ns0:v>1.545</ns0:v>
      </ns0:c>
      <ns0:c r="G39" s="43">
        <ns0:v>1.427</ns0:v>
      </ns0:c>
      <ns0:c r="H39" s="43">
        <ns0:v>1.252</ns0:v>
      </ns0:c>
      <ns0:c r="I39" s="43">
        <ns0:v>1.232</ns0:v>
      </ns0:c>
      <ns0:c r="J39" s="43">
        <ns0:v>1.209</ns0:v>
      </ns0:c>
      <ns0:c r="K39" s="43">
        <ns0:v>1.174</ns0:v>
      </ns0:c>
      <ns0:c r="L39" s="43">
        <ns0:v>1.114</ns0:v>
      </ns0:c>
      <ns0:c r="M39" s="43">
        <ns0:v>1.62</ns0:v>
      </ns0:c>
      <ns0:c r="N39" s="43">
        <ns0:v>3.229</ns0:v>
      </ns0:c>
      <ns0:c r="O39" s="43">
        <ns0:v>3.462</ns0:v>
      </ns0:c>
      <ns0:c r="P39" s="43">
        <ns0:v>2.875</ns0:v>
      </ns0:c>
      <ns0:c r="Q39" s="43">
        <ns0:v>2.762</ns0:v>
      </ns0:c>
      <ns0:c r="R39" s="43">
        <ns0:v>2.338</ns0:v>
      </ns0:c>
      <ns0:c r="S39" s="43">
        <ns0:v>2.721</ns0:v>
      </ns0:c>
      <ns0:c r="T39" s="43">
        <ns0:v>3.217</ns0:v>
      </ns0:c>
      <ns0:c r="U39" s="43">
        <ns0:v>3.476</ns0:v>
      </ns0:c>
      <ns0:c r="V39" s="43">
        <ns0:v>3.63</ns0:v>
      </ns0:c>
      <ns0:c r="W39" s="43">
        <ns0:v>3.802</ns0:v>
      </ns0:c>
      <ns0:c r="X39" s="43">
        <ns0:v>3.452</ns0:v>
      </ns0:c>
      <ns0:c r="Y39" s="43">
        <ns0:v>3.283</ns0:v>
      </ns0:c>
      <ns0:c r="Z39" s="43">
        <ns0:v>3.002</ns0:v>
      </ns0:c>
      <ns0:c r="AA39" s="43">
        <ns0:v>2.444</ns0:v>
      </ns0:c>
      <ns0:c r="AB39" s="43">
        <ns0:v>2.082</ns0:v>
      </ns0:c>
      <ns0:c r="AC39" s="43">
        <ns0:v>1.772</ns0:v>
      </ns0:c>
    </ns0:row>
    <ns0:row r="40" spans="1:29">
      <ns0:c r="A40" s="32"/>
      <ns0:c r="B40" s="33"/>
      <ns0:c r="C40" s="32"/>
      <ns0:c r="D40" s="6" t="s">
        <ns0:v>49</ns0:v>
      </ns0:c>
      <ns0:c r="E40" s="45">
        <ns0:f t="shared" si="20"/>
        <ns0:v>40.2551</ns0:v>
      </ns0:c>
      <ns0:c r="F40" s="43">
        <ns0:v>1.65806</ns0:v>
      </ns0:c>
      <ns0:c r="G40" s="43">
        <ns0:v>1.56499</ns0:v>
      </ns0:c>
      <ns0:c r="H40" s="43">
        <ns0:v>1.55165</ns0:v>
      </ns0:c>
      <ns0:c r="I40" s="43">
        <ns0:v>1.5242</ns0:v>
      </ns0:c>
      <ns0:c r="J40" s="43">
        <ns0:v>1.53312</ns0:v>
      </ns0:c>
      <ns0:c r="K40" s="43">
        <ns0:v>1.51813</ns0:v>
      </ns0:c>
      <ns0:c r="L40" s="43">
        <ns0:v>1.45021</ns0:v>
      </ns0:c>
      <ns0:c r="M40" s="43">
        <ns0:v>1.89835</ns0:v>
      </ns0:c>
      <ns0:c r="N40" s="43">
        <ns0:v>3.78701</ns0:v>
      </ns0:c>
      <ns0:c r="O40" s="43">
        <ns0:v>3.97938</ns0:v>
      </ns0:c>
      <ns0:c r="P40" s="43">
        <ns0:v>3.29429</ns0:v>
      </ns0:c>
      <ns0:c r="Q40" s="43">
        <ns0:v>3.2182</ns0:v>
      </ns0:c>
      <ns0:c r="R40" s="43">
        <ns0:v>2.72274</ns0:v>
      </ns0:c>
      <ns0:c r="S40" s="43">
        <ns0:v>3.20122</ns0:v>
      </ns0:c>
      <ns0:c r="T40" s="43">
        <ns0:v>3.70795</ns0:v>
      </ns0:c>
      <ns0:c r="U40" s="43">
        <ns0:v>3.64728</ns0:v>
      </ns0:c>
      <ns0:c r="V40" s="43">
        <ns0:v>3.71306</ns0:v>
      </ns0:c>
      <ns0:c r="W40" s="43">
        <ns0:v>3.71186</ns0:v>
      </ns0:c>
      <ns0:c r="X40" s="43">
        <ns0:v>3.35102</ns0:v>
      </ns0:c>
      <ns0:c r="Y40" s="43">
        <ns0:v>3.42924</ns0:v>
      </ns0:c>
      <ns0:c r="Z40" s="43">
        <ns0:v>3.11611</ns0:v>
      </ns0:c>
      <ns0:c r="AA40" s="43">
        <ns0:v>2.59556</ns0:v>
      </ns0:c>
      <ns0:c r="AB40" s="43">
        <ns0:v>2.00454</ns0:v>
      </ns0:c>
      <ns0:c r="AC40" s="43">
        <ns0:v>1.74809</ns0:v>
      </ns0:c>
    </ns0:row>
    <ns0:row r="41" spans="1:29">
      <ns0:c r="A41" s="32"/>
      <ns0:c r="B41" s="33"/>
      <ns0:c r="C41" s="34"/>
      <ns0:c r="D41" s="31" t="s">
        <ns0:v>50</ns0:v>
      </ns0:c>
      <ns0:c r="E41" s="26">
        <ns0:f>E39-E40</ns0:f>
        <ns0:v>17.8649</ns0:v>
      </ns0:c>
      <ns0:c r="F41" s="43">
        <ns0:f t="shared" ref="F41:AC41" si="24">(F39-F40)*1</ns0:f>
        <ns0:v>0.6779</ns0:v>
      </ns0:c>
      <ns0:c r="G41" s="43">
        <ns0:f t="shared" si="24"/>
        <ns0:v>0.6188</ns0:v>
      </ns0:c>
      <ns0:c r="H41" s="43">
        <ns0:f t="shared" si="24"/>
        <ns0:v>0.4481</ns0:v>
      </ns0:c>
      <ns0:c r="I41" s="43">
        <ns0:f t="shared" si="24"/>
        <ns0:v>0.4363</ns0:v>
      </ns0:c>
      <ns0:c r="J41" s="43">
        <ns0:f t="shared" si="24"/>
        <ns0:v>0.4093</ns0:v>
      </ns0:c>
      <ns0:c r="K41" s="43">
        <ns0:f t="shared" si="24"/>
        <ns0:v>0.3989</ns0:v>
      </ns0:c>
      <ns0:c r="L41" s="43">
        <ns0:f t="shared" si="24"/>
        <ns0:v>0.2982</ns0:v>
      </ns0:c>
      <ns0:c r="M41" s="43">
        <ns0:f t="shared" si="24"/>
        <ns0:v>0.3561</ns0:v>
      </ns0:c>
      <ns0:c r="N41" s="43">
        <ns0:f t="shared" si="24"/>
        <ns0:v>0.7121</ns0:v>
      </ns0:c>
      <ns0:c r="O41" s="43">
        <ns0:f t="shared" si="24"/>
        <ns0:v>0.8631</ns0:v>
      </ns0:c>
      <ns0:c r="P41" s="43">
        <ns0:f t="shared" si="24"/>
        <ns0:v>0.3387</ns0:v>
      </ns0:c>
      <ns0:c r="Q41" s="43">
        <ns0:f t="shared" si="24"/>
        <ns0:v>0.361</ns0:v>
      </ns0:c>
      <ns0:c r="R41" s="43">
        <ns0:f t="shared" si="24"/>
        <ns0:v>0.9751</ns0:v>
      </ns0:c>
      <ns0:c r="S41" s="43">
        <ns0:f t="shared" si="24"/>
        <ns0:v>1.0605</ns0:v>
      </ns0:c>
      <ns0:c r="T41" s="43">
        <ns0:f t="shared" si="24"/>
        <ns0:v>0.7532</ns0:v>
      </ns0:c>
      <ns0:c r="U41" s="43">
        <ns0:f t="shared" si="24"/>
        <ns0:v>0.7938</ns0:v>
      </ns0:c>
      <ns0:c r="V41" s="43">
        <ns0:f t="shared" si="24"/>
        <ns0:v>0.9979</ns0:v>
      </ns0:c>
      <ns0:c r="W41" s="43">
        <ns0:f t="shared" si="24"/>
        <ns0:v>1.2922</ns0:v>
      </ns0:c>
      <ns0:c r="X41" s="43">
        <ns0:f t="shared" si="24"/>
        <ns0:v>1.397</ns0:v>
      </ns0:c>
      <ns0:c r="Y41" s="43">
        <ns0:f t="shared" si="24"/>
        <ns0:v>1.1633</ns0:v>
      </ns0:c>
      <ns0:c r="Z41" s="43">
        <ns0:f t="shared" si="24"/>
        <ns0:v>1.0128</ns0:v>
      </ns0:c>
      <ns0:c r="AA41" s="43">
        <ns0:f t="shared" si="24"/>
        <ns0:v>0.8575</ns0:v>
      </ns0:c>
      <ns0:c r="AB41" s="43">
        <ns0:f t="shared" si="24"/>
        <ns0:v>0.9092</ns0:v>
      </ns0:c>
      <ns0:c r="AC41" s="43">
        <ns0:f t="shared" si="24"/>
        <ns0:v>0.7339</ns0:v>
      </ns0:c>
    </ns0:row>
    <ns0:row r="42" spans="1:29">
      <ns0:c r="A42" s="32"/>
      <ns0:c r="B42" s="33"/>
      <ns0:c r="C42" s="35" t="s">
        <ns0:v>51</ns0:v>
      </ns0:c>
      <ns0:c r="D42" s="31" t="s">
        <ns0:v>48</ns0:v>
      </ns0:c>
      <ns0:c r="E42" s="31">
        <ns0:f>AVERAGE(F42:AC42)</ns0:f>
        <ns0:v>344.00125</ns0:v>
      </ns0:c>
      <ns0:c r="F42" s="43">
        <ns0:v>294.77</ns0:v>
      </ns0:c>
      <ns0:c r="G42" s="43">
        <ns0:v>289.84</ns0:v>
      </ns0:c>
      <ns0:c r="H42" s="43">
        <ns0:v>287.68</ns0:v>
      </ns0:c>
      <ns0:c r="I42" s="43">
        <ns0:v>274.08</ns0:v>
      </ns0:c>
      <ns0:c r="J42" s="43">
        <ns0:v>267.12</ns0:v>
      </ns0:c>
      <ns0:c r="K42" s="43">
        <ns0:v>267.33</ns0:v>
      </ns0:c>
      <ns0:c r="L42" s="43">
        <ns0:v>298.28</ns0:v>
      </ns0:c>
      <ns0:c r="M42" s="43">
        <ns0:v>315.85</ns0:v>
      </ns0:c>
      <ns0:c r="N42" s="43">
        <ns0:v>345.25</ns0:v>
      </ns0:c>
      <ns0:c r="O42" s="43">
        <ns0:v>326.72</ns0:v>
      </ns0:c>
      <ns0:c r="P42" s="43">
        <ns0:v>278.41</ns0:v>
      </ns0:c>
      <ns0:c r="Q42" s="43">
        <ns0:v>291.72</ns0:v>
      </ns0:c>
      <ns0:c r="R42" s="43">
        <ns0:v>282.46</ns0:v>
      </ns0:c>
      <ns0:c r="S42" s="43">
        <ns0:v>407.66</ns0:v>
      </ns0:c>
      <ns0:c r="T42" s="43">
        <ns0:v>285.64</ns0:v>
      </ns0:c>
      <ns0:c r="U42" s="43">
        <ns0:v>280.35</ns0:v>
      </ns0:c>
      <ns0:c r="V42" s="43">
        <ns0:v>335.89</ns0:v>
      </ns0:c>
      <ns0:c r="W42" s="43">
        <ns0:v>466.23</ns0:v>
      </ns0:c>
      <ns0:c r="X42" s="43">
        <ns0:v>512.22</ns0:v>
      </ns0:c>
      <ns0:c r="Y42" s="43">
        <ns0:v>530.68</ns0:v>
      </ns0:c>
      <ns0:c r="Z42" s="43">
        <ns0:v>476.82</ns0:v>
      </ns0:c>
      <ns0:c r="AA42" s="43">
        <ns0:v>460</ns0:v>
      </ns0:c>
      <ns0:c r="AB42" s="43">
        <ns0:v>379.04</ns0:v>
      </ns0:c>
      <ns0:c r="AC42" s="43">
        <ns0:v>301.99</ns0:v>
      </ns0:c>
    </ns0:row>
    <ns0:row r="43" spans="1:29">
      <ns0:c r="A43" s="32"/>
      <ns0:c r="B43" s="33"/>
      <ns0:c r="C43" s="32"/>
      <ns0:c r="D43" s="31" t="s">
        <ns0:v>49</ns0:v>
      </ns0:c>
      <ns0:c r="E43" s="31">
        <ns0:f>AVERAGE(F43:AC43)</ns0:f>
        <ns0:v>270.762083333333</ns0:v>
      </ns0:c>
      <ns0:c r="F43" s="43">
        <ns0:v>287.03</ns0:v>
      </ns0:c>
      <ns0:c r="G43" s="43">
        <ns0:v>273.4</ns0:v>
      </ns0:c>
      <ns0:c r="H43" s="43">
        <ns0:v>264.08</ns0:v>
      </ns0:c>
      <ns0:c r="I43" s="43">
        <ns0:v>258.66</ns0:v>
      </ns0:c>
      <ns0:c r="J43" s="43">
        <ns0:v>257.17</ns0:v>
      </ns0:c>
      <ns0:c r="K43" s="43">
        <ns0:v>264.44</ns0:v>
      </ns0:c>
      <ns0:c r="L43" s="43">
        <ns0:v>279.71</ns0:v>
      </ns0:c>
      <ns0:c r="M43" s="43">
        <ns0:v>300.95</ns0:v>
      </ns0:c>
      <ns0:c r="N43" s="43">
        <ns0:v>337.07</ns0:v>
      </ns0:c>
      <ns0:c r="O43" s="43">
        <ns0:v>290.65</ns0:v>
      </ns0:c>
      <ns0:c r="P43" s="43">
        <ns0:v>244.42</ns0:v>
      </ns0:c>
      <ns0:c r="Q43" s="43">
        <ns0:v>219.51</ns0:v>
      </ns0:c>
      <ns0:c r="R43" s="43">
        <ns0:v>101.35</ns0:v>
      </ns0:c>
      <ns0:c r="S43" s="43">
        <ns0:v>113.46</ns0:v>
      </ns0:c>
      <ns0:c r="T43" s="43">
        <ns0:v>151.46</ns0:v>
      </ns0:c>
      <ns0:c r="U43" s="43">
        <ns0:v>236.26</ns0:v>
      </ns0:c>
      <ns0:c r="V43" s="43">
        <ns0:v>312.63</ns0:v>
      </ns0:c>
      <ns0:c r="W43" s="43">
        <ns0:v>329.72</ns0:v>
      </ns0:c>
      <ns0:c r="X43" s="43">
        <ns0:v>349.43</ns0:v>
      </ns0:c>
      <ns0:c r="Y43" s="43">
        <ns0:v>358.94</ns0:v>
      </ns0:c>
      <ns0:c r="Z43" s="43">
        <ns0:v>306.98</ns0:v>
      </ns0:c>
      <ns0:c r="AA43" s="43">
        <ns0:v>322.78</ns0:v>
      </ns0:c>
      <ns0:c r="AB43" s="43">
        <ns0:v>343.95</ns0:v>
      </ns0:c>
      <ns0:c r="AC43" s="43">
        <ns0:v>294.24</ns0:v>
      </ns0:c>
    </ns0:row>
    <ns0:row r="44" spans="1:29">
      <ns0:c r="A44" s="32"/>
      <ns0:c r="B44" s="33"/>
      <ns0:c r="C44" s="34"/>
      <ns0:c r="D44" s="31" t="s">
        <ns0:v>50</ns0:v>
      </ns0:c>
      <ns0:c r="E44" s="26">
        <ns0:f>E42-E43</ns0:f>
        <ns0:v>73.2391666666667</ns0:v>
      </ns0:c>
      <ns0:c r="F44" s="43">
        <ns0:f t="shared" ref="F44:AC44" si="25">(F42-F43)*1</ns0:f>
        <ns0:v>7.74000000000001</ns0:v>
      </ns0:c>
      <ns0:c r="G44" s="43">
        <ns0:f t="shared" si="25"/>
        <ns0:v>16.44</ns0:v>
      </ns0:c>
      <ns0:c r="H44" s="43">
        <ns0:f t="shared" si="25"/>
        <ns0:v>23.6</ns0:v>
      </ns0:c>
      <ns0:c r="I44" s="43">
        <ns0:f t="shared" si="25"/>
        <ns0:v>15.42</ns0:v>
      </ns0:c>
      <ns0:c r="J44" s="43">
        <ns0:f t="shared" si="25"/>
        <ns0:v>9.94999999999999</ns0:v>
      </ns0:c>
      <ns0:c r="K44" s="43">
        <ns0:f t="shared" si="25"/>
        <ns0:v>2.88999999999999</ns0:v>
      </ns0:c>
      <ns0:c r="L44" s="43">
        <ns0:f t="shared" si="25"/>
        <ns0:v>18.57</ns0:v>
      </ns0:c>
      <ns0:c r="M44" s="43">
        <ns0:f t="shared" si="25"/>
        <ns0:v>14.9</ns0:v>
      </ns0:c>
      <ns0:c r="N44" s="43">
        <ns0:f t="shared" si="25"/>
        <ns0:v>8.18000000000001</ns0:v>
      </ns0:c>
      <ns0:c r="O44" s="43">
        <ns0:f t="shared" si="25"/>
        <ns0:v>36.0700000000001</ns0:v>
      </ns0:c>
      <ns0:c r="P44" s="43">
        <ns0:f t="shared" si="25"/>
        <ns0:v>33.99</ns0:v>
      </ns0:c>
      <ns0:c r="Q44" s="43">
        <ns0:f t="shared" si="25"/>
        <ns0:v>72.21</ns0:v>
      </ns0:c>
      <ns0:c r="R44" s="43">
        <ns0:f t="shared" si="25"/>
        <ns0:v>181.11</ns0:v>
      </ns0:c>
      <ns0:c r="S44" s="43">
        <ns0:f t="shared" si="25"/>
        <ns0:v>294.2</ns0:v>
      </ns0:c>
      <ns0:c r="T44" s="43">
        <ns0:f t="shared" si="25"/>
        <ns0:v>134.18</ns0:v>
      </ns0:c>
      <ns0:c r="U44" s="43">
        <ns0:f t="shared" si="25"/>
        <ns0:v>44.09</ns0:v>
      </ns0:c>
      <ns0:c r="V44" s="43">
        <ns0:f t="shared" si="25"/>
        <ns0:v>23.26</ns0:v>
      </ns0:c>
      <ns0:c r="W44" s="43">
        <ns0:f t="shared" si="25"/>
        <ns0:v>136.51</ns0:v>
      </ns0:c>
      <ns0:c r="X44" s="43">
        <ns0:f t="shared" si="25"/>
        <ns0:v>162.79</ns0:v>
      </ns0:c>
      <ns0:c r="Y44" s="43">
        <ns0:f t="shared" si="25"/>
        <ns0:v>171.74</ns0:v>
      </ns0:c>
      <ns0:c r="Z44" s="43">
        <ns0:f t="shared" si="25"/>
        <ns0:v>169.84</ns0:v>
      </ns0:c>
      <ns0:c r="AA44" s="43">
        <ns0:f t="shared" si="25"/>
        <ns0:v>137.22</ns0:v>
      </ns0:c>
      <ns0:c r="AB44" s="43">
        <ns0:f t="shared" si="25"/>
        <ns0:v>35.09</ns0:v>
      </ns0:c>
      <ns0:c r="AC44" s="43">
        <ns0:f t="shared" si="25"/>
        <ns0:v>7.75</ns0:v>
      </ns0:c>
    </ns0:row>
    <ns0:row r="45" spans="1:29">
      <ns0:c r="A45" s="32"/>
      <ns0:c r="B45" s="33"/>
      <ns0:c r="C45" s="36" t="s">
        <ns0:v>52</ns0:v>
      </ns0:c>
      <ns0:c r="D45" s="37"/>
      <ns0:c r="E45" s="26">
        <ns0:f t="shared" ref="E45:E49" si="26">SUM(F45:AC45)</ns0:f>
        <ns0:v>-1702.075244</ns0:v>
      </ns0:c>
      <ns0:c r="F45" s="43">
        <ns0:f t="shared" ref="F45:AC45" si="27">(-F41*F44)*1</ns0:f>
        <ns0:v>-5.24694600000001</ns0:v>
      </ns0:c>
      <ns0:c r="G45" s="43">
        <ns0:f t="shared" si="27"/>
        <ns0:v>-10.173072</ns0:v>
      </ns0:c>
      <ns0:c r="H45" s="43">
        <ns0:f t="shared" si="27"/>
        <ns0:v>-10.57516</ns0:v>
      </ns0:c>
      <ns0:c r="I45" s="43">
        <ns0:f t="shared" si="27"/>
        <ns0:v>-6.727746</ns0:v>
      </ns0:c>
      <ns0:c r="J45" s="43">
        <ns0:f t="shared" si="27"/>
        <ns0:v>-4.072535</ns0:v>
      </ns0:c>
      <ns0:c r="K45" s="43">
        <ns0:f t="shared" si="27"/>
        <ns0:v>-1.152821</ns0:v>
      </ns0:c>
      <ns0:c r="L45" s="43">
        <ns0:f t="shared" si="27"/>
        <ns0:v>-5.537574</ns0:v>
      </ns0:c>
      <ns0:c r="M45" s="43">
        <ns0:f t="shared" si="27"/>
        <ns0:v>-5.30589</ns0:v>
      </ns0:c>
      <ns0:c r="N45" s="43">
        <ns0:f t="shared" si="27"/>
        <ns0:v>-5.82497800000001</ns0:v>
      </ns0:c>
      <ns0:c r="O45" s="43">
        <ns0:f t="shared" si="27"/>
        <ns0:v>-31.1320170000001</ns0:v>
      </ns0:c>
      <ns0:c r="P45" s="43">
        <ns0:f t="shared" si="27"/>
        <ns0:v>-11.512413</ns0:v>
      </ns0:c>
      <ns0:c r="Q45" s="43">
        <ns0:f t="shared" si="27"/>
        <ns0:v>-26.06781</ns0:v>
      </ns0:c>
      <ns0:c r="R45" s="43">
        <ns0:f t="shared" si="27"/>
        <ns0:v>-176.600361</ns0:v>
      </ns0:c>
      <ns0:c r="S45" s="43">
        <ns0:f t="shared" si="27"/>
        <ns0:v>-311.9991</ns0:v>
      </ns0:c>
      <ns0:c r="T45" s="43">
        <ns0:f t="shared" si="27"/>
        <ns0:v>-101.064376</ns0:v>
      </ns0:c>
      <ns0:c r="U45" s="43">
        <ns0:f t="shared" si="27"/>
        <ns0:v>-34.998642</ns0:v>
      </ns0:c>
      <ns0:c r="V45" s="43">
        <ns0:f t="shared" si="27"/>
        <ns0:v>-23.211154</ns0:v>
      </ns0:c>
      <ns0:c r="W45" s="43">
        <ns0:f t="shared" si="27"/>
        <ns0:v>-176.398222</ns0:v>
      </ns0:c>
      <ns0:c r="X45" s="43">
        <ns0:f t="shared" si="27"/>
        <ns0:v>-227.41763</ns0:v>
      </ns0:c>
      <ns0:c r="Y45" s="43">
        <ns0:f t="shared" si="27"/>
        <ns0:v>-199.785142</ns0:v>
      </ns0:c>
      <ns0:c r="Z45" s="43">
        <ns0:f t="shared" si="27"/>
        <ns0:v>-172.013952</ns0:v>
      </ns0:c>
      <ns0:c r="AA45" s="43">
        <ns0:f t="shared" si="27"/>
        <ns0:v>-117.66615</ns0:v>
      </ns0:c>
      <ns0:c r="AB45" s="43">
        <ns0:f t="shared" si="27"/>
        <ns0:v>-31.903828</ns0:v>
      </ns0:c>
      <ns0:c r="AC45" s="43">
        <ns0:f t="shared" si="27"/>
        <ns0:v>-5.687725</ns0:v>
      </ns0:c>
    </ns0:row>
    <ns0:row r="46" spans="1:29">
      <ns0:c r="A46" s="32"/>
      <ns0:c r="B46" s="33"/>
      <ns0:c r="C46" s="38" t="s">
        <ns0:v>53</ns0:v>
      </ns0:c>
      <ns0:c r="D46" s="37"/>
      <ns0:c r="E46" s="26">
        <ns0:f t="shared" si="26"/>
        <ns0:v>-1702.075244</ns0:v>
      </ns0:c>
      <ns0:c r="F46" s="43">
        <ns0:f t="shared" ref="F46:AC46" si="28">(IF(F45&gt;0,ABS(MIN(F40*0.2,ABS(F41))*F44),F45))*1</ns0:f>
        <ns0:v>-5.24694600000001</ns0:v>
      </ns0:c>
      <ns0:c r="G46" s="43">
        <ns0:f t="shared" si="28"/>
        <ns0:v>-10.173072</ns0:v>
      </ns0:c>
      <ns0:c r="H46" s="43">
        <ns0:f t="shared" si="28"/>
        <ns0:v>-10.57516</ns0:v>
      </ns0:c>
      <ns0:c r="I46" s="43">
        <ns0:f t="shared" si="28"/>
        <ns0:v>-6.727746</ns0:v>
      </ns0:c>
      <ns0:c r="J46" s="43">
        <ns0:f t="shared" si="28"/>
        <ns0:v>-4.072535</ns0:v>
      </ns0:c>
      <ns0:c r="K46" s="43">
        <ns0:f t="shared" si="28"/>
        <ns0:v>-1.152821</ns0:v>
      </ns0:c>
      <ns0:c r="L46" s="43">
        <ns0:f t="shared" si="28"/>
        <ns0:v>-5.537574</ns0:v>
      </ns0:c>
      <ns0:c r="M46" s="43">
        <ns0:f t="shared" si="28"/>
        <ns0:v>-5.30589</ns0:v>
      </ns0:c>
      <ns0:c r="N46" s="43">
        <ns0:f t="shared" si="28"/>
        <ns0:v>-5.82497800000001</ns0:v>
      </ns0:c>
      <ns0:c r="O46" s="43">
        <ns0:f t="shared" si="28"/>
        <ns0:v>-31.1320170000001</ns0:v>
      </ns0:c>
      <ns0:c r="P46" s="43">
        <ns0:f t="shared" si="28"/>
        <ns0:v>-11.512413</ns0:v>
      </ns0:c>
      <ns0:c r="Q46" s="43">
        <ns0:f t="shared" si="28"/>
        <ns0:v>-26.06781</ns0:v>
      </ns0:c>
      <ns0:c r="R46" s="43">
        <ns0:f t="shared" si="28"/>
        <ns0:v>-176.600361</ns0:v>
      </ns0:c>
      <ns0:c r="S46" s="43">
        <ns0:f t="shared" si="28"/>
        <ns0:v>-311.9991</ns0:v>
      </ns0:c>
      <ns0:c r="T46" s="43">
        <ns0:f t="shared" si="28"/>
        <ns0:v>-101.064376</ns0:v>
      </ns0:c>
      <ns0:c r="U46" s="43">
        <ns0:f t="shared" si="28"/>
        <ns0:v>-34.998642</ns0:v>
      </ns0:c>
      <ns0:c r="V46" s="43">
        <ns0:f t="shared" si="28"/>
        <ns0:v>-23.211154</ns0:v>
      </ns0:c>
      <ns0:c r="W46" s="43">
        <ns0:f t="shared" si="28"/>
        <ns0:v>-176.398222</ns0:v>
      </ns0:c>
      <ns0:c r="X46" s="43">
        <ns0:f t="shared" si="28"/>
        <ns0:v>-227.41763</ns0:v>
      </ns0:c>
      <ns0:c r="Y46" s="43">
        <ns0:f t="shared" si="28"/>
        <ns0:v>-199.785142</ns0:v>
      </ns0:c>
      <ns0:c r="Z46" s="43">
        <ns0:f t="shared" si="28"/>
        <ns0:v>-172.013952</ns0:v>
      </ns0:c>
      <ns0:c r="AA46" s="43">
        <ns0:f t="shared" si="28"/>
        <ns0:v>-117.66615</ns0:v>
      </ns0:c>
      <ns0:c r="AB46" s="43">
        <ns0:f t="shared" si="28"/>
        <ns0:v>-31.903828</ns0:v>
      </ns0:c>
      <ns0:c r="AC46" s="43">
        <ns0:f t="shared" si="28"/>
        <ns0:v>-5.687725</ns0:v>
      </ns0:c>
    </ns0:row>
    <ns0:row r="47" spans="1:29">
      <ns0:c r="A47" s="32"/>
      <ns0:c r="B47" s="33"/>
      <ns0:c r="C47" s="39" t="s">
        <ns0:v>50</ns0:v>
      </ns0:c>
      <ns0:c r="D47" s="37"/>
      <ns0:c r="E47" s="44">
        <ns0:f>E45-E46</ns0:f>
        <ns0:v>0</ns0:v>
      </ns0:c>
      <ns0:c r="F47" s="26">
        <ns0:f t="shared" ref="F47:AC47" si="29">(F45-F46)*1</ns0:f>
        <ns0:v>0</ns0:v>
      </ns0:c>
      <ns0:c r="G47" s="26">
        <ns0:f t="shared" si="29"/>
        <ns0:v>0</ns0:v>
      </ns0:c>
      <ns0:c r="H47" s="26">
        <ns0:f t="shared" si="29"/>
        <ns0:v>0</ns0:v>
      </ns0:c>
      <ns0:c r="I47" s="26">
        <ns0:f t="shared" si="29"/>
        <ns0:v>0</ns0:v>
      </ns0:c>
      <ns0:c r="J47" s="26">
        <ns0:f t="shared" si="29"/>
        <ns0:v>0</ns0:v>
      </ns0:c>
      <ns0:c r="K47" s="26">
        <ns0:f t="shared" si="29"/>
        <ns0:v>0</ns0:v>
      </ns0:c>
      <ns0:c r="L47" s="26">
        <ns0:f t="shared" si="29"/>
        <ns0:v>0</ns0:v>
      </ns0:c>
      <ns0:c r="M47" s="26">
        <ns0:f t="shared" si="29"/>
        <ns0:v>0</ns0:v>
      </ns0:c>
      <ns0:c r="N47" s="26">
        <ns0:f t="shared" si="29"/>
        <ns0:v>0</ns0:v>
      </ns0:c>
      <ns0:c r="O47" s="26">
        <ns0:f t="shared" si="29"/>
        <ns0:v>0</ns0:v>
      </ns0:c>
      <ns0:c r="P47" s="26">
        <ns0:f t="shared" si="29"/>
        <ns0:v>0</ns0:v>
      </ns0:c>
      <ns0:c r="Q47" s="26">
        <ns0:f t="shared" si="29"/>
        <ns0:v>0</ns0:v>
      </ns0:c>
      <ns0:c r="R47" s="26">
        <ns0:f t="shared" si="29"/>
        <ns0:v>0</ns0:v>
      </ns0:c>
      <ns0:c r="S47" s="26">
        <ns0:f t="shared" si="29"/>
        <ns0:v>0</ns0:v>
      </ns0:c>
      <ns0:c r="T47" s="26">
        <ns0:f t="shared" si="29"/>
        <ns0:v>0</ns0:v>
      </ns0:c>
      <ns0:c r="U47" s="26">
        <ns0:f t="shared" si="29"/>
        <ns0:v>0</ns0:v>
      </ns0:c>
      <ns0:c r="V47" s="26">
        <ns0:f t="shared" si="29"/>
        <ns0:v>0</ns0:v>
      </ns0:c>
      <ns0:c r="W47" s="26">
        <ns0:f t="shared" si="29"/>
        <ns0:v>0</ns0:v>
      </ns0:c>
      <ns0:c r="X47" s="26">
        <ns0:f t="shared" si="29"/>
        <ns0:v>0</ns0:v>
      </ns0:c>
      <ns0:c r="Y47" s="26">
        <ns0:f t="shared" si="29"/>
        <ns0:v>0</ns0:v>
      </ns0:c>
      <ns0:c r="Z47" s="26">
        <ns0:f t="shared" si="29"/>
        <ns0:v>0</ns0:v>
      </ns0:c>
      <ns0:c r="AA47" s="26">
        <ns0:f t="shared" si="29"/>
        <ns0:v>0</ns0:v>
      </ns0:c>
      <ns0:c r="AB47" s="26">
        <ns0:f t="shared" si="29"/>
        <ns0:v>0</ns0:v>
      </ns0:c>
      <ns0:c r="AC47" s="26">
        <ns0:f t="shared" si="29"/>
        <ns0:v>0</ns0:v>
      </ns0:c>
    </ns0:row>
    <ns0:row r="48" spans="1:29">
      <ns0:c r="A48" s="29">
        <ns0:v>45997</ns0:v>
      </ns0:c>
      <ns0:c r="B48" s="30">
        <ns0:f>E55</ns0:f>
        <ns0:v>-12.8067560000001</ns0:v>
      </ns0:c>
      <ns0:c r="C48" s="31" t="s">
        <ns0:v>47</ns0:v>
      </ns0:c>
      <ns0:c r="D48" s="31" t="s">
        <ns0:v>48</ns0:v>
      </ns0:c>
      <ns0:c r="E48" s="42">
        <ns0:f t="shared" si="26"/>
        <ns0:v>54.098</ns0:v>
      </ns0:c>
      <ns0:c r="F48" s="43">
        <ns0:v>1.735</ns0:v>
      </ns0:c>
      <ns0:c r="G48" s="43">
        <ns0:v>1.659</ns0:v>
      </ns0:c>
      <ns0:c r="H48" s="43">
        <ns0:v>1.474</ns0:v>
      </ns0:c>
      <ns0:c r="I48" s="43">
        <ns0:v>1.446</ns0:v>
      </ns0:c>
      <ns0:c r="J48" s="43">
        <ns0:v>1.268</ns0:v>
      </ns0:c>
      <ns0:c r="K48" s="43">
        <ns0:v>1.281</ns0:v>
      </ns0:c>
      <ns0:c r="L48" s="43">
        <ns0:v>1.244</ns0:v>
      </ns0:c>
      <ns0:c r="M48" s="43">
        <ns0:v>1.823</ns0:v>
      </ns0:c>
      <ns0:c r="N48" s="43">
        <ns0:v>3.262</ns0:v>
      </ns0:c>
      <ns0:c r="O48" s="43">
        <ns0:v>3.057</ns0:v>
      </ns0:c>
      <ns0:c r="P48" s="43">
        <ns0:v>2.575</ns0:v>
      </ns0:c>
      <ns0:c r="Q48" s="43">
        <ns0:v>2.487</ns0:v>
      </ns0:c>
      <ns0:c r="R48" s="43">
        <ns0:v>2.398</ns0:v>
      </ns0:c>
      <ns0:c r="S48" s="43">
        <ns0:v>2.5</ns0:v>
      </ns0:c>
      <ns0:c r="T48" s="43">
        <ns0:v>2.899</ns0:v>
      </ns0:c>
      <ns0:c r="U48" s="43">
        <ns0:v>2.767</ns0:v>
      </ns0:c>
      <ns0:c r="V48" s="43">
        <ns0:v>3.243</ns0:v>
      </ns0:c>
      <ns0:c r="W48" s="43">
        <ns0:v>3.795</ns0:v>
      </ns0:c>
      <ns0:c r="X48" s="43">
        <ns0:v>2.624</ns0:v>
      </ns0:c>
      <ns0:c r="Y48" s="43">
        <ns0:v>2.605</ns0:v>
      </ns0:c>
      <ns0:c r="Z48" s="43">
        <ns0:v>2.27</ns0:v>
      </ns0:c>
      <ns0:c r="AA48" s="43">
        <ns0:v>2.084</ns0:v>
      </ns0:c>
      <ns0:c r="AB48" s="43">
        <ns0:v>1.94</ns0:v>
      </ns0:c>
      <ns0:c r="AC48" s="43">
        <ns0:v>1.662</ns0:v>
      </ns0:c>
    </ns0:row>
    <ns0:row r="49" spans="1:29">
      <ns0:c r="A49" s="32"/>
      <ns0:c r="B49" s="33"/>
      <ns0:c r="C49" s="32"/>
      <ns0:c r="D49" s="6" t="s">
        <ns0:v>49</ns0:v>
      </ns0:c>
      <ns0:c r="E49" s="42">
        <ns0:f t="shared" si="26"/>
        <ns0:v>64.1786</ns0:v>
      </ns0:c>
      <ns0:c r="F49" s="43">
        <ns0:v>1.6009</ns0:v>
      </ns0:c>
      <ns0:c r="G49" s="43">
        <ns0:v>1.6434</ns0:v>
      </ns0:c>
      <ns0:c r="H49" s="43">
        <ns0:v>1.5929</ns0:v>
      </ns0:c>
      <ns0:c r="I49" s="43">
        <ns0:v>1.5742</ns0:v>
      </ns0:c>
      <ns0:c r="J49" s="43">
        <ns0:v>1.5469</ns0:v>
      </ns0:c>
      <ns0:c r="K49" s="43">
        <ns0:v>1.5796</ns0:v>
      </ns0:c>
      <ns0:c r="L49" s="43">
        <ns0:v>1.5791</ns0:v>
      </ns0:c>
      <ns0:c r="M49" s="43">
        <ns0:v>1.9618</ns0:v>
      </ns0:c>
      <ns0:c r="N49" s="43">
        <ns0:v>3.8489</ns0:v>
      </ns0:c>
      <ns0:c r="O49" s="43">
        <ns0:v>4.1829</ns0:v>
      </ns0:c>
      <ns0:c r="P49" s="43">
        <ns0:v>3.5776</ns0:v>
      </ns0:c>
      <ns0:c r="Q49" s="43">
        <ns0:v>3.4861</ns0:v>
      </ns0:c>
      <ns0:c r="R49" s="43">
        <ns0:v>2.844</ns0:v>
      </ns0:c>
      <ns0:c r="S49" s="43">
        <ns0:v>3.349</ns0:v>
      </ns0:c>
      <ns0:c r="T49" s="43">
        <ns0:v>3.9564</ns0:v>
      </ns0:c>
      <ns0:c r="U49" s="43">
        <ns0:v>3.7387</ns0:v>
      </ns0:c>
      <ns0:c r="V49" s="43">
        <ns0:v>3.6861</ns0:v>
      </ns0:c>
      <ns0:c r="W49" s="43">
        <ns0:v>3.541</ns0:v>
      </ns0:c>
      <ns0:c r="X49" s="43">
        <ns0:v>3.1089</ns0:v>
      </ns0:c>
      <ns0:c r="Y49" s="43">
        <ns0:v>3.1309</ns0:v>
      </ns0:c>
      <ns0:c r="Z49" s="43">
        <ns0:v>2.8077</ns0:v>
      </ns0:c>
      <ns0:c r="AA49" s="43">
        <ns0:v>2.3265</ns0:v>
      </ns0:c>
      <ns0:c r="AB49" s="43">
        <ns0:v>1.907</ns0:v>
      </ns0:c>
      <ns0:c r="AC49" s="43">
        <ns0:v>1.6081</ns0:v>
      </ns0:c>
    </ns0:row>
    <ns0:row r="50" spans="1:29">
      <ns0:c r="A50" s="32"/>
      <ns0:c r="B50" s="33"/>
      <ns0:c r="C50" s="34"/>
      <ns0:c r="D50" s="31" t="s">
        <ns0:v>50</ns0:v>
      </ns0:c>
      <ns0:c r="E50" s="26">
        <ns0:f>E48-E49</ns0:f>
        <ns0:v>-10.0806</ns0:v>
      </ns0:c>
      <ns0:c r="F50" s="43">
        <ns0:f t="shared" ref="F50:AC50" si="30">(F48-F49)*1</ns0:f>
        <ns0:v>0.1341</ns0:v>
      </ns0:c>
      <ns0:c r="G50" s="43">
        <ns0:f t="shared" si="30"/>
        <ns0:v>0.0156000000000001</ns0:v>
      </ns0:c>
      <ns0:c r="H50" s="43">
        <ns0:f t="shared" si="30"/>
        <ns0:v>-0.1189</ns0:v>
      </ns0:c>
      <ns0:c r="I50" s="43">
        <ns0:f t="shared" si="30"/>
        <ns0:v>-0.1282</ns0:v>
      </ns0:c>
      <ns0:c r="J50" s="43">
        <ns0:f t="shared" si="30"/>
        <ns0:v>-0.2789</ns0:v>
      </ns0:c>
      <ns0:c r="K50" s="43">
        <ns0:f t="shared" si="30"/>
        <ns0:v>-0.2986</ns0:v>
      </ns0:c>
      <ns0:c r="L50" s="43">
        <ns0:f t="shared" si="30"/>
        <ns0:v>-0.3351</ns0:v>
      </ns0:c>
      <ns0:c r="M50" s="43">
        <ns0:f t="shared" si="30"/>
        <ns0:v>-0.1388</ns0:v>
      </ns0:c>
      <ns0:c r="N50" s="43">
        <ns0:f t="shared" si="30"/>
        <ns0:v>-0.5869</ns0:v>
      </ns0:c>
      <ns0:c r="O50" s="43">
        <ns0:f t="shared" si="30"/>
        <ns0:v>-1.1259</ns0:v>
      </ns0:c>
      <ns0:c r="P50" s="43">
        <ns0:f t="shared" si="30"/>
        <ns0:v>-1.0026</ns0:v>
      </ns0:c>
      <ns0:c r="Q50" s="43">
        <ns0:f t="shared" si="30"/>
        <ns0:v>-0.9991</ns0:v>
      </ns0:c>
      <ns0:c r="R50" s="43">
        <ns0:f t="shared" si="30"/>
        <ns0:v>-0.446</ns0:v>
      </ns0:c>
      <ns0:c r="S50" s="43">
        <ns0:f t="shared" si="30"/>
        <ns0:v>-0.849</ns0:v>
      </ns0:c>
      <ns0:c r="T50" s="43">
        <ns0:f t="shared" si="30"/>
        <ns0:v>-1.0574</ns0:v>
      </ns0:c>
      <ns0:c r="U50" s="43">
        <ns0:f t="shared" si="30"/>
        <ns0:v>-0.9717</ns0:v>
      </ns0:c>
      <ns0:c r="V50" s="43">
        <ns0:f t="shared" si="30"/>
        <ns0:v>-0.4431</ns0:v>
      </ns0:c>
      <ns0:c r="W50" s="43">
        <ns0:f t="shared" si="30"/>
        <ns0:v>0.254</ns0:v>
      </ns0:c>
      <ns0:c r="X50" s="43">
        <ns0:f t="shared" si="30"/>
        <ns0:v>-0.4849</ns0:v>
      </ns0:c>
      <ns0:c r="Y50" s="43">
        <ns0:f t="shared" si="30"/>
        <ns0:v>-0.5259</ns0:v>
      </ns0:c>
      <ns0:c r="Z50" s="43">
        <ns0:f t="shared" si="30"/>
        <ns0:v>-0.5377</ns0:v>
      </ns0:c>
      <ns0:c r="AA50" s="43">
        <ns0:f t="shared" si="30"/>
        <ns0:v>-0.2425</ns0:v>
      </ns0:c>
      <ns0:c r="AB50" s="43">
        <ns0:f t="shared" si="30"/>
        <ns0:v>0.0329999999999999</ns0:v>
      </ns0:c>
      <ns0:c r="AC50" s="43">
        <ns0:f t="shared" si="30"/>
        <ns0:v>0.0538999999999998</ns0:v>
      </ns0:c>
    </ns0:row>
    <ns0:row r="51" spans="1:29">
      <ns0:c r="A51" s="32"/>
      <ns0:c r="B51" s="33"/>
      <ns0:c r="C51" s="35" t="s">
        <ns0:v>51</ns0:v>
      </ns0:c>
      <ns0:c r="D51" s="31" t="s">
        <ns0:v>48</ns0:v>
      </ns0:c>
      <ns0:c r="E51" s="31">
        <ns0:f>AVERAGE(F51:AC51)</ns0:f>
        <ns0:v>280.090833333333</ns0:v>
      </ns0:c>
      <ns0:c r="F51" s="43">
        <ns0:v>314.79</ns0:v>
      </ns0:c>
      <ns0:c r="G51" s="43">
        <ns0:v>294.81</ns0:v>
      </ns0:c>
      <ns0:c r="H51" s="43">
        <ns0:v>293.42</ns0:v>
      </ns0:c>
      <ns0:c r="I51" s="43">
        <ns0:v>289.13</ns0:v>
      </ns0:c>
      <ns0:c r="J51" s="43">
        <ns0:v>280.01</ns0:v>
      </ns0:c>
      <ns0:c r="K51" s="43">
        <ns0:v>277.77</ns0:v>
      </ns0:c>
      <ns0:c r="L51" s="43">
        <ns0:v>288.15</ns0:v>
      </ns0:c>
      <ns0:c r="M51" s="43">
        <ns0:v>299.22</ns0:v>
      </ns0:c>
      <ns0:c r="N51" s="43">
        <ns0:v>302.66</ns0:v>
      </ns0:c>
      <ns0:c r="O51" s="43">
        <ns0:v>285.73</ns0:v>
      </ns0:c>
      <ns0:c r="P51" s="43">
        <ns0:v>258.62</ns0:v>
      </ns0:c>
      <ns0:c r="Q51" s="43">
        <ns0:v>212.65</ns0:v>
      </ns0:c>
      <ns0:c r="R51" s="43">
        <ns0:v>139.15</ns0:v>
      </ns0:c>
      <ns0:c r="S51" s="43">
        <ns0:v>148.64</ns0:v>
      </ns0:c>
      <ns0:c r="T51" s="43">
        <ns0:v>186.07</ns0:v>
      </ns0:c>
      <ns0:c r="U51" s="43">
        <ns0:v>254.68</ns0:v>
      </ns0:c>
      <ns0:c r="V51" s="43">
        <ns0:v>292.4</ns0:v>
      </ns0:c>
      <ns0:c r="W51" s="43">
        <ns0:v>317.37</ns0:v>
      </ns0:c>
      <ns0:c r="X51" s="43">
        <ns0:v>347.09</ns0:v>
      </ns0:c>
      <ns0:c r="Y51" s="43">
        <ns0:v>360.19</ns0:v>
      </ns0:c>
      <ns0:c r="Z51" s="43">
        <ns0:v>347.2</ns0:v>
      </ns0:c>
      <ns0:c r="AA51" s="43">
        <ns0:v>332.78</ns0:v>
      </ns0:c>
      <ns0:c r="AB51" s="43">
        <ns0:v>311.74</ns0:v>
      </ns0:c>
      <ns0:c r="AC51" s="43">
        <ns0:v>287.91</ns0:v>
      </ns0:c>
    </ns0:row>
    <ns0:row r="52" spans="1:29">
      <ns0:c r="A52" s="32"/>
      <ns0:c r="B52" s="33"/>
      <ns0:c r="C52" s="32"/>
      <ns0:c r="D52" s="31" t="s">
        <ns0:v>49</ns0:v>
      </ns0:c>
      <ns0:c r="E52" s="31">
        <ns0:f>AVERAGE(F52:AC52)</ns0:f>
        <ns0:v>289.604166666667</ns0:v>
      </ns0:c>
      <ns0:c r="F52" s="43">
        <ns0:v>376.15</ns0:v>
      </ns0:c>
      <ns0:c r="G52" s="43">
        <ns0:v>331.54</ns0:v>
      </ns0:c>
      <ns0:c r="H52" s="43">
        <ns0:v>310.62</ns0:v>
      </ns0:c>
      <ns0:c r="I52" s="43">
        <ns0:v>311.33</ns0:v>
      </ns0:c>
      <ns0:c r="J52" s="43">
        <ns0:v>292.9</ns0:v>
      </ns0:c>
      <ns0:c r="K52" s="43">
        <ns0:v>279.85</ns0:v>
      </ns0:c>
      <ns0:c r="L52" s="43">
        <ns0:v>287.91</ns0:v>
      </ns0:c>
      <ns0:c r="M52" s="43">
        <ns0:v>294.4</ns0:v>
      </ns0:c>
      <ns0:c r="N52" s="43">
        <ns0:v>308.24</ns0:v>
      </ns0:c>
      <ns0:c r="O52" s="43">
        <ns0:v>291.97</ns0:v>
      </ns0:c>
      <ns0:c r="P52" s="43">
        <ns0:v>258.35</ns0:v>
      </ns0:c>
      <ns0:c r="Q52" s="43">
        <ns0:v>201.2</ns0:v>
      </ns0:c>
      <ns0:c r="R52" s="43">
        <ns0:v>131.5</ns0:v>
      </ns0:c>
      <ns0:c r="S52" s="43">
        <ns0:v>115.55</ns0:v>
      </ns0:c>
      <ns0:c r="T52" s="43">
        <ns0:v>137.27</ns0:v>
      </ns0:c>
      <ns0:c r="U52" s="43">
        <ns0:v>238.61</ns0:v>
      </ns0:c>
      <ns0:c r="V52" s="43">
        <ns0:v>289.28</ns0:v>
      </ns0:c>
      <ns0:c r="W52" s="43">
        <ns0:v>333.57</ns0:v>
      </ns0:c>
      <ns0:c r="X52" s="43">
        <ns0:v>527.84</ns0:v>
      </ns0:c>
      <ns0:c r="Y52" s="43">
        <ns0:v>395.11</ns0:v>
      </ns0:c>
      <ns0:c r="Z52" s="43">
        <ns0:v>329.46</ns0:v>
      </ns0:c>
      <ns0:c r="AA52" s="43">
        <ns0:v>316.43</ns0:v>
      </ns0:c>
      <ns0:c r="AB52" s="43">
        <ns0:v>305.76</ns0:v>
      </ns0:c>
      <ns0:c r="AC52" s="43">
        <ns0:v>285.66</ns0:v>
      </ns0:c>
    </ns0:row>
    <ns0:row r="53" spans="1:29">
      <ns0:c r="A53" s="32"/>
      <ns0:c r="B53" s="33"/>
      <ns0:c r="C53" s="34"/>
      <ns0:c r="D53" s="31" t="s">
        <ns0:v>50</ns0:v>
      </ns0:c>
      <ns0:c r="E53" s="26">
        <ns0:f>E51-E52</ns0:f>
        <ns0:v>-9.51333333333338</ns0:v>
      </ns0:c>
      <ns0:c r="F53" s="43">
        <ns0:f t="shared" ref="F53:AC53" si="31">(F51-F52)*1</ns0:f>
        <ns0:v>-61.36</ns0:v>
      </ns0:c>
      <ns0:c r="G53" s="43">
        <ns0:f t="shared" si="31"/>
        <ns0:v>-36.73</ns0:v>
      </ns0:c>
      <ns0:c r="H53" s="43">
        <ns0:f t="shared" si="31"/>
        <ns0:v>-17.2</ns0:v>
      </ns0:c>
      <ns0:c r="I53" s="43">
        <ns0:f t="shared" si="31"/>
        <ns0:v>-22.2</ns0:v>
      </ns0:c>
      <ns0:c r="J53" s="43">
        <ns0:f t="shared" si="31"/>
        <ns0:v>-12.89</ns0:v>
      </ns0:c>
      <ns0:c r="K53" s="43">
        <ns0:f t="shared" si="31"/>
        <ns0:v>-2.08000000000004</ns0:v>
      </ns0:c>
      <ns0:c r="L53" s="43">
        <ns0:f t="shared" si="31"/>
        <ns0:v>0.239999999999952</ns0:v>
      </ns0:c>
      <ns0:c r="M53" s="43">
        <ns0:f t="shared" si="31"/>
        <ns0:v>4.82000000000005</ns0:v>
      </ns0:c>
      <ns0:c r="N53" s="43">
        <ns0:f t="shared" si="31"/>
        <ns0:v>-5.57999999999998</ns0:v>
      </ns0:c>
      <ns0:c r="O53" s="43">
        <ns0:f t="shared" si="31"/>
        <ns0:v>-6.24000000000001</ns0:v>
      </ns0:c>
      <ns0:c r="P53" s="43">
        <ns0:f t="shared" si="31"/>
        <ns0:v>0.269999999999982</ns0:v>
      </ns0:c>
      <ns0:c r="Q53" s="43">
        <ns0:f t="shared" si="31"/>
        <ns0:v>11.45</ns0:v>
      </ns0:c>
      <ns0:c r="R53" s="43">
        <ns0:f t="shared" si="31"/>
        <ns0:v>7.65000000000001</ns0:v>
      </ns0:c>
      <ns0:c r="S53" s="43">
        <ns0:f t="shared" si="31"/>
        <ns0:v>33.09</ns0:v>
      </ns0:c>
      <ns0:c r="T53" s="43">
        <ns0:f t="shared" si="31"/>
        <ns0:v>48.8</ns0:v>
      </ns0:c>
      <ns0:c r="U53" s="43">
        <ns0:f t="shared" si="31"/>
        <ns0:v>16.07</ns0:v>
      </ns0:c>
      <ns0:c r="V53" s="43">
        <ns0:f t="shared" si="31"/>
        <ns0:v>3.12</ns0:v>
      </ns0:c>
      <ns0:c r="W53" s="43">
        <ns0:f t="shared" si="31"/>
        <ns0:v>-16.2</ns0:v>
      </ns0:c>
      <ns0:c r="X53" s="43">
        <ns0:f t="shared" si="31"/>
        <ns0:v>-180.75</ns0:v>
      </ns0:c>
      <ns0:c r="Y53" s="43">
        <ns0:f t="shared" si="31"/>
        <ns0:v>-34.92</ns0:v>
      </ns0:c>
      <ns0:c r="Z53" s="43">
        <ns0:f t="shared" si="31"/>
        <ns0:v>17.74</ns0:v>
      </ns0:c>
      <ns0:c r="AA53" s="43">
        <ns0:f t="shared" si="31"/>
        <ns0:v>16.35</ns0:v>
      </ns0:c>
      <ns0:c r="AB53" s="43">
        <ns0:f t="shared" si="31"/>
        <ns0:v>5.98000000000002</ns0:v>
      </ns0:c>
      <ns0:c r="AC53" s="43">
        <ns0:f t="shared" si="31"/>
        <ns0:v>2.25</ns0:v>
      </ns0:c>
    </ns0:row>
    <ns0:row r="54" spans="1:29">
      <ns0:c r="A54" s="32"/>
      <ns0:c r="B54" s="33"/>
      <ns0:c r="C54" s="36" t="s">
        <ns0:v>52</ns0:v>
      </ns0:c>
      <ns0:c r="D54" s="37"/>
      <ns0:c r="E54" s="26">
        <ns0:f t="shared" ref="E54:E58" si="32">SUM(F54:AC54)</ns0:f>
        <ns0:v>13.24733</ns0:v>
      </ns0:c>
      <ns0:c r="F54" s="43">
        <ns0:f t="shared" ref="F54:AC54" si="33">(-F50*F53)*1</ns0:f>
        <ns0:v>8.22837600000001</ns0:v>
      </ns0:c>
      <ns0:c r="G54" s="43">
        <ns0:f t="shared" si="33"/>
        <ns0:v>0.572988000000002</ns0:v>
      </ns0:c>
      <ns0:c r="H54" s="43">
        <ns0:f t="shared" si="33"/>
        <ns0:v>-2.04508</ns0:v>
      </ns0:c>
      <ns0:c r="I54" s="43">
        <ns0:f t="shared" si="33"/>
        <ns0:v>-2.84604</ns0:v>
      </ns0:c>
      <ns0:c r="J54" s="43">
        <ns0:f t="shared" si="33"/>
        <ns0:v>-3.595021</ns0:v>
      </ns0:c>
      <ns0:c r="K54" s="43">
        <ns0:f t="shared" si="33"/>
        <ns0:v>-0.621088000000012</ns0:v>
      </ns0:c>
      <ns0:c r="L54" s="43">
        <ns0:f t="shared" si="33"/>
        <ns0:v>0.0804239999999839</ns0:v>
      </ns0:c>
      <ns0:c r="M54" s="43">
        <ns0:f t="shared" si="33"/>
        <ns0:v>0.669016000000007</ns0:v>
      </ns0:c>
      <ns0:c r="N54" s="43">
        <ns0:f t="shared" si="33"/>
        <ns0:v>-3.27490199999999</ns0:v>
      </ns0:c>
      <ns0:c r="O54" s="43">
        <ns0:f t="shared" si="33"/>
        <ns0:v>-7.02561600000001</ns0:v>
      </ns0:c>
      <ns0:c r="P54" s="43">
        <ns0:f t="shared" si="33"/>
        <ns0:v>0.270701999999982</ns0:v>
      </ns0:c>
      <ns0:c r="Q54" s="43">
        <ns0:f t="shared" si="33"/>
        <ns0:v>11.439695</ns0:v>
      </ns0:c>
      <ns0:c r="R54" s="43">
        <ns0:f t="shared" si="33"/>
        <ns0:v>3.4119</ns0:v>
      </ns0:c>
      <ns0:c r="S54" s="43">
        <ns0:f t="shared" si="33"/>
        <ns0:v>28.09341</ns0:v>
      </ns0:c>
      <ns0:c r="T54" s="43">
        <ns0:f t="shared" si="33"/>
        <ns0:v>51.60112</ns0:v>
      </ns0:c>
      <ns0:c r="U54" s="43">
        <ns0:f t="shared" si="33"/>
        <ns0:v>15.615219</ns0:v>
      </ns0:c>
      <ns0:c r="V54" s="43">
        <ns0:f t="shared" si="33"/>
        <ns0:v>1.382472</ns0:v>
      </ns0:c>
      <ns0:c r="W54" s="43">
        <ns0:f t="shared" si="33"/>
        <ns0:v>4.1148</ns0:v>
      </ns0:c>
      <ns0:c r="X54" s="43">
        <ns0:f t="shared" si="33"/>
        <ns0:v>-87.645675</ns0:v>
      </ns0:c>
      <ns0:c r="Y54" s="43">
        <ns0:f t="shared" si="33"/>
        <ns0:v>-18.364428</ns0:v>
      </ns0:c>
      <ns0:c r="Z54" s="43">
        <ns0:f t="shared" si="33"/>
        <ns0:v>9.538798</ns0:v>
      </ns0:c>
      <ns0:c r="AA54" s="43">
        <ns0:f t="shared" si="33"/>
        <ns0:v>3.964875</ns0:v>
      </ns0:c>
      <ns0:c r="AB54" s="43">
        <ns0:f t="shared" si="33"/>
        <ns0:v>-0.19734</ns0:v>
      </ns0:c>
      <ns0:c r="AC54" s="43">
        <ns0:f t="shared" si="33"/>
        <ns0:v>-0.121275</ns0:v>
      </ns0:c>
    </ns0:row>
    <ns0:row r="55" spans="1:29">
      <ns0:c r="A55" s="32"/>
      <ns0:c r="B55" s="33"/>
      <ns0:c r="C55" s="38" t="s">
        <ns0:v>53</ns0:v>
      </ns0:c>
      <ns0:c r="D55" s="37"/>
      <ns0:c r="E55" s="26">
        <ns0:f t="shared" si="32"/>
        <ns0:v>-12.8067560000001</ns0:v>
      </ns0:c>
      <ns0:c r="F55" s="43">
        <ns0:f t="shared" ref="F55:AC55" si="34">(IF(F54&gt;0,ABS(MIN(F49*0.2,ABS(F50))*F53),F54))*1</ns0:f>
        <ns0:v>8.22837600000001</ns0:v>
      </ns0:c>
      <ns0:c r="G55" s="43">
        <ns0:f t="shared" si="34"/>
        <ns0:v>0.572988000000002</ns0:v>
      </ns0:c>
      <ns0:c r="H55" s="43">
        <ns0:f t="shared" si="34"/>
        <ns0:v>-2.04508</ns0:v>
      </ns0:c>
      <ns0:c r="I55" s="43">
        <ns0:f t="shared" si="34"/>
        <ns0:v>-2.84604</ns0:v>
      </ns0:c>
      <ns0:c r="J55" s="43">
        <ns0:f t="shared" si="34"/>
        <ns0:v>-3.595021</ns0:v>
      </ns0:c>
      <ns0:c r="K55" s="43">
        <ns0:f t="shared" si="34"/>
        <ns0:v>-0.621088000000012</ns0:v>
      </ns0:c>
      <ns0:c r="L55" s="43">
        <ns0:f t="shared" si="34"/>
        <ns0:v>0.0757967999999848</ns0:v>
      </ns0:c>
      <ns0:c r="M55" s="43">
        <ns0:f t="shared" si="34"/>
        <ns0:v>0.669016000000007</ns0:v>
      </ns0:c>
      <ns0:c r="N55" s="43">
        <ns0:f t="shared" si="34"/>
        <ns0:v>-3.27490199999999</ns0:v>
      </ns0:c>
      <ns0:c r="O55" s="43">
        <ns0:f t="shared" si="34"/>
        <ns0:v>-7.02561600000001</ns0:v>
      </ns0:c>
      <ns0:c r="P55" s="43">
        <ns0:f t="shared" si="34"/>
        <ns0:v>0.193190399999987</ns0:v>
      </ns0:c>
      <ns0:c r="Q55" s="43">
        <ns0:f t="shared" si="34"/>
        <ns0:v>7.983169</ns0:v>
      </ns0:c>
      <ns0:c r="R55" s="43">
        <ns0:f t="shared" si="34"/>
        <ns0:v>3.4119</ns0:v>
      </ns0:c>
      <ns0:c r="S55" s="43">
        <ns0:f t="shared" si="34"/>
        <ns0:v>22.163682</ns0:v>
      </ns0:c>
      <ns0:c r="T55" s="43">
        <ns0:f t="shared" si="34"/>
        <ns0:v>38.614464</ns0:v>
      </ns0:c>
      <ns0:c r="U55" s="43">
        <ns0:f t="shared" si="34"/>
        <ns0:v>12.0161818</ns0:v>
      </ns0:c>
      <ns0:c r="V55" s="43">
        <ns0:f t="shared" si="34"/>
        <ns0:v>1.382472</ns0:v>
      </ns0:c>
      <ns0:c r="W55" s="43">
        <ns0:f t="shared" si="34"/>
        <ns0:v>4.1148</ns0:v>
      </ns0:c>
      <ns0:c r="X55" s="43">
        <ns0:f t="shared" si="34"/>
        <ns0:v>-87.645675</ns0:v>
      </ns0:c>
      <ns0:c r="Y55" s="43">
        <ns0:f t="shared" si="34"/>
        <ns0:v>-18.364428</ns0:v>
      </ns0:c>
      <ns0:c r="Z55" s="43">
        <ns0:f t="shared" si="34"/>
        <ns0:v>9.538798</ns0:v>
      </ns0:c>
      <ns0:c r="AA55" s="43">
        <ns0:f t="shared" si="34"/>
        <ns0:v>3.964875</ns0:v>
      </ns0:c>
      <ns0:c r="AB55" s="43">
        <ns0:f t="shared" si="34"/>
        <ns0:v>-0.19734</ns0:v>
      </ns0:c>
      <ns0:c r="AC55" s="43">
        <ns0:f t="shared" si="34"/>
        <ns0:v>-0.121275</ns0:v>
      </ns0:c>
    </ns0:row>
    <ns0:row r="56" spans="1:29">
      <ns0:c r="A56" s="32"/>
      <ns0:c r="B56" s="33"/>
      <ns0:c r="C56" s="39" t="s">
        <ns0:v>50</ns0:v>
      </ns0:c>
      <ns0:c r="D56" s="37"/>
      <ns0:c r="E56" s="44">
        <ns0:f>E54-E55</ns0:f>
        <ns0:v>26.054086</ns0:v>
      </ns0:c>
      <ns0:c r="F56" s="26">
        <ns0:f t="shared" ref="F56:AC56" si="35">(F54-F55)*1</ns0:f>
        <ns0:v>0</ns0:v>
      </ns0:c>
      <ns0:c r="G56" s="26">
        <ns0:f t="shared" si="35"/>
        <ns0:v>0</ns0:v>
      </ns0:c>
      <ns0:c r="H56" s="26">
        <ns0:f t="shared" si="35"/>
        <ns0:v>0</ns0:v>
      </ns0:c>
      <ns0:c r="I56" s="26">
        <ns0:f t="shared" si="35"/>
        <ns0:v>0</ns0:v>
      </ns0:c>
      <ns0:c r="J56" s="26">
        <ns0:f t="shared" si="35"/>
        <ns0:v>0</ns0:v>
      </ns0:c>
      <ns0:c r="K56" s="26">
        <ns0:f t="shared" si="35"/>
        <ns0:v>0</ns0:v>
      </ns0:c>
      <ns0:c r="L56" s="26">
        <ns0:f t="shared" si="35"/>
        <ns0:v>0.00462719999999907</ns0:v>
      </ns0:c>
      <ns0:c r="M56" s="26">
        <ns0:f t="shared" si="35"/>
        <ns0:v>0</ns0:v>
      </ns0:c>
      <ns0:c r="N56" s="26">
        <ns0:f t="shared" si="35"/>
        <ns0:v>0</ns0:v>
      </ns0:c>
      <ns0:c r="O56" s="26">
        <ns0:f t="shared" si="35"/>
        <ns0:v>0</ns0:v>
      </ns0:c>
      <ns0:c r="P56" s="26">
        <ns0:f t="shared" si="35"/>
        <ns0:v>0.0775115999999947</ns0:v>
      </ns0:c>
      <ns0:c r="Q56" s="26">
        <ns0:f t="shared" si="35"/>
        <ns0:v>3.456526</ns0:v>
      </ns0:c>
      <ns0:c r="R56" s="26">
        <ns0:f t="shared" si="35"/>
        <ns0:v>0</ns0:v>
      </ns0:c>
      <ns0:c r="S56" s="26">
        <ns0:f t="shared" si="35"/>
        <ns0:v>5.929728</ns0:v>
      </ns0:c>
      <ns0:c r="T56" s="26">
        <ns0:f t="shared" si="35"/>
        <ns0:v>12.986656</ns0:v>
      </ns0:c>
      <ns0:c r="U56" s="26">
        <ns0:f t="shared" si="35"/>
        <ns0:v>3.5990372</ns0:v>
      </ns0:c>
      <ns0:c r="V56" s="26">
        <ns0:f t="shared" si="35"/>
        <ns0:v>0</ns0:v>
      </ns0:c>
      <ns0:c r="W56" s="26">
        <ns0:f t="shared" si="35"/>
        <ns0:v>0</ns0:v>
      </ns0:c>
      <ns0:c r="X56" s="26">
        <ns0:f t="shared" si="35"/>
        <ns0:v>0</ns0:v>
      </ns0:c>
      <ns0:c r="Y56" s="26">
        <ns0:f t="shared" si="35"/>
        <ns0:v>0</ns0:v>
      </ns0:c>
      <ns0:c r="Z56" s="26">
        <ns0:f t="shared" si="35"/>
        <ns0:v>0</ns0:v>
      </ns0:c>
      <ns0:c r="AA56" s="26">
        <ns0:f t="shared" si="35"/>
        <ns0:v>0</ns0:v>
      </ns0:c>
      <ns0:c r="AB56" s="26">
        <ns0:f t="shared" si="35"/>
        <ns0:v>0</ns0:v>
      </ns0:c>
      <ns0:c r="AC56" s="26">
        <ns0:f t="shared" si="35"/>
        <ns0:v>0</ns0:v>
      </ns0:c>
    </ns0:row>
    <ns0:row r="57" spans="1:29">
      <ns0:c r="A57" s="29">
        <ns0:v>45998</ns0:v>
      </ns0:c>
      <ns0:c r="B57" s="30">
        <ns0:f>E64</ns0:f>
        <ns0:v>211.1113032</ns0:v>
      </ns0:c>
      <ns0:c r="C57" s="31" t="s">
        <ns0:v>47</ns0:v>
      </ns0:c>
      <ns0:c r="D57" s="31" t="s">
        <ns0:v>48</ns0:v>
      </ns0:c>
      <ns0:c r="E57" s="42">
        <ns0:f t="shared" si="32"/>
        <ns0:v>40.459</ns0:v>
      </ns0:c>
      <ns0:c r="F57" s="43">
        <ns0:v>1.722</ns0:v>
      </ns0:c>
      <ns0:c r="G57" s="43">
        <ns0:v>1.605</ns0:v>
      </ns0:c>
      <ns0:c r="H57" s="43">
        <ns0:v>1.432</ns0:v>
      </ns0:c>
      <ns0:c r="I57" s="43">
        <ns0:v>1.408</ns0:v>
      </ns0:c>
      <ns0:c r="J57" s="43">
        <ns0:v>1.214</ns0:v>
      </ns0:c>
      <ns0:c r="K57" s="43">
        <ns0:v>1.12</ns0:v>
      </ns0:c>
      <ns0:c r="L57" s="43">
        <ns0:v>1.081</ns0:v>
      </ns0:c>
      <ns0:c r="M57" s="43">
        <ns0:v>1.129</ns0:v>
      </ns0:c>
      <ns0:c r="N57" s="43">
        <ns0:v>2.006</ns0:v>
      </ns0:c>
      <ns0:c r="O57" s="43">
        <ns0:v>2.241</ns0:v>
      </ns0:c>
      <ns0:c r="P57" s="43">
        <ns0:v>2.072</ns0:v>
      </ns0:c>
      <ns0:c r="Q57" s="43">
        <ns0:v>2.474</ns0:v>
      </ns0:c>
      <ns0:c r="R57" s="43">
        <ns0:v>1.931</ns0:v>
      </ns0:c>
      <ns0:c r="S57" s="43">
        <ns0:v>2.063</ns0:v>
      </ns0:c>
      <ns0:c r="T57" s="43">
        <ns0:v>2.399</ns0:v>
      </ns0:c>
      <ns0:c r="U57" s="43">
        <ns0:v>2.108</ns0:v>
      </ns0:c>
      <ns0:c r="V57" s="43">
        <ns0:v>2.437</ns0:v>
      </ns0:c>
      <ns0:c r="W57" s="43">
        <ns0:v>2.21</ns0:v>
      </ns0:c>
      <ns0:c r="X57" s="43">
        <ns0:v>1.692</ns0:v>
      </ns0:c>
      <ns0:c r="Y57" s="43">
        <ns0:v>1.404</ns0:v>
      </ns0:c>
      <ns0:c r="Z57" s="43">
        <ns0:v>1.279</ns0:v>
      </ns0:c>
      <ns0:c r="AA57" s="43">
        <ns0:v>1.148</ns0:v>
      </ns0:c>
      <ns0:c r="AB57" s="43">
        <ns0:v>1.131</ns0:v>
      </ns0:c>
      <ns0:c r="AC57" s="43">
        <ns0:v>1.153</ns0:v>
      </ns0:c>
    </ns0:row>
    <ns0:row r="58" spans="1:29">
      <ns0:c r="A58" s="32"/>
      <ns0:c r="B58" s="33"/>
      <ns0:c r="C58" s="32"/>
      <ns0:c r="D58" s="6" t="s">
        <ns0:v>49</ns0:v>
      </ns0:c>
      <ns0:c r="E58" s="42">
        <ns0:f t="shared" si="32"/>
        <ns0:v>44.3809</ns0:v>
      </ns0:c>
      <ns0:c r="F58" s="43">
        <ns0:v>1.7321</ns0:v>
      </ns0:c>
      <ns0:c r="G58" s="43">
        <ns0:v>1.6177</ns0:v>
      </ns0:c>
      <ns0:c r="H58" s="43">
        <ns0:v>1.5739</ns0:v>
      </ns0:c>
      <ns0:c r="I58" s="43">
        <ns0:v>1.4314</ns0:v>
      </ns0:c>
      <ns0:c r="J58" s="43">
        <ns0:v>1.4519</ns0:v>
      </ns0:c>
      <ns0:c r="K58" s="43">
        <ns0:v>1.4465</ns0:v>
      </ns0:c>
      <ns0:c r="L58" s="43">
        <ns0:v>1.4011</ns0:v>
      </ns0:c>
      <ns0:c r="M58" s="43">
        <ns0:v>1.4195</ns0:v>
      </ns0:c>
      <ns0:c r="N58" s="43">
        <ns0:v>2.5322</ns0:v>
      </ns0:c>
      <ns0:c r="O58" s="43">
        <ns0:v>2.7341</ns0:v>
      </ns0:c>
      <ns0:c r="P58" s="43">
        <ns0:v>2.4575</ns0:v>
      </ns0:c>
      <ns0:c r="Q58" s="43">
        <ns0:v>2.3773</ns0:v>
      </ns0:c>
      <ns0:c r="R58" s="43">
        <ns0:v>2.2551</ns0:v>
      </ns0:c>
      <ns0:c r="S58" s="43">
        <ns0:v>1.9725</ns0:v>
      </ns0:c>
      <ns0:c r="T58" s="43">
        <ns0:v>2.4729</ns0:v>
      </ns0:c>
      <ns0:c r="U58" s="43">
        <ns0:v>2.4527</ns0:v>
      </ns0:c>
      <ns0:c r="V58" s="43">
        <ns0:v>2.4651</ns0:v>
      </ns0:c>
      <ns0:c r="W58" s="43">
        <ns0:v>2.2881</ns0:v>
      </ns0:c>
      <ns0:c r="X58" s="43">
        <ns0:v>1.5153</ns0:v>
      </ns0:c>
      <ns0:c r="Y58" s="43">
        <ns0:v>1.4533</ns0:v>
      </ns0:c>
      <ns0:c r="Z58" s="43">
        <ns0:v>1.4713</ns0:v>
      </ns0:c>
      <ns0:c r="AA58" s="43">
        <ns0:v>1.3649</ns0:v>
      </ns0:c>
      <ns0:c r="AB58" s="43">
        <ns0:v>1.2837</ns0:v>
      </ns0:c>
      <ns0:c r="AC58" s="43">
        <ns0:v>1.2108</ns0:v>
      </ns0:c>
    </ns0:row>
    <ns0:row r="59" spans="1:29">
      <ns0:c r="A59" s="32"/>
      <ns0:c r="B59" s="33"/>
      <ns0:c r="C59" s="34"/>
      <ns0:c r="D59" s="31" t="s">
        <ns0:v>50</ns0:v>
      </ns0:c>
      <ns0:c r="E59" s="26">
        <ns0:f>E57-E58</ns0:f>
        <ns0:v>-3.92189999999999</ns0:v>
      </ns0:c>
      <ns0:c r="F59" s="43">
        <ns0:f t="shared" ref="F59:AC59" si="36">(F57-F58)*1</ns0:f>
        <ns0:v>-0.0101</ns0:v>
      </ns0:c>
      <ns0:c r="G59" s="43">
        <ns0:f t="shared" si="36"/>
        <ns0:v>-0.0126999999999999</ns0:v>
      </ns0:c>
      <ns0:c r="H59" s="43">
        <ns0:f t="shared" si="36"/>
        <ns0:v>-0.1419</ns0:v>
      </ns0:c>
      <ns0:c r="I59" s="43">
        <ns0:f t="shared" si="36"/>
        <ns0:v>-0.0234000000000001</ns0:v>
      </ns0:c>
      <ns0:c r="J59" s="43">
        <ns0:f t="shared" si="36"/>
        <ns0:v>-0.2379</ns0:v>
      </ns0:c>
      <ns0:c r="K59" s="43">
        <ns0:f t="shared" si="36"/>
        <ns0:v>-0.3265</ns0:v>
      </ns0:c>
      <ns0:c r="L59" s="43">
        <ns0:f t="shared" si="36"/>
        <ns0:v>-0.3201</ns0:v>
      </ns0:c>
      <ns0:c r="M59" s="43">
        <ns0:f t="shared" si="36"/>
        <ns0:v>-0.2905</ns0:v>
      </ns0:c>
      <ns0:c r="N59" s="43">
        <ns0:f t="shared" si="36"/>
        <ns0:v>-0.5262</ns0:v>
      </ns0:c>
      <ns0:c r="O59" s="43">
        <ns0:f t="shared" si="36"/>
        <ns0:v>-0.4931</ns0:v>
      </ns0:c>
      <ns0:c r="P59" s="43">
        <ns0:f t="shared" si="36"/>
        <ns0:v>-0.3855</ns0:v>
      </ns0:c>
      <ns0:c r="Q59" s="43">
        <ns0:f t="shared" si="36"/>
        <ns0:v>0.0967000000000002</ns0:v>
      </ns0:c>
      <ns0:c r="R59" s="43">
        <ns0:f t="shared" si="36"/>
        <ns0:v>-0.3241</ns0:v>
      </ns0:c>
      <ns0:c r="S59" s="43">
        <ns0:f t="shared" si="36"/>
        <ns0:v>0.0905000000000002</ns0:v>
      </ns0:c>
      <ns0:c r="T59" s="43">
        <ns0:f t="shared" si="36"/>
        <ns0:v>-0.0739000000000001</ns0:v>
      </ns0:c>
      <ns0:c r="U59" s="43">
        <ns0:f t="shared" si="36"/>
        <ns0:v>-0.3447</ns0:v>
      </ns0:c>
      <ns0:c r="V59" s="43">
        <ns0:f t="shared" si="36"/>
        <ns0:v>-0.0281000000000002</ns0:v>
      </ns0:c>
      <ns0:c r="W59" s="43">
        <ns0:f t="shared" si="36"/>
        <ns0:v>-0.0781000000000001</ns0:v>
      </ns0:c>
      <ns0:c r="X59" s="43">
        <ns0:f t="shared" si="36"/>
        <ns0:v>0.1767</ns0:v>
      </ns0:c>
      <ns0:c r="Y59" s="43">
        <ns0:f t="shared" si="36"/>
        <ns0:v>-0.0493000000000001</ns0:v>
      </ns0:c>
      <ns0:c r="Z59" s="43">
        <ns0:f t="shared" si="36"/>
        <ns0:v>-0.1923</ns0:v>
      </ns0:c>
      <ns0:c r="AA59" s="43">
        <ns0:f t="shared" si="36"/>
        <ns0:v>-0.2169</ns0:v>
      </ns0:c>
      <ns0:c r="AB59" s="43">
        <ns0:f t="shared" si="36"/>
        <ns0:v>-0.1527</ns0:v>
      </ns0:c>
      <ns0:c r="AC59" s="43">
        <ns0:f t="shared" si="36"/>
        <ns0:v>-0.0578000000000001</ns0:v>
      </ns0:c>
    </ns0:row>
    <ns0:row r="60" spans="1:29">
      <ns0:c r="A60" s="32"/>
      <ns0:c r="B60" s="33"/>
      <ns0:c r="C60" s="35" t="s">
        <ns0:v>51</ns0:v>
      </ns0:c>
      <ns0:c r="D60" s="31" t="s">
        <ns0:v>48</ns0:v>
      </ns0:c>
      <ns0:c r="E60" s="31">
        <ns0:f>AVERAGE(F60:AC60)</ns0:f>
        <ns0:v>263.115416666667</ns0:v>
      </ns0:c>
      <ns0:c r="F60" s="43">
        <ns0:v>298.73</ns0:v>
      </ns0:c>
      <ns0:c r="G60" s="43">
        <ns0:v>293.58</ns0:v>
      </ns0:c>
      <ns0:c r="H60" s="43">
        <ns0:v>287.87</ns0:v>
      </ns0:c>
      <ns0:c r="I60" s="43">
        <ns0:v>283.32</ns0:v>
      </ns0:c>
      <ns0:c r="J60" s="43">
        <ns0:v>278.17</ns0:v>
      </ns0:c>
      <ns0:c r="K60" s="43">
        <ns0:v>277.32</ns0:v>
      </ns0:c>
      <ns0:c r="L60" s="43">
        <ns0:v>279.27</ns0:v>
      </ns0:c>
      <ns0:c r="M60" s="43">
        <ns0:v>280</ns0:v>
      </ns0:c>
      <ns0:c r="N60" s="43">
        <ns0:v>271.67</ns0:v>
      </ns0:c>
      <ns0:c r="O60" s="43">
        <ns0:v>265.22</ns0:v>
      </ns0:c>
      <ns0:c r="P60" s="43">
        <ns0:v>214.97</ns0:v>
      </ns0:c>
      <ns0:c r="Q60" s="43">
        <ns0:v>149.01</ns0:v>
      </ns0:c>
      <ns0:c r="R60" s="43">
        <ns0:v>150.81</ns0:v>
      </ns0:c>
      <ns0:c r="S60" s="43">
        <ns0:v>154.75</ns0:v>
      </ns0:c>
      <ns0:c r="T60" s="43">
        <ns0:v>167.22</ns0:v>
      </ns0:c>
      <ns0:c r="U60" s="43">
        <ns0:v>233.33</ns0:v>
      </ns0:c>
      <ns0:c r="V60" s="43">
        <ns0:v>274.47</ns0:v>
      </ns0:c>
      <ns0:c r="W60" s="43">
        <ns0:v>307.06</ns0:v>
      </ns0:c>
      <ns0:c r="X60" s="43">
        <ns0:v>324.82</ns0:v>
      </ns0:c>
      <ns0:c r="Y60" s="43">
        <ns0:v>330.51</ns0:v>
      </ns0:c>
      <ns0:c r="Z60" s="43">
        <ns0:v>319.5</ns0:v>
      </ns0:c>
      <ns0:c r="AA60" s="43">
        <ns0:v>311.79</ns0:v>
      </ns0:c>
      <ns0:c r="AB60" s="43">
        <ns0:v>292.07</ns0:v>
      </ns0:c>
      <ns0:c r="AC60" s="43">
        <ns0:v>269.31</ns0:v>
      </ns0:c>
    </ns0:row>
    <ns0:row r="61" spans="1:29">
      <ns0:c r="A61" s="32"/>
      <ns0:c r="B61" s="33"/>
      <ns0:c r="C61" s="32"/>
      <ns0:c r="D61" s="31" t="s">
        <ns0:v>49</ns0:v>
      </ns0:c>
      <ns0:c r="E61" s="31">
        <ns0:f>AVERAGE(F61:AC61)</ns0:f>
        <ns0:v>250.4775</ns0:v>
      </ns0:c>
      <ns0:c r="F61" s="43">
        <ns0:v>304.14</ns0:v>
      </ns0:c>
      <ns0:c r="G61" s="43">
        <ns0:v>287.51</ns0:v>
      </ns0:c>
      <ns0:c r="H61" s="43">
        <ns0:v>281.07</ns0:v>
      </ns0:c>
      <ns0:c r="I61" s="43">
        <ns0:v>276.31</ns0:v>
      </ns0:c>
      <ns0:c r="J61" s="43">
        <ns0:v>274.29</ns0:v>
      </ns0:c>
      <ns0:c r="K61" s="43">
        <ns0:v>271.17</ns0:v>
      </ns0:c>
      <ns0:c r="L61" s="43">
        <ns0:v>276.18</ns0:v>
      </ns0:c>
      <ns0:c r="M61" s="43">
        <ns0:v>277.95</ns0:v>
      </ns0:c>
      <ns0:c r="N61" s="43">
        <ns0:v>270.31</ns0:v>
      </ns0:c>
      <ns0:c r="O61" s="43">
        <ns0:v>228.03</ns0:v>
      </ns0:c>
      <ns0:c r="P61" s="43">
        <ns0:v>89.02</ns0:v>
      </ns0:c>
      <ns0:c r="Q61" s="43">
        <ns0:v>3.9</ns0:v>
      </ns0:c>
      <ns0:c r="R61" s="43">
        <ns0:v>-30.06</ns0:v>
      </ns0:c>
      <ns0:c r="S61" s="43">
        <ns0:v>-1.32</ns0:v>
      </ns0:c>
      <ns0:c r="T61" s="43">
        <ns0:v>-27.8</ns0:v>
      </ns0:c>
      <ns0:c r="U61" s="43">
        <ns0:v>69.42</ns0:v>
      </ns0:c>
      <ns0:c r="V61" s="43">
        <ns0:v>263.93</ns0:v>
      </ns0:c>
      <ns0:c r="W61" s="43">
        <ns0:v>337.27</ns0:v>
      </ns0:c>
      <ns0:c r="X61" s="43">
        <ns0:v>711.52</ns0:v>
      </ns0:c>
      <ns0:c r="Y61" s="43">
        <ns0:v>568.39</ns0:v>
      </ns0:c>
      <ns0:c r="Z61" s="43">
        <ns0:v>345.44</ns0:v>
      </ns0:c>
      <ns0:c r="AA61" s="43">
        <ns0:v>365.93</ns0:v>
      </ns0:c>
      <ns0:c r="AB61" s="43">
        <ns0:v>297.57</ns0:v>
      </ns0:c>
      <ns0:c r="AC61" s="43">
        <ns0:v>271.29</ns0:v>
      </ns0:c>
    </ns0:row>
    <ns0:row r="62" spans="1:29">
      <ns0:c r="A62" s="32"/>
      <ns0:c r="B62" s="33"/>
      <ns0:c r="C62" s="34"/>
      <ns0:c r="D62" s="31" t="s">
        <ns0:v>50</ns0:v>
      </ns0:c>
      <ns0:c r="E62" s="26">
        <ns0:f>E60-E61</ns0:f>
        <ns0:v>12.6379166666667</ns0:v>
      </ns0:c>
      <ns0:c r="F62" s="43">
        <ns0:f t="shared" ref="F62:AC62" si="37">(F60-F61)*1</ns0:f>
        <ns0:v>-5.40999999999997</ns0:v>
      </ns0:c>
      <ns0:c r="G62" s="43">
        <ns0:f t="shared" si="37"/>
        <ns0:v>6.06999999999999</ns0:v>
      </ns0:c>
      <ns0:c r="H62" s="43">
        <ns0:f t="shared" si="37"/>
        <ns0:v>6.80000000000001</ns0:v>
      </ns0:c>
      <ns0:c r="I62" s="43">
        <ns0:f t="shared" si="37"/>
        <ns0:v>7.00999999999999</ns0:v>
      </ns0:c>
      <ns0:c r="J62" s="43">
        <ns0:f t="shared" si="37"/>
        <ns0:v>3.88</ns0:v>
      </ns0:c>
      <ns0:c r="K62" s="43">
        <ns0:f t="shared" si="37"/>
        <ns0:v>6.14999999999998</ns0:v>
      </ns0:c>
      <ns0:c r="L62" s="43">
        <ns0:f t="shared" si="37"/>
        <ns0:v>3.08999999999997</ns0:v>
      </ns0:c>
      <ns0:c r="M62" s="43">
        <ns0:f t="shared" si="37"/>
        <ns0:v>2.05000000000001</ns0:v>
      </ns0:c>
      <ns0:c r="N62" s="43">
        <ns0:f t="shared" si="37"/>
        <ns0:v>1.36000000000001</ns0:v>
      </ns0:c>
      <ns0:c r="O62" s="43">
        <ns0:f t="shared" si="37"/>
        <ns0:v>37.19</ns0:v>
      </ns0:c>
      <ns0:c r="P62" s="43">
        <ns0:f t="shared" si="37"/>
        <ns0:v>125.95</ns0:v>
      </ns0:c>
      <ns0:c r="Q62" s="43">
        <ns0:f t="shared" si="37"/>
        <ns0:v>145.11</ns0:v>
      </ns0:c>
      <ns0:c r="R62" s="43">
        <ns0:f t="shared" si="37"/>
        <ns0:v>180.87</ns0:v>
      </ns0:c>
      <ns0:c r="S62" s="43">
        <ns0:f t="shared" si="37"/>
        <ns0:v>156.07</ns0:v>
      </ns0:c>
      <ns0:c r="T62" s="43">
        <ns0:f t="shared" si="37"/>
        <ns0:v>195.02</ns0:v>
      </ns0:c>
      <ns0:c r="U62" s="43">
        <ns0:f t="shared" si="37"/>
        <ns0:v>163.91</ns0:v>
      </ns0:c>
      <ns0:c r="V62" s="43">
        <ns0:f t="shared" si="37"/>
        <ns0:v>10.54</ns0:v>
      </ns0:c>
      <ns0:c r="W62" s="43">
        <ns0:f t="shared" si="37"/>
        <ns0:v>-30.21</ns0:v>
      </ns0:c>
      <ns0:c r="X62" s="43">
        <ns0:f t="shared" si="37"/>
        <ns0:v>-386.7</ns0:v>
      </ns0:c>
      <ns0:c r="Y62" s="43">
        <ns0:f t="shared" si="37"/>
        <ns0:v>-237.88</ns0:v>
      </ns0:c>
      <ns0:c r="Z62" s="43">
        <ns0:f t="shared" si="37"/>
        <ns0:v>-25.94</ns0:v>
      </ns0:c>
      <ns0:c r="AA62" s="43">
        <ns0:f t="shared" si="37"/>
        <ns0:v>-54.14</ns0:v>
      </ns0:c>
      <ns0:c r="AB62" s="43">
        <ns0:f t="shared" si="37"/>
        <ns0:v>-5.5</ns0:v>
      </ns0:c>
      <ns0:c r="AC62" s="43">
        <ns0:f t="shared" si="37"/>
        <ns0:v>-1.98000000000002</ns0:v>
      </ns0:c>
    </ns0:row>
    <ns0:row r="63" spans="1:29">
      <ns0:c r="A63" s="32"/>
      <ns0:c r="B63" s="33"/>
      <ns0:c r="C63" s="36" t="s">
        <ns0:v>52</ns0:v>
      </ns0:c>
      <ns0:c r="D63" s="37"/>
      <ns0:c r="E63" s="26">
        <ns0:f t="shared" ref="E63:E67" si="38">SUM(F63:AC63)</ns0:f>
        <ns0:v>211.503716</ns0:v>
      </ns0:c>
      <ns0:c r="F63" s="43">
        <ns0:f t="shared" ref="F63:AC63" si="39">(-F59*F62)*1</ns0:f>
        <ns0:v>-0.0546409999999997</ns0:v>
      </ns0:c>
      <ns0:c r="G63" s="43">
        <ns0:f t="shared" si="39"/>
        <ns0:v>0.0770889999999995</ns0:v>
      </ns0:c>
      <ns0:c r="H63" s="43">
        <ns0:f t="shared" si="39"/>
        <ns0:v>0.964920000000002</ns0:v>
      </ns0:c>
      <ns0:c r="I63" s="43">
        <ns0:f t="shared" si="39"/>
        <ns0:v>0.164034</ns0:v>
      </ns0:c>
      <ns0:c r="J63" s="43">
        <ns0:f t="shared" si="39"/>
        <ns0:v>0.923052</ns0:v>
      </ns0:c>
      <ns0:c r="K63" s="43">
        <ns0:f t="shared" si="39"/>
        <ns0:v>2.00797499999999</ns0:v>
      </ns0:c>
      <ns0:c r="L63" s="43">
        <ns0:f t="shared" si="39"/>
        <ns0:v>0.989108999999991</ns0:v>
      </ns0:c>
      <ns0:c r="M63" s="43">
        <ns0:f t="shared" si="39"/>
        <ns0:v>0.595525000000003</ns0:v>
      </ns0:c>
      <ns0:c r="N63" s="43">
        <ns0:f t="shared" si="39"/>
        <ns0:v>0.715632000000006</ns0:v>
      </ns0:c>
      <ns0:c r="O63" s="43">
        <ns0:f t="shared" si="39"/>
        <ns0:v>18.338389</ns0:v>
      </ns0:c>
      <ns0:c r="P63" s="43">
        <ns0:f t="shared" si="39"/>
        <ns0:v>48.553725</ns0:v>
      </ns0:c>
      <ns0:c r="Q63" s="43">
        <ns0:f t="shared" si="39"/>
        <ns0:v>-14.032137</ns0:v>
      </ns0:c>
      <ns0:c r="R63" s="43">
        <ns0:f t="shared" si="39"/>
        <ns0:v>58.619967</ns0:v>
      </ns0:c>
      <ns0:c r="S63" s="43">
        <ns0:f t="shared" si="39"/>
        <ns0:v>-14.124335</ns0:v>
      </ns0:c>
      <ns0:c r="T63" s="43">
        <ns0:f t="shared" si="39"/>
        <ns0:v>14.411978</ns0:v>
      </ns0:c>
      <ns0:c r="U63" s="43">
        <ns0:f t="shared" si="39"/>
        <ns0:v>56.499777</ns0:v>
      </ns0:c>
      <ns0:c r="V63" s="43">
        <ns0:f t="shared" si="39"/>
        <ns0:v>0.296174000000002</ns0:v>
      </ns0:c>
      <ns0:c r="W63" s="43">
        <ns0:f t="shared" si="39"/>
        <ns0:v>-2.359401</ns0:v>
      </ns0:c>
      <ns0:c r="X63" s="43">
        <ns0:f t="shared" si="39"/>
        <ns0:v>68.3298899999999</ns0:v>
      </ns0:c>
      <ns0:c r="Y63" s="43">
        <ns0:f t="shared" si="39"/>
        <ns0:v>-11.727484</ns0:v>
      </ns0:c>
      <ns0:c r="Z63" s="43">
        <ns0:f t="shared" si="39"/>
        <ns0:v>-4.988262</ns0:v>
      </ns0:c>
      <ns0:c r="AA63" s="43">
        <ns0:f t="shared" si="39"/>
        <ns0:v>-11.742966</ns0:v>
      </ns0:c>
      <ns0:c r="AB63" s="43">
        <ns0:f t="shared" si="39"/>
        <ns0:v>-0.83985</ns0:v>
      </ns0:c>
      <ns0:c r="AC63" s="43">
        <ns0:f t="shared" si="39"/>
        <ns0:v>-0.114444000000001</ns0:v>
      </ns0:c>
    </ns0:row>
    <ns0:row r="64" spans="1:29">
      <ns0:c r="A64" s="32"/>
      <ns0:c r="B64" s="33"/>
      <ns0:c r="C64" s="38" t="s">
        <ns0:v>53</ns0:v>
      </ns0:c>
      <ns0:c r="D64" s="37"/>
      <ns0:c r="E64" s="26">
        <ns0:f t="shared" si="38"/>
        <ns0:v>211.1113032</ns0:v>
      </ns0:c>
      <ns0:c r="F64" s="43">
        <ns0:f t="shared" ref="F64:AC64" si="40">(IF(F63&gt;0,ABS(MIN(F58*0.2,ABS(F59))*F62),F63))*1</ns0:f>
        <ns0:v>-0.0546409999999997</ns0:v>
      </ns0:c>
      <ns0:c r="G64" s="43">
        <ns0:f t="shared" si="40"/>
        <ns0:v>0.0770889999999995</ns0:v>
      </ns0:c>
      <ns0:c r="H64" s="43">
        <ns0:f t="shared" si="40"/>
        <ns0:v>0.964920000000002</ns0:v>
      </ns0:c>
      <ns0:c r="I64" s="43">
        <ns0:f t="shared" si="40"/>
        <ns0:v>0.164034</ns0:v>
      </ns0:c>
      <ns0:c r="J64" s="43">
        <ns0:f t="shared" si="40"/>
        <ns0:v>0.923052</ns0:v>
      </ns0:c>
      <ns0:c r="K64" s="43">
        <ns0:f t="shared" si="40"/>
        <ns0:v>1.77919499999999</ns0:v>
      </ns0:c>
      <ns0:c r="L64" s="43">
        <ns0:f t="shared" si="40"/>
        <ns0:v>0.865879799999992</ns0:v>
      </ns0:c>
      <ns0:c r="M64" s="43">
        <ns0:f t="shared" si="40"/>
        <ns0:v>0.581995000000003</ns0:v>
      </ns0:c>
      <ns0:c r="N64" s="43">
        <ns0:f t="shared" si="40"/>
        <ns0:v>0.688758400000005</ns0:v>
      </ns0:c>
      <ns0:c r="O64" s="43">
        <ns0:f t="shared" si="40"/>
        <ns0:v>18.338389</ns0:v>
      </ns0:c>
      <ns0:c r="P64" s="43">
        <ns0:f t="shared" si="40"/>
        <ns0:v>48.553725</ns0:v>
      </ns0:c>
      <ns0:c r="Q64" s="43">
        <ns0:f t="shared" si="40"/>
        <ns0:v>-14.032137</ns0:v>
      </ns0:c>
      <ns0:c r="R64" s="43">
        <ns0:f t="shared" si="40"/>
        <ns0:v>58.619967</ns0:v>
      </ns0:c>
      <ns0:c r="S64" s="43">
        <ns0:f t="shared" si="40"/>
        <ns0:v>-14.124335</ns0:v>
      </ns0:c>
      <ns0:c r="T64" s="43">
        <ns0:f t="shared" si="40"/>
        <ns0:v>14.411978</ns0:v>
      </ns0:c>
      <ns0:c r="U64" s="43">
        <ns0:f t="shared" si="40"/>
        <ns0:v>56.499777</ns0:v>
      </ns0:c>
      <ns0:c r="V64" s="43">
        <ns0:f t="shared" si="40"/>
        <ns0:v>0.296174000000002</ns0:v>
      </ns0:c>
      <ns0:c r="W64" s="43">
        <ns0:f t="shared" si="40"/>
        <ns0:v>-2.359401</ns0:v>
      </ns0:c>
      <ns0:c r="X64" s="43">
        <ns0:f t="shared" si="40"/>
        <ns0:v>68.3298899999999</ns0:v>
      </ns0:c>
      <ns0:c r="Y64" s="43">
        <ns0:f t="shared" si="40"/>
        <ns0:v>-11.727484</ns0:v>
      </ns0:c>
      <ns0:c r="Z64" s="43">
        <ns0:f t="shared" si="40"/>
        <ns0:v>-4.988262</ns0:v>
      </ns0:c>
      <ns0:c r="AA64" s="43">
        <ns0:f t="shared" si="40"/>
        <ns0:v>-11.742966</ns0:v>
      </ns0:c>
      <ns0:c r="AB64" s="43">
        <ns0:f t="shared" si="40"/>
        <ns0:v>-0.83985</ns0:v>
      </ns0:c>
      <ns0:c r="AC64" s="43">
        <ns0:f t="shared" si="40"/>
        <ns0:v>-0.114444000000001</ns0:v>
      </ns0:c>
    </ns0:row>
    <ns0:row r="65" spans="1:29">
      <ns0:c r="A65" s="32"/>
      <ns0:c r="B65" s="33"/>
      <ns0:c r="C65" s="39" t="s">
        <ns0:v>50</ns0:v>
      </ns0:c>
      <ns0:c r="D65" s="37"/>
      <ns0:c r="E65" s="44">
        <ns0:f>E63-E64</ns0:f>
        <ns0:v>0.392412800000017</ns0:v>
      </ns0:c>
      <ns0:c r="F65" s="26">
        <ns0:f t="shared" ref="F65:AC65" si="41">(F63-F64)*1</ns0:f>
        <ns0:v>0</ns0:v>
      </ns0:c>
      <ns0:c r="G65" s="26">
        <ns0:f t="shared" si="41"/>
        <ns0:v>0</ns0:v>
      </ns0:c>
      <ns0:c r="H65" s="26">
        <ns0:f t="shared" si="41"/>
        <ns0:v>0</ns0:v>
      </ns0:c>
      <ns0:c r="I65" s="26">
        <ns0:f t="shared" si="41"/>
        <ns0:v>0</ns0:v>
      </ns0:c>
      <ns0:c r="J65" s="26">
        <ns0:f t="shared" si="41"/>
        <ns0:v>0</ns0:v>
      </ns0:c>
      <ns0:c r="K65" s="26">
        <ns0:f t="shared" si="41"/>
        <ns0:v>0.228779999999998</ns0:v>
      </ns0:c>
      <ns0:c r="L65" s="26">
        <ns0:f t="shared" si="41"/>
        <ns0:v>0.123229199999999</ns0:v>
      </ns0:c>
      <ns0:c r="M65" s="26">
        <ns0:f t="shared" si="41"/>
        <ns0:v>0.01353</ns0:v>
      </ns0:c>
      <ns0:c r="N65" s="26">
        <ns0:f t="shared" si="41"/>
        <ns0:v>0.0268736000000005</ns0:v>
      </ns0:c>
      <ns0:c r="O65" s="26">
        <ns0:f t="shared" si="41"/>
        <ns0:v>0</ns0:v>
      </ns0:c>
      <ns0:c r="P65" s="26">
        <ns0:f t="shared" si="41"/>
        <ns0:v>0</ns0:v>
      </ns0:c>
      <ns0:c r="Q65" s="26">
        <ns0:f t="shared" si="41"/>
        <ns0:v>0</ns0:v>
      </ns0:c>
      <ns0:c r="R65" s="26">
        <ns0:f t="shared" si="41"/>
        <ns0:v>0</ns0:v>
      </ns0:c>
      <ns0:c r="S65" s="26">
        <ns0:f t="shared" si="41"/>
        <ns0:v>0</ns0:v>
      </ns0:c>
      <ns0:c r="T65" s="26">
        <ns0:f t="shared" si="41"/>
        <ns0:v>0</ns0:v>
      </ns0:c>
      <ns0:c r="U65" s="26">
        <ns0:f t="shared" si="41"/>
        <ns0:v>0</ns0:v>
      </ns0:c>
      <ns0:c r="V65" s="26">
        <ns0:f t="shared" si="41"/>
        <ns0:v>0</ns0:v>
      </ns0:c>
      <ns0:c r="W65" s="26">
        <ns0:f t="shared" si="41"/>
        <ns0:v>0</ns0:v>
      </ns0:c>
      <ns0:c r="X65" s="26">
        <ns0:f t="shared" si="41"/>
        <ns0:v>0</ns0:v>
      </ns0:c>
      <ns0:c r="Y65" s="26">
        <ns0:f t="shared" si="41"/>
        <ns0:v>0</ns0:v>
      </ns0:c>
      <ns0:c r="Z65" s="26">
        <ns0:f t="shared" si="41"/>
        <ns0:v>0</ns0:v>
      </ns0:c>
      <ns0:c r="AA65" s="26">
        <ns0:f t="shared" si="41"/>
        <ns0:v>0</ns0:v>
      </ns0:c>
      <ns0:c r="AB65" s="26">
        <ns0:f t="shared" si="41"/>
        <ns0:v>0</ns0:v>
      </ns0:c>
      <ns0:c r="AC65" s="26">
        <ns0:f t="shared" si="41"/>
        <ns0:v>0</ns0:v>
      </ns0:c>
    </ns0:row>
    <ns0:row r="66" spans="1:29">
      <ns0:c r="A66" s="29">
        <ns0:v>45999</ns0:v>
      </ns0:c>
      <ns0:c r="B66" s="30">
        <ns0:f>E73</ns0:f>
        <ns0:v>-29.1855746000001</ns0:v>
      </ns0:c>
      <ns0:c r="C66" s="31" t="s">
        <ns0:v>47</ns0:v>
      </ns0:c>
      <ns0:c r="D66" s="31" t="s">
        <ns0:v>48</ns0:v>
      </ns0:c>
      <ns0:c r="E66" s="42">
        <ns0:f t="shared" si="38"/>
        <ns0:v>47.016</ns0:v>
      </ns0:c>
      <ns0:c r="F66" s="43">
        <ns0:v>1.097</ns0:v>
      </ns0:c>
      <ns0:c r="G66" s="43">
        <ns0:v>1.115</ns0:v>
      </ns0:c>
      <ns0:c r="H66" s="43">
        <ns0:v>1.078</ns0:v>
      </ns0:c>
      <ns0:c r="I66" s="43">
        <ns0:v>0.968</ns0:v>
      </ns0:c>
      <ns0:c r="J66" s="43">
        <ns0:v>0.883</ns0:v>
      </ns0:c>
      <ns0:c r="K66" s="43">
        <ns0:v>0.907</ns0:v>
      </ns0:c>
      <ns0:c r="L66" s="43">
        <ns0:v>1.054</ns0:v>
      </ns0:c>
      <ns0:c r="M66" s="43">
        <ns0:v>1.305</ns0:v>
      </ns0:c>
      <ns0:c r="N66" s="43">
        <ns0:v>2.714</ns0:v>
      </ns0:c>
      <ns0:c r="O66" s="43">
        <ns0:v>2.76</ns0:v>
      </ns0:c>
      <ns0:c r="P66" s="43">
        <ns0:v>2.248</ns0:v>
      </ns0:c>
      <ns0:c r="Q66" s="43">
        <ns0:v>2.436</ns0:v>
      </ns0:c>
      <ns0:c r="R66" s="43">
        <ns0:v>2.081</ns0:v>
      </ns0:c>
      <ns0:c r="S66" s="43">
        <ns0:v>2.443</ns0:v>
      </ns0:c>
      <ns0:c r="T66" s="43">
        <ns0:v>2.562</ns0:v>
      </ns0:c>
      <ns0:c r="U66" s="43">
        <ns0:v>2.758</ns0:v>
      </ns0:c>
      <ns0:c r="V66" s="43">
        <ns0:v>2.946</ns0:v>
      </ns0:c>
      <ns0:c r="W66" s="43">
        <ns0:v>2.866</ns0:v>
      </ns0:c>
      <ns0:c r="X66" s="43">
        <ns0:v>2.639</ns0:v>
      </ns0:c>
      <ns0:c r="Y66" s="43">
        <ns0:v>2.715</ns0:v>
      </ns0:c>
      <ns0:c r="Z66" s="43">
        <ns0:v>2.57</ns0:v>
      </ns0:c>
      <ns0:c r="AA66" s="43">
        <ns0:v>2.14</ns0:v>
      </ns0:c>
      <ns0:c r="AB66" s="43">
        <ns0:v>1.482</ns0:v>
      </ns0:c>
      <ns0:c r="AC66" s="43">
        <ns0:v>1.249</ns0:v>
      </ns0:c>
    </ns0:row>
    <ns0:row r="67" spans="1:29">
      <ns0:c r="A67" s="32"/>
      <ns0:c r="B67" s="33"/>
      <ns0:c r="C67" s="32"/>
      <ns0:c r="D67" s="6" t="s">
        <ns0:v>49</ns0:v>
      </ns0:c>
      <ns0:c r="E67" s="42">
        <ns0:f t="shared" si="38"/>
        <ns0:v>60.637</ns0:v>
      </ns0:c>
      <ns0:c r="F67" s="43">
        <ns0:v>1.2914</ns0:v>
      </ns0:c>
      <ns0:c r="G67" s="43">
        <ns0:v>1.3249</ns0:v>
      </ns0:c>
      <ns0:c r="H67" s="43">
        <ns0:v>1.3515</ns0:v>
      </ns0:c>
      <ns0:c r="I67" s="43">
        <ns0:v>1.38</ns0:v>
      </ns0:c>
      <ns0:c r="J67" s="43">
        <ns0:v>1.3235</ns0:v>
      </ns0:c>
      <ns0:c r="K67" s="43">
        <ns0:v>1.3294</ns0:v>
      </ns0:c>
      <ns0:c r="L67" s="43">
        <ns0:v>1.2722</ns0:v>
      </ns0:c>
      <ns0:c r="M67" s="43">
        <ns0:v>1.7535</ns0:v>
      </ns0:c>
      <ns0:c r="N67" s="43">
        <ns0:v>3.451</ns0:v>
      </ns0:c>
      <ns0:c r="O67" s="43">
        <ns0:v>3.8818</ns0:v>
      </ns0:c>
      <ns0:c r="P67" s="43">
        <ns0:v>3.2538</ns0:v>
      </ns0:c>
      <ns0:c r="Q67" s="43">
        <ns0:v>3.1688</ns0:v>
      </ns0:c>
      <ns0:c r="R67" s="43">
        <ns0:v>2.6775</ns0:v>
      </ns0:c>
      <ns0:c r="S67" s="43">
        <ns0:v>3.1968</ns0:v>
      </ns0:c>
      <ns0:c r="T67" s="43">
        <ns0:v>3.7112</ns0:v>
      </ns0:c>
      <ns0:c r="U67" s="43">
        <ns0:v>3.5804</ns0:v>
      </ns0:c>
      <ns0:c r="V67" s="43">
        <ns0:v>3.7694</ns0:v>
      </ns0:c>
      <ns0:c r="W67" s="43">
        <ns0:v>3.6423</ns0:v>
      </ns0:c>
      <ns0:c r="X67" s="43">
        <ns0:v>3.2426</ns0:v>
      </ns0:c>
      <ns0:c r="Y67" s="43">
        <ns0:v>3.2346</ns0:v>
      </ns0:c>
      <ns0:c r="Z67" s="43">
        <ns0:v>2.8762</ns0:v>
      </ns0:c>
      <ns0:c r="AA67" s="43">
        <ns0:v>2.434</ns0:v>
      </ns0:c>
      <ns0:c r="AB67" s="43">
        <ns0:v>1.8826</ns0:v>
      </ns0:c>
      <ns0:c r="AC67" s="43">
        <ns0:v>1.6076</ns0:v>
      </ns0:c>
    </ns0:row>
    <ns0:row r="68" spans="1:29">
      <ns0:c r="A68" s="32"/>
      <ns0:c r="B68" s="33"/>
      <ns0:c r="C68" s="34"/>
      <ns0:c r="D68" s="31" t="s">
        <ns0:v>50</ns0:v>
      </ns0:c>
      <ns0:c r="E68" s="26">
        <ns0:f>E66-E67</ns0:f>
        <ns0:v>-13.621</ns0:v>
      </ns0:c>
      <ns0:c r="F68" s="43">
        <ns0:f t="shared" ref="F68:AC68" si="42">(F66-F67)*1</ns0:f>
        <ns0:v>-0.1944</ns0:v>
      </ns0:c>
      <ns0:c r="G68" s="43">
        <ns0:f t="shared" si="42"/>
        <ns0:v>-0.2099</ns0:v>
      </ns0:c>
      <ns0:c r="H68" s="43">
        <ns0:f t="shared" si="42"/>
        <ns0:v>-0.2735</ns0:v>
      </ns0:c>
      <ns0:c r="I68" s="43">
        <ns0:f t="shared" si="42"/>
        <ns0:v>-0.412</ns0:v>
      </ns0:c>
      <ns0:c r="J68" s="43">
        <ns0:f t="shared" si="42"/>
        <ns0:v>-0.4405</ns0:v>
      </ns0:c>
      <ns0:c r="K68" s="43">
        <ns0:f t="shared" si="42"/>
        <ns0:v>-0.4224</ns0:v>
      </ns0:c>
      <ns0:c r="L68" s="43">
        <ns0:f t="shared" si="42"/>
        <ns0:v>-0.2182</ns0:v>
      </ns0:c>
      <ns0:c r="M68" s="43">
        <ns0:f t="shared" si="42"/>
        <ns0:v>-0.4485</ns0:v>
      </ns0:c>
      <ns0:c r="N68" s="43">
        <ns0:f t="shared" si="42"/>
        <ns0:v>-0.737</ns0:v>
      </ns0:c>
      <ns0:c r="O68" s="43">
        <ns0:f t="shared" si="42"/>
        <ns0:v>-1.1218</ns0:v>
      </ns0:c>
      <ns0:c r="P68" s="43">
        <ns0:f t="shared" si="42"/>
        <ns0:v>-1.0058</ns0:v>
      </ns0:c>
      <ns0:c r="Q68" s="43">
        <ns0:f t="shared" si="42"/>
        <ns0:v>-0.7328</ns0:v>
      </ns0:c>
      <ns0:c r="R68" s="43">
        <ns0:f t="shared" si="42"/>
        <ns0:v>-0.5965</ns0:v>
      </ns0:c>
      <ns0:c r="S68" s="43">
        <ns0:f t="shared" si="42"/>
        <ns0:v>-0.7538</ns0:v>
      </ns0:c>
      <ns0:c r="T68" s="43">
        <ns0:f t="shared" si="42"/>
        <ns0:v>-1.1492</ns0:v>
      </ns0:c>
      <ns0:c r="U68" s="43">
        <ns0:f t="shared" si="42"/>
        <ns0:v>-0.8224</ns0:v>
      </ns0:c>
      <ns0:c r="V68" s="43">
        <ns0:f t="shared" si="42"/>
        <ns0:v>-0.8234</ns0:v>
      </ns0:c>
      <ns0:c r="W68" s="43">
        <ns0:f t="shared" si="42"/>
        <ns0:v>-0.7763</ns0:v>
      </ns0:c>
      <ns0:c r="X68" s="43">
        <ns0:f t="shared" si="42"/>
        <ns0:v>-0.6036</ns0:v>
      </ns0:c>
      <ns0:c r="Y68" s="43">
        <ns0:f t="shared" si="42"/>
        <ns0:v>-0.5196</ns0:v>
      </ns0:c>
      <ns0:c r="Z68" s="43">
        <ns0:f t="shared" si="42"/>
        <ns0:v>-0.3062</ns0:v>
      </ns0:c>
      <ns0:c r="AA68" s="43">
        <ns0:f t="shared" si="42"/>
        <ns0:v>-0.294</ns0:v>
      </ns0:c>
      <ns0:c r="AB68" s="43">
        <ns0:f t="shared" si="42"/>
        <ns0:v>-0.4006</ns0:v>
      </ns0:c>
      <ns0:c r="AC68" s="43">
        <ns0:f t="shared" si="42"/>
        <ns0:v>-0.3586</ns0:v>
      </ns0:c>
    </ns0:row>
    <ns0:row r="69" spans="1:29">
      <ns0:c r="A69" s="32"/>
      <ns0:c r="B69" s="33"/>
      <ns0:c r="C69" s="35" t="s">
        <ns0:v>51</ns0:v>
      </ns0:c>
      <ns0:c r="D69" s="31" t="s">
        <ns0:v>48</ns0:v>
      </ns0:c>
      <ns0:c r="E69" s="31">
        <ns0:f>AVERAGE(F69:AC69)</ns0:f>
        <ns0:v>260.362916666667</ns0:v>
      </ns0:c>
      <ns0:c r="F69" s="43">
        <ns0:v>280.17</ns0:v>
      </ns0:c>
      <ns0:c r="G69" s="43">
        <ns0:v>272.08</ns0:v>
      </ns0:c>
      <ns0:c r="H69" s="43">
        <ns0:v>265.99</ns0:v>
      </ns0:c>
      <ns0:c r="I69" s="43">
        <ns0:v>262.42</ns0:v>
      </ns0:c>
      <ns0:c r="J69" s="43">
        <ns0:v>258.49</ns0:v>
      </ns0:c>
      <ns0:c r="K69" s="43">
        <ns0:v>258.96</ns0:v>
      </ns0:c>
      <ns0:c r="L69" s="43">
        <ns0:v>267.51</ns0:v>
      </ns0:c>
      <ns0:c r="M69" s="43">
        <ns0:v>271.37</ns0:v>
      </ns0:c>
      <ns0:c r="N69" s="43">
        <ns0:v>283.26</ns0:v>
      </ns0:c>
      <ns0:c r="O69" s="43">
        <ns0:v>278.46</ns0:v>
      </ns0:c>
      <ns0:c r="P69" s="43">
        <ns0:v>228.63</ns0:v>
      </ns0:c>
      <ns0:c r="Q69" s="43">
        <ns0:v>160.58</ns0:v>
      </ns0:c>
      <ns0:c r="R69" s="43">
        <ns0:v>96.51</ns0:v>
      </ns0:c>
      <ns0:c r="S69" s="43">
        <ns0:v>122.93</ns0:v>
      </ns0:c>
      <ns0:c r="T69" s="43">
        <ns0:v>166.06</ns0:v>
      </ns0:c>
      <ns0:c r="U69" s="43">
        <ns0:v>252</ns0:v>
      </ns0:c>
      <ns0:c r="V69" s="43">
        <ns0:v>282.9</ns0:v>
      </ns0:c>
      <ns0:c r="W69" s="43">
        <ns0:v>317.1</ns0:v>
      </ns0:c>
      <ns0:c r="X69" s="43">
        <ns0:v>344.49</ns0:v>
      </ns0:c>
      <ns0:c r="Y69" s="43">
        <ns0:v>351.18</ns0:v>
      </ns0:c>
      <ns0:c r="Z69" s="43">
        <ns0:v>337.96</ns0:v>
      </ns0:c>
      <ns0:c r="AA69" s="43">
        <ns0:v>314.98</ns0:v>
      </ns0:c>
      <ns0:c r="AB69" s="43">
        <ns0:v>299.65</ns0:v>
      </ns0:c>
      <ns0:c r="AC69" s="43">
        <ns0:v>275.03</ns0:v>
      </ns0:c>
    </ns0:row>
    <ns0:row r="70" spans="1:29">
      <ns0:c r="A70" s="32"/>
      <ns0:c r="B70" s="33"/>
      <ns0:c r="C70" s="32"/>
      <ns0:c r="D70" s="31" t="s">
        <ns0:v>49</ns0:v>
      </ns0:c>
      <ns0:c r="E70" s="31">
        <ns0:f>AVERAGE(F70:AC70)</ns0:f>
        <ns0:v>262.767083333333</ns0:v>
      </ns0:c>
      <ns0:c r="F70" s="43">
        <ns0:v>278.8</ns0:v>
      </ns0:c>
      <ns0:c r="G70" s="43">
        <ns0:v>265.86</ns0:v>
      </ns0:c>
      <ns0:c r="H70" s="43">
        <ns0:v>261.46</ns0:v>
      </ns0:c>
      <ns0:c r="I70" s="43">
        <ns0:v>251.13</ns0:v>
      </ns0:c>
      <ns0:c r="J70" s="43">
        <ns0:v>239.18</ns0:v>
      </ns0:c>
      <ns0:c r="K70" s="43">
        <ns0:v>242.74</ns0:v>
      </ns0:c>
      <ns0:c r="L70" s="43">
        <ns0:v>264.53</ns0:v>
      </ns0:c>
      <ns0:c r="M70" s="43">
        <ns0:v>271.52</ns0:v>
      </ns0:c>
      <ns0:c r="N70" s="43">
        <ns0:v>273.49</ns0:v>
      </ns0:c>
      <ns0:c r="O70" s="43">
        <ns0:v>195.99</ns0:v>
      </ns0:c>
      <ns0:c r="P70" s="43">
        <ns0:v>134.88</ns0:v>
      </ns0:c>
      <ns0:c r="Q70" s="43">
        <ns0:v>108.75</ns0:v>
      </ns0:c>
      <ns0:c r="R70" s="43">
        <ns0:v>-7.65</ns0:v>
      </ns0:c>
      <ns0:c r="S70" s="43">
        <ns0:v>37.98</ns0:v>
      </ns0:c>
      <ns0:c r="T70" s="43">
        <ns0:v>21.71</ns0:v>
      </ns0:c>
      <ns0:c r="U70" s="43">
        <ns0:v>151.04</ns0:v>
      </ns0:c>
      <ns0:c r="V70" s="43">
        <ns0:v>281.7</ns0:v>
      </ns0:c>
      <ns0:c r="W70" s="43">
        <ns0:v>447.56</ns0:v>
      </ns0:c>
      <ns0:c r="X70" s="43">
        <ns0:v>994.54</ns0:v>
      </ns0:c>
      <ns0:c r="Y70" s="43">
        <ns0:v>365.04</ns0:v>
      </ns0:c>
      <ns0:c r="Z70" s="43">
        <ns0:v>360.95</ns0:v>
      </ns0:c>
      <ns0:c r="AA70" s="43">
        <ns0:v>296.86</ns0:v>
      </ns0:c>
      <ns0:c r="AB70" s="43">
        <ns0:v>292.65</ns0:v>
      </ns0:c>
      <ns0:c r="AC70" s="43">
        <ns0:v>275.7</ns0:v>
      </ns0:c>
    </ns0:row>
    <ns0:row r="71" spans="1:29">
      <ns0:c r="A71" s="32"/>
      <ns0:c r="B71" s="33"/>
      <ns0:c r="C71" s="34"/>
      <ns0:c r="D71" s="31" t="s">
        <ns0:v>50</ns0:v>
      </ns0:c>
      <ns0:c r="E71" s="26">
        <ns0:f>E69-E70</ns0:f>
        <ns0:v>-2.40416666666658</ns0:v>
      </ns0:c>
      <ns0:c r="F71" s="43">
        <ns0:f t="shared" ref="F71:AC71" si="43">(F69-F70)*1</ns0:f>
        <ns0:v>1.37</ns0:v>
      </ns0:c>
      <ns0:c r="G71" s="43">
        <ns0:f t="shared" si="43"/>
        <ns0:v>6.21999999999997</ns0:v>
      </ns0:c>
      <ns0:c r="H71" s="43">
        <ns0:f t="shared" si="43"/>
        <ns0:v>4.53000000000003</ns0:v>
      </ns0:c>
      <ns0:c r="I71" s="43">
        <ns0:f t="shared" si="43"/>
        <ns0:v>11.29</ns0:v>
      </ns0:c>
      <ns0:c r="J71" s="43">
        <ns0:f t="shared" si="43"/>
        <ns0:v>19.31</ns0:v>
      </ns0:c>
      <ns0:c r="K71" s="43">
        <ns0:f t="shared" si="43"/>
        <ns0:v>16.22</ns0:v>
      </ns0:c>
      <ns0:c r="L71" s="43">
        <ns0:f t="shared" si="43"/>
        <ns0:v>2.98000000000002</ns0:v>
      </ns0:c>
      <ns0:c r="M71" s="43">
        <ns0:f t="shared" si="43"/>
        <ns0:v>-0.149999999999977</ns0:v>
      </ns0:c>
      <ns0:c r="N71" s="43">
        <ns0:f t="shared" si="43"/>
        <ns0:v>9.76999999999998</ns0:v>
      </ns0:c>
      <ns0:c r="O71" s="43">
        <ns0:f t="shared" si="43"/>
        <ns0:v>82.47</ns0:v>
      </ns0:c>
      <ns0:c r="P71" s="43">
        <ns0:f t="shared" si="43"/>
        <ns0:v>93.75</ns0:v>
      </ns0:c>
      <ns0:c r="Q71" s="43">
        <ns0:f t="shared" si="43"/>
        <ns0:v>51.83</ns0:v>
      </ns0:c>
      <ns0:c r="R71" s="43">
        <ns0:f t="shared" si="43"/>
        <ns0:v>104.16</ns0:v>
      </ns0:c>
      <ns0:c r="S71" s="43">
        <ns0:f t="shared" si="43"/>
        <ns0:v>84.95</ns0:v>
      </ns0:c>
      <ns0:c r="T71" s="43">
        <ns0:f t="shared" si="43"/>
        <ns0:v>144.35</ns0:v>
      </ns0:c>
      <ns0:c r="U71" s="43">
        <ns0:f t="shared" si="43"/>
        <ns0:v>100.96</ns0:v>
      </ns0:c>
      <ns0:c r="V71" s="43">
        <ns0:f t="shared" si="43"/>
        <ns0:v>1.19999999999999</ns0:v>
      </ns0:c>
      <ns0:c r="W71" s="43">
        <ns0:f t="shared" si="43"/>
        <ns0:v>-130.46</ns0:v>
      </ns0:c>
      <ns0:c r="X71" s="43">
        <ns0:f t="shared" si="43"/>
        <ns0:v>-650.05</ns0:v>
      </ns0:c>
      <ns0:c r="Y71" s="43">
        <ns0:f t="shared" si="43"/>
        <ns0:v>-13.86</ns0:v>
      </ns0:c>
      <ns0:c r="Z71" s="43">
        <ns0:f t="shared" si="43"/>
        <ns0:v>-22.99</ns0:v>
      </ns0:c>
      <ns0:c r="AA71" s="43">
        <ns0:f t="shared" si="43"/>
        <ns0:v>18.12</ns0:v>
      </ns0:c>
      <ns0:c r="AB71" s="43">
        <ns0:f t="shared" si="43"/>
        <ns0:v>7</ns0:v>
      </ns0:c>
      <ns0:c r="AC71" s="43">
        <ns0:f t="shared" si="43"/>
        <ns0:v>-0.670000000000016</ns0:v>
      </ns0:c>
    </ns0:row>
    <ns0:row r="72" spans="1:29">
      <ns0:c r="A72" s="32"/>
      <ns0:c r="B72" s="33"/>
      <ns0:c r="C72" s="36" t="s">
        <ns0:v>52</ns0:v>
      </ns0:c>
      <ns0:c r="D72" s="37"/>
      <ns0:c r="E72" s="26">
        <ns0:f t="shared" ref="E72:E76" si="44">SUM(F72:AC72)</ns0:f>
        <ns0:v>131.467895</ns0:v>
      </ns0:c>
      <ns0:c r="F72" s="43">
        <ns0:f t="shared" ref="F72:AC72" si="45">(-F68*F71)*1</ns0:f>
        <ns0:v>0.266328</ns0:v>
      </ns0:c>
      <ns0:c r="G72" s="43">
        <ns0:f t="shared" si="45"/>
        <ns0:v>1.30557799999999</ns0:v>
      </ns0:c>
      <ns0:c r="H72" s="43">
        <ns0:f t="shared" si="45"/>
        <ns0:v>1.23895500000001</ns0:v>
      </ns0:c>
      <ns0:c r="I72" s="43">
        <ns0:f t="shared" si="45"/>
        <ns0:v>4.65148</ns0:v>
      </ns0:c>
      <ns0:c r="J72" s="43">
        <ns0:f t="shared" si="45"/>
        <ns0:v>8.506055</ns0:v>
      </ns0:c>
      <ns0:c r="K72" s="43">
        <ns0:f t="shared" si="45"/>
        <ns0:v>6.851328</ns0:v>
      </ns0:c>
      <ns0:c r="L72" s="43">
        <ns0:f t="shared" si="45"/>
        <ns0:v>0.650236000000004</ns0:v>
      </ns0:c>
      <ns0:c r="M72" s="43">
        <ns0:f t="shared" si="45"/>
        <ns0:v>-0.0672749999999897</ns0:v>
      </ns0:c>
      <ns0:c r="N72" s="43">
        <ns0:f t="shared" si="45"/>
        <ns0:v>7.20048999999999</ns0:v>
      </ns0:c>
      <ns0:c r="O72" s="43">
        <ns0:f t="shared" si="45"/>
        <ns0:v>92.514846</ns0:v>
      </ns0:c>
      <ns0:c r="P72" s="43">
        <ns0:f t="shared" si="45"/>
        <ns0:v>94.29375</ns0:v>
      </ns0:c>
      <ns0:c r="Q72" s="43">
        <ns0:f t="shared" si="45"/>
        <ns0:v>37.981024</ns0:v>
      </ns0:c>
      <ns0:c r="R72" s="43">
        <ns0:f t="shared" si="45"/>
        <ns0:v>62.13144</ns0:v>
      </ns0:c>
      <ns0:c r="S72" s="43">
        <ns0:f t="shared" si="45"/>
        <ns0:v>64.03531</ns0:v>
      </ns0:c>
      <ns0:c r="T72" s="43">
        <ns0:f t="shared" si="45"/>
        <ns0:v>165.88702</ns0:v>
      </ns0:c>
      <ns0:c r="U72" s="43">
        <ns0:f t="shared" si="45"/>
        <ns0:v>83.029504</ns0:v>
      </ns0:c>
      <ns0:c r="V72" s="43">
        <ns0:f t="shared" si="45"/>
        <ns0:v>0.988079999999992</ns0:v>
      </ns0:c>
      <ns0:c r="W72" s="43">
        <ns0:f t="shared" si="45"/>
        <ns0:v>-101.276098</ns0:v>
      </ns0:c>
      <ns0:c r="X72" s="43">
        <ns0:f t="shared" si="45"/>
        <ns0:v>-392.37018</ns0:v>
      </ns0:c>
      <ns0:c r="Y72" s="43">
        <ns0:f t="shared" si="45"/>
        <ns0:v>-7.201656</ns0:v>
      </ns0:c>
      <ns0:c r="Z72" s="43">
        <ns0:f t="shared" si="45"/>
        <ns0:v>-7.039538</ns0:v>
      </ns0:c>
      <ns0:c r="AA72" s="43">
        <ns0:f t="shared" si="45"/>
        <ns0:v>5.32728</ns0:v>
      </ns0:c>
      <ns0:c r="AB72" s="43">
        <ns0:f t="shared" si="45"/>
        <ns0:v>2.8042</ns0:v>
      </ns0:c>
      <ns0:c r="AC72" s="43">
        <ns0:f t="shared" si="45"/>
        <ns0:v>-0.240262000000006</ns0:v>
      </ns0:c>
    </ns0:row>
    <ns0:row r="73" spans="1:29">
      <ns0:c r="A73" s="32"/>
      <ns0:c r="B73" s="33"/>
      <ns0:c r="C73" s="38" t="s">
        <ns0:v>53</ns0:v>
      </ns0:c>
      <ns0:c r="D73" s="37"/>
      <ns0:c r="E73" s="26">
        <ns0:f t="shared" si="44"/>
        <ns0:v>-29.1855746000001</ns0:v>
      </ns0:c>
      <ns0:c r="F73" s="43">
        <ns0:f t="shared" ref="F73:AC73" si="46">(IF(F72&gt;0,ABS(MIN(F67*0.2,ABS(F68))*F71),F72))*1</ns0:f>
        <ns0:v>0.266328</ns0:v>
      </ns0:c>
      <ns0:c r="G73" s="43">
        <ns0:f t="shared" si="46"/>
        <ns0:v>1.30557799999999</ns0:v>
      </ns0:c>
      <ns0:c r="H73" s="43">
        <ns0:f t="shared" si="46"/>
        <ns0:v>1.22445900000001</ns0:v>
      </ns0:c>
      <ns0:c r="I73" s="43">
        <ns0:f t="shared" si="46"/>
        <ns0:v>3.11604</ns0:v>
      </ns0:c>
      <ns0:c r="J73" s="43">
        <ns0:f t="shared" si="46"/>
        <ns0:v>5.111357</ns0:v>
      </ns0:c>
      <ns0:c r="K73" s="43">
        <ns0:f t="shared" si="46"/>
        <ns0:v>4.3125736</ns0:v>
      </ns0:c>
      <ns0:c r="L73" s="43">
        <ns0:f t="shared" si="46"/>
        <ns0:v>0.650236000000004</ns0:v>
      </ns0:c>
      <ns0:c r="M73" s="43">
        <ns0:f t="shared" si="46"/>
        <ns0:v>-0.0672749999999897</ns0:v>
      </ns0:c>
      <ns0:c r="N73" s="43">
        <ns0:f t="shared" si="46"/>
        <ns0:v>6.74325399999999</ns0:v>
      </ns0:c>
      <ns0:c r="O73" s="43">
        <ns0:f t="shared" si="46"/>
        <ns0:v>64.0264092</ns0:v>
      </ns0:c>
      <ns0:c r="P73" s="43">
        <ns0:f t="shared" si="46"/>
        <ns0:v>61.00875</ns0:v>
      </ns0:c>
      <ns0:c r="Q73" s="43">
        <ns0:f t="shared" si="46"/>
        <ns0:v>32.8477808</ns0:v>
      </ns0:c>
      <ns0:c r="R73" s="43">
        <ns0:f t="shared" si="46"/>
        <ns0:v>55.77768</ns0:v>
      </ns0:c>
      <ns0:c r="S73" s="43">
        <ns0:f t="shared" si="46"/>
        <ns0:v>54.313632</ns0:v>
      </ns0:c>
      <ns0:c r="T73" s="43">
        <ns0:f t="shared" si="46"/>
        <ns0:v>107.142344</ns0:v>
      </ns0:c>
      <ns0:c r="U73" s="43">
        <ns0:f t="shared" si="46"/>
        <ns0:v>72.2954368</ns0:v>
      </ns0:c>
      <ns0:c r="V73" s="43">
        <ns0:f t="shared" si="46"/>
        <ns0:v>0.904655999999993</ns0:v>
      </ns0:c>
      <ns0:c r="W73" s="43">
        <ns0:f t="shared" si="46"/>
        <ns0:v>-101.276098</ns0:v>
      </ns0:c>
      <ns0:c r="X73" s="43">
        <ns0:f t="shared" si="46"/>
        <ns0:v>-392.37018</ns0:v>
      </ns0:c>
      <ns0:c r="Y73" s="43">
        <ns0:f t="shared" si="46"/>
        <ns0:v>-7.201656</ns0:v>
      </ns0:c>
      <ns0:c r="Z73" s="43">
        <ns0:f t="shared" si="46"/>
        <ns0:v>-7.039538</ns0:v>
      </ns0:c>
      <ns0:c r="AA73" s="43">
        <ns0:f t="shared" si="46"/>
        <ns0:v>5.32728</ns0:v>
      </ns0:c>
      <ns0:c r="AB73" s="43">
        <ns0:f t="shared" si="46"/>
        <ns0:v>2.63564</ns0:v>
      </ns0:c>
      <ns0:c r="AC73" s="43">
        <ns0:f t="shared" si="46"/>
        <ns0:v>-0.240262000000006</ns0:v>
      </ns0:c>
    </ns0:row>
    <ns0:row r="74" spans="1:29">
      <ns0:c r="A74" s="32"/>
      <ns0:c r="B74" s="33"/>
      <ns0:c r="C74" s="39" t="s">
        <ns0:v>50</ns0:v>
      </ns0:c>
      <ns0:c r="D74" s="37"/>
      <ns0:c r="E74" s="44">
        <ns0:f>E72-E73</ns0:f>
        <ns0:v>160.6534696</ns0:v>
      </ns0:c>
      <ns0:c r="F74" s="26">
        <ns0:f t="shared" ref="F74:AC74" si="47">(F72-F73)*1</ns0:f>
        <ns0:v>0</ns0:v>
      </ns0:c>
      <ns0:c r="G74" s="26">
        <ns0:f t="shared" si="47"/>
        <ns0:v>0</ns0:v>
      </ns0:c>
      <ns0:c r="H74" s="26">
        <ns0:f t="shared" si="47"/>
        <ns0:v>0.0144959999999994</ns0:v>
      </ns0:c>
      <ns0:c r="I74" s="26">
        <ns0:f t="shared" si="47"/>
        <ns0:v>1.53544</ns0:v>
      </ns0:c>
      <ns0:c r="J74" s="26">
        <ns0:f t="shared" si="47"/>
        <ns0:v>3.394698</ns0:v>
      </ns0:c>
      <ns0:c r="K74" s="26">
        <ns0:f t="shared" si="47"/>
        <ns0:v>2.5387544</ns0:v>
      </ns0:c>
      <ns0:c r="L74" s="26">
        <ns0:f t="shared" si="47"/>
        <ns0:v>0</ns0:v>
      </ns0:c>
      <ns0:c r="M74" s="26">
        <ns0:f t="shared" si="47"/>
        <ns0:v>0</ns0:v>
      </ns0:c>
      <ns0:c r="N74" s="26">
        <ns0:f t="shared" si="47"/>
        <ns0:v>0.457235999999999</ns0:v>
      </ns0:c>
      <ns0:c r="O74" s="26">
        <ns0:f t="shared" si="47"/>
        <ns0:v>28.4884368</ns0:v>
      </ns0:c>
      <ns0:c r="P74" s="26">
        <ns0:f t="shared" si="47"/>
        <ns0:v>33.285</ns0:v>
      </ns0:c>
      <ns0:c r="Q74" s="26">
        <ns0:f t="shared" si="47"/>
        <ns0:v>5.1332432</ns0:v>
      </ns0:c>
      <ns0:c r="R74" s="26">
        <ns0:f t="shared" si="47"/>
        <ns0:v>6.35376000000002</ns0:v>
      </ns0:c>
      <ns0:c r="S74" s="26">
        <ns0:f t="shared" si="47"/>
        <ns0:v>9.721678</ns0:v>
      </ns0:c>
      <ns0:c r="T74" s="26">
        <ns0:f t="shared" si="47"/>
        <ns0:v>58.744676</ns0:v>
      </ns0:c>
      <ns0:c r="U74" s="26">
        <ns0:f t="shared" si="47"/>
        <ns0:v>10.7340672</ns0:v>
      </ns0:c>
      <ns0:c r="V74" s="26">
        <ns0:f t="shared" si="47"/>
        <ns0:v>0.0834239999999991</ns0:v>
      </ns0:c>
      <ns0:c r="W74" s="26">
        <ns0:f t="shared" si="47"/>
        <ns0:v>0</ns0:v>
      </ns0:c>
      <ns0:c r="X74" s="26">
        <ns0:f t="shared" si="47"/>
        <ns0:v>0</ns0:v>
      </ns0:c>
      <ns0:c r="Y74" s="26">
        <ns0:f t="shared" si="47"/>
        <ns0:v>0</ns0:v>
      </ns0:c>
      <ns0:c r="Z74" s="26">
        <ns0:f t="shared" si="47"/>
        <ns0:v>0</ns0:v>
      </ns0:c>
      <ns0:c r="AA74" s="26">
        <ns0:f t="shared" si="47"/>
        <ns0:v>0</ns0:v>
      </ns0:c>
      <ns0:c r="AB74" s="26">
        <ns0:f t="shared" si="47"/>
        <ns0:v>0.168560000000001</ns0:v>
      </ns0:c>
      <ns0:c r="AC74" s="26">
        <ns0:f t="shared" si="47"/>
        <ns0:v>0</ns0:v>
      </ns0:c>
    </ns0:row>
    <ns0:row r="75" spans="1:29">
      <ns0:c r="A75" s="29">
        <ns0:v>46000</ns0:v>
      </ns0:c>
      <ns0:c r="B75" s="30">
        <ns0:f>E82</ns0:f>
        <ns0:v>-371.0520136</ns0:v>
      </ns0:c>
      <ns0:c r="C75" s="31" t="s">
        <ns0:v>47</ns0:v>
      </ns0:c>
      <ns0:c r="D75" s="31" t="s">
        <ns0:v>48</ns0:v>
      </ns0:c>
      <ns0:c r="E75" s="42">
        <ns0:f t="shared" si="44"/>
        <ns0:v>63.761</ns0:v>
      </ns0:c>
      <ns0:c r="F75" s="43">
        <ns0:v>1.287</ns0:v>
      </ns0:c>
      <ns0:c r="G75" s="43">
        <ns0:v>1.29</ns0:v>
      </ns0:c>
      <ns0:c r="H75" s="43">
        <ns0:v>1.285</ns0:v>
      </ns0:c>
      <ns0:c r="I75" s="43">
        <ns0:v>1.224</ns0:v>
      </ns0:c>
      <ns0:c r="J75" s="43">
        <ns0:v>1.222</ns0:v>
      </ns0:c>
      <ns0:c r="K75" s="43">
        <ns0:v>1.233</ns0:v>
      </ns0:c>
      <ns0:c r="L75" s="43">
        <ns0:v>1.207</ns0:v>
      </ns0:c>
      <ns0:c r="M75" s="43">
        <ns0:v>1.91</ns0:v>
      </ns0:c>
      <ns0:c r="N75" s="43">
        <ns0:v>4.118</ns0:v>
      </ns0:c>
      <ns0:c r="O75" s="43">
        <ns0:v>4.407</ns0:v>
      </ns0:c>
      <ns0:c r="P75" s="43">
        <ns0:v>3.868</ns0:v>
      </ns0:c>
      <ns0:c r="Q75" s="43">
        <ns0:v>3.715</ns0:v>
      </ns0:c>
      <ns0:c r="R75" s="43">
        <ns0:v>3.006</ns0:v>
      </ns0:c>
      <ns0:c r="S75" s="43">
        <ns0:v>3.635</ns0:v>
      </ns0:c>
      <ns0:c r="T75" s="43">
        <ns0:v>4.231</ns0:v>
      </ns0:c>
      <ns0:c r="U75" s="43">
        <ns0:v>4.046</ns0:v>
      </ns0:c>
      <ns0:c r="V75" s="43">
        <ns0:v>4.132</ns0:v>
      </ns0:c>
      <ns0:c r="W75" s="43">
        <ns0:v>3.654</ns0:v>
      </ns0:c>
      <ns0:c r="X75" s="43">
        <ns0:v>3.007</ns0:v>
      </ns0:c>
      <ns0:c r="Y75" s="43">
        <ns0:v>3.07</ns0:v>
      </ns0:c>
      <ns0:c r="Z75" s="43">
        <ns0:v>2.725</ns0:v>
      </ns0:c>
      <ns0:c r="AA75" s="43">
        <ns0:v>2.197</ns0:v>
      </ns0:c>
      <ns0:c r="AB75" s="43">
        <ns0:v>1.733</ns0:v>
      </ns0:c>
      <ns0:c r="AC75" s="43">
        <ns0:v>1.559</ns0:v>
      </ns0:c>
    </ns0:row>
    <ns0:row r="76" spans="1:29">
      <ns0:c r="A76" s="32"/>
      <ns0:c r="B76" s="33"/>
      <ns0:c r="C76" s="32"/>
      <ns0:c r="D76" s="6" t="s">
        <ns0:v>49</ns0:v>
      </ns0:c>
      <ns0:c r="E76" s="45">
        <ns0:f t="shared" si="44"/>
        <ns0:v>53.5628</ns0:v>
      </ns0:c>
      <ns0:c r="F76" s="43">
        <ns0:v>1.59225</ns0:v>
      </ns0:c>
      <ns0:c r="G76" s="43">
        <ns0:v>1.65606</ns0:v>
      </ns0:c>
      <ns0:c r="H76" s="43">
        <ns0:v>1.59058</ns0:v>
      </ns0:c>
      <ns0:c r="I76" s="43">
        <ns0:v>1.60096</ns0:v>
      </ns0:c>
      <ns0:c r="J76" s="43">
        <ns0:v>1.61951</ns0:v>
      </ns0:c>
      <ns0:c r="K76" s="43">
        <ns0:v>1.65279</ns0:v>
      </ns0:c>
      <ns0:c r="L76" s="43">
        <ns0:v>1.55464</ns0:v>
      </ns0:c>
      <ns0:c r="M76" s="43">
        <ns0:v>1.95728</ns0:v>
      </ns0:c>
      <ns0:c r="N76" s="43">
        <ns0:v>3.84904</ns0:v>
      </ns0:c>
      <ns0:c r="O76" s="43">
        <ns0:v>4.08901</ns0:v>
      </ns0:c>
      <ns0:c r="P76" s="43">
        <ns0:v>3.41101</ns0:v>
      </ns0:c>
      <ns0:c r="Q76" s="43">
        <ns0:v>3.15164</ns0:v>
      </ns0:c>
      <ns0:c r="R76" s="43">
        <ns0:v>2.72426</ns0:v>
      </ns0:c>
      <ns0:c r="S76" s="43">
        <ns0:v>3.20227</ns0:v>
      </ns0:c>
      <ns0:c r="T76" s="43">
        <ns0:v>3.708</ns0:v>
      </ns0:c>
      <ns0:c r="U76" s="43">
        <ns0:v>3.60096</ns0:v>
      </ns0:c>
      <ns0:c r="V76" s="43">
        <ns0:v>3.69719</ns0:v>
      </ns0:c>
      <ns0:c r="W76" s="43">
        <ns0:v>3.53613</ns0:v>
      </ns0:c>
      <ns0:c r="X76" s="43">
        <ns0:v>3.25101</ns0:v>
      </ns0:c>
      <ns0:c r="Y76" s="43">
        <ns0:v>3.3566</ns0:v>
      </ns0:c>
      <ns0:c r="Z76" s="43">
        <ns0:v>3.01253</ns0:v>
      </ns0:c>
      <ns0:c r="AA76" s="43">
        <ns0:v>2.49268</ns0:v>
      </ns0:c>
      <ns0:c r="AB76" s="43">
        <ns0:v>1.99291</ns0:v>
      </ns0:c>
      <ns0:c r="AC76" s="43">
        <ns0:v>1.669</ns0:v>
      </ns0:c>
    </ns0:row>
    <ns0:row r="77" spans="1:29">
      <ns0:c r="A77" s="32"/>
      <ns0:c r="B77" s="33"/>
      <ns0:c r="C77" s="34"/>
      <ns0:c r="D77" s="31" t="s">
        <ns0:v>50</ns0:v>
      </ns0:c>
      <ns0:c r="E77" s="26">
        <ns0:f>E75-E76</ns0:f>
        <ns0:v>10.1982</ns0:v>
      </ns0:c>
      <ns0:c r="F77" s="43">
        <ns0:f t="shared" ref="F77:AC77" si="48">(F75-F76)*1</ns0:f>
        <ns0:v>-0.0976000000000001</ns0:v>
      </ns0:c>
      <ns0:c r="G77" s="43">
        <ns0:f t="shared" si="48"/>
        <ns0:v>-0.1698</ns0:v>
      </ns0:c>
      <ns0:c r="H77" s="43">
        <ns0:f t="shared" si="48"/>
        <ns0:v>-0.1103</ns0:v>
      </ns0:c>
      <ns0:c r="I77" s="43">
        <ns0:f t="shared" si="48"/>
        <ns0:v>-0.1706</ns0:v>
      </ns0:c>
      <ns0:c r="J77" s="43">
        <ns0:f t="shared" si="48"/>
        <ns0:v>-0.202</ns0:v>
      </ns0:c>
      <ns0:c r="K77" s="43">
        <ns0:f t="shared" si="48"/>
        <ns0:v>-0.2232</ns0:v>
      </ns0:c>
      <ns0:c r="L77" s="43">
        <ns0:f t="shared" si="48"/>
        <ns0:v>-0.1504</ns0:v>
      </ns0:c>
      <ns0:c r="M77" s="43">
        <ns0:f t="shared" si="48"/>
        <ns0:v>0.1932</ns0:v>
      </ns0:c>
      <ns0:c r="N77" s="43">
        <ns0:f t="shared" si="48"/>
        <ns0:v>0.958800000000001</ns0:v>
      </ns0:c>
      <ns0:c r="O77" s="43">
        <ns0:f t="shared" si="48"/>
        <ns0:v>1.0747</ns0:v>
      </ns0:c>
      <ns0:c r="P77" s="43">
        <ns0:f t="shared" si="48"/>
        <ns0:v>0.9351</ns0:v>
      </ns0:c>
      <ns0:c r="Q77" s="43">
        <ns0:f t="shared" si="48"/>
        <ns0:v>1.015</ns0:v>
      </ns0:c>
      <ns0:c r="R77" s="43">
        <ns0:f t="shared" si="48"/>
        <ns0:v>0.8851</ns0:v>
      </ns0:c>
      <ns0:c r="S77" s="43">
        <ns0:f t="shared" si="48"/>
        <ns0:v>1.1365</ns0:v>
      </ns0:c>
      <ns0:c r="T77" s="43">
        <ns0:f t="shared" si="48"/>
        <ns0:v>1.1111</ns0:v>
      </ns0:c>
      <ns0:c r="U77" s="43">
        <ns0:f t="shared" si="48"/>
        <ns0:v>1.0323</ns0:v>
      </ns0:c>
      <ns0:c r="V77" s="43">
        <ns0:f t="shared" si="48"/>
        <ns0:v>0.9688</ns0:v>
      </ns0:c>
      <ns0:c r="W77" s="43">
        <ns0:f t="shared" si="48"/>
        <ns0:v>0.5517</ns0:v>
      </ns0:c>
      <ns0:c r="X77" s="43">
        <ns0:f t="shared" si="48"/>
        <ns0:v>0.3</ns0:v>
      </ns0:c>
      <ns0:c r="Y77" s="43">
        <ns0:f t="shared" si="48"/>
        <ns0:v>0.3147</ns0:v>
      </ns0:c>
      <ns0:c r="Z77" s="43">
        <ns0:f t="shared" si="48"/>
        <ns0:v>0.3689</ns0:v>
      </ns0:c>
      <ns0:c r="AA77" s="43">
        <ns0:f t="shared" si="48"/>
        <ns0:v>0.2</ns0:v>
      </ns0:c>
      <ns0:c r="AB77" s="43">
        <ns0:f t="shared" si="48"/>
        <ns0:v>0.1703</ns0:v>
      </ns0:c>
      <ns0:c r="AC77" s="43">
        <ns0:f t="shared" si="48"/>
        <ns0:v>0.1059</ns0:v>
      </ns0:c>
    </ns0:row>
    <ns0:row r="78" spans="1:29">
      <ns0:c r="A78" s="32"/>
      <ns0:c r="B78" s="33"/>
      <ns0:c r="C78" s="35" t="s">
        <ns0:v>51</ns0:v>
      </ns0:c>
      <ns0:c r="D78" s="31" t="s">
        <ns0:v>48</ns0:v>
      </ns0:c>
      <ns0:c r="E78" s="31">
        <ns0:f>AVERAGE(F78:AC78)</ns0:f>
        <ns0:v>259.844583333333</ns0:v>
      </ns0:c>
      <ns0:c r="F78" s="43">
        <ns0:v>284.13</ns0:v>
      </ns0:c>
      <ns0:c r="G78" s="43">
        <ns0:v>278.79</ns0:v>
      </ns0:c>
      <ns0:c r="H78" s="43">
        <ns0:v>275.57</ns0:v>
      </ns0:c>
      <ns0:c r="I78" s="43">
        <ns0:v>270.34</ns0:v>
      </ns0:c>
      <ns0:c r="J78" s="43">
        <ns0:v>267.69</ns0:v>
      </ns0:c>
      <ns0:c r="K78" s="43">
        <ns0:v>266.03</ns0:v>
      </ns0:c>
      <ns0:c r="L78" s="43">
        <ns0:v>272</ns0:v>
      </ns0:c>
      <ns0:c r="M78" s="43">
        <ns0:v>276.29</ns0:v>
      </ns0:c>
      <ns0:c r="N78" s="43">
        <ns0:v>284.26</ns0:v>
      </ns0:c>
      <ns0:c r="O78" s="43">
        <ns0:v>271.74</ns0:v>
      </ns0:c>
      <ns0:c r="P78" s="43">
        <ns0:v>207.6</ns0:v>
      </ns0:c>
      <ns0:c r="Q78" s="43">
        <ns0:v>131.61</ns0:v>
      </ns0:c>
      <ns0:c r="R78" s="43">
        <ns0:v>106.08</ns0:v>
      </ns0:c>
      <ns0:c r="S78" s="43">
        <ns0:v>143.67</ns0:v>
      </ns0:c>
      <ns0:c r="T78" s="43">
        <ns0:v>156.17</ns0:v>
      </ns0:c>
      <ns0:c r="U78" s="43">
        <ns0:v>241.74</ns0:v>
      </ns0:c>
      <ns0:c r="V78" s="43">
        <ns0:v>280.21</ns0:v>
      </ns0:c>
      <ns0:c r="W78" s="43">
        <ns0:v>317.27</ns0:v>
      </ns0:c>
      <ns0:c r="X78" s="43">
        <ns0:v>345.66</ns0:v>
      </ns0:c>
      <ns0:c r="Y78" s="43">
        <ns0:v>345.44</ns0:v>
      </ns0:c>
      <ns0:c r="Z78" s="43">
        <ns0:v>323.94</ns0:v>
      </ns0:c>
      <ns0:c r="AA78" s="43">
        <ns0:v>317.64</ns0:v>
      </ns0:c>
      <ns0:c r="AB78" s="43">
        <ns0:v>298.54</ns0:v>
      </ns0:c>
      <ns0:c r="AC78" s="43">
        <ns0:v>273.86</ns0:v>
      </ns0:c>
    </ns0:row>
    <ns0:row r="79" spans="1:29">
      <ns0:c r="A79" s="32"/>
      <ns0:c r="B79" s="33"/>
      <ns0:c r="C79" s="32"/>
      <ns0:c r="D79" s="31" t="s">
        <ns0:v>49</ns0:v>
      </ns0:c>
      <ns0:c r="E79" s="31">
        <ns0:f>AVERAGE(F79:AC79)</ns0:f>
        <ns0:v>256.350833333333</ns0:v>
      </ns0:c>
      <ns0:c r="F79" s="43">
        <ns0:v>289.33</ns0:v>
      </ns0:c>
      <ns0:c r="G79" s="43">
        <ns0:v>275.22</ns0:v>
      </ns0:c>
      <ns0:c r="H79" s="43">
        <ns0:v>267.95</ns0:v>
      </ns0:c>
      <ns0:c r="I79" s="43">
        <ns0:v>259.78</ns0:v>
      </ns0:c>
      <ns0:c r="J79" s="43">
        <ns0:v>255.8</ns0:v>
      </ns0:c>
      <ns0:c r="K79" s="43">
        <ns0:v>242.1</ns0:v>
      </ns0:c>
      <ns0:c r="L79" s="43">
        <ns0:v>271.61</ns0:v>
      </ns0:c>
      <ns0:c r="M79" s="43">
        <ns0:v>271.46</ns0:v>
      </ns0:c>
      <ns0:c r="N79" s="43">
        <ns0:v>274.62</ns0:v>
      </ns0:c>
      <ns0:c r="O79" s="43">
        <ns0:v>217.05</ns0:v>
      </ns0:c>
      <ns0:c r="P79" s="43">
        <ns0:v>126.79</ns0:v>
      </ns0:c>
      <ns0:c r="Q79" s="43">
        <ns0:v>81.94</ns0:v>
      </ns0:c>
      <ns0:c r="R79" s="43">
        <ns0:v>-0.48</ns0:v>
      </ns0:c>
      <ns0:c r="S79" s="43">
        <ns0:v>56.98</ns0:v>
      </ns0:c>
      <ns0:c r="T79" s="43">
        <ns0:v>53.8</ns0:v>
      </ns0:c>
      <ns0:c r="U79" s="43">
        <ns0:v>170.79</ns0:v>
      </ns0:c>
      <ns0:c r="V79" s="43">
        <ns0:v>295.02</ns0:v>
      </ns0:c>
      <ns0:c r="W79" s="43">
        <ns0:v>422.51</ns0:v>
      </ns0:c>
      <ns0:c r="X79" s="43">
        <ns0:v>623.62</ns0:v>
      </ns0:c>
      <ns0:c r="Y79" s="43">
        <ns0:v>434.92</ns0:v>
      </ns0:c>
      <ns0:c r="Z79" s="43">
        <ns0:v>352.81</ns0:v>
      </ns0:c>
      <ns0:c r="AA79" s="43">
        <ns0:v>334.42</ns0:v>
      </ns0:c>
      <ns0:c r="AB79" s="43">
        <ns0:v>298.05</ns0:v>
      </ns0:c>
      <ns0:c r="AC79" s="43">
        <ns0:v>276.33</ns0:v>
      </ns0:c>
    </ns0:row>
    <ns0:row r="80" spans="1:29">
      <ns0:c r="A80" s="32"/>
      <ns0:c r="B80" s="33"/>
      <ns0:c r="C80" s="34"/>
      <ns0:c r="D80" s="31" t="s">
        <ns0:v>50</ns0:v>
      </ns0:c>
      <ns0:c r="E80" s="26">
        <ns0:f>E78-E79</ns0:f>
        <ns0:v>3.49374999999998</ns0:v>
      </ns0:c>
      <ns0:c r="F80" s="43">
        <ns0:f t="shared" ref="F80:AC80" si="49">(F78-F79)*1</ns0:f>
        <ns0:v>-5.19999999999999</ns0:v>
      </ns0:c>
      <ns0:c r="G80" s="43">
        <ns0:f t="shared" si="49"/>
        <ns0:v>3.56999999999999</ns0:v>
      </ns0:c>
      <ns0:c r="H80" s="43">
        <ns0:f t="shared" si="49"/>
        <ns0:v>7.62</ns0:v>
      </ns0:c>
      <ns0:c r="I80" s="43">
        <ns0:f t="shared" si="49"/>
        <ns0:v>10.56</ns0:v>
      </ns0:c>
      <ns0:c r="J80" s="43">
        <ns0:f t="shared" si="49"/>
        <ns0:v>11.89</ns0:v>
      </ns0:c>
      <ns0:c r="K80" s="43">
        <ns0:f t="shared" si="49"/>
        <ns0:v>23.93</ns0:v>
      </ns0:c>
      <ns0:c r="L80" s="43">
        <ns0:f t="shared" si="49"/>
        <ns0:v>0.389999999999986</ns0:v>
      </ns0:c>
      <ns0:c r="M80" s="43">
        <ns0:f t="shared" si="49"/>
        <ns0:v>4.83000000000004</ns0:v>
      </ns0:c>
      <ns0:c r="N80" s="43">
        <ns0:f t="shared" si="49"/>
        <ns0:v>9.63999999999999</ns0:v>
      </ns0:c>
      <ns0:c r="O80" s="43">
        <ns0:f t="shared" si="49"/>
        <ns0:v>54.69</ns0:v>
      </ns0:c>
      <ns0:c r="P80" s="43">
        <ns0:f t="shared" si="49"/>
        <ns0:v>80.81</ns0:v>
      </ns0:c>
      <ns0:c r="Q80" s="43">
        <ns0:f t="shared" si="49"/>
        <ns0:v>49.67</ns0:v>
      </ns0:c>
      <ns0:c r="R80" s="43">
        <ns0:f t="shared" si="49"/>
        <ns0:v>106.56</ns0:v>
      </ns0:c>
      <ns0:c r="S80" s="43">
        <ns0:f t="shared" si="49"/>
        <ns0:v>86.69</ns0:v>
      </ns0:c>
      <ns0:c r="T80" s="43">
        <ns0:f t="shared" si="49"/>
        <ns0:v>102.37</ns0:v>
      </ns0:c>
      <ns0:c r="U80" s="43">
        <ns0:f t="shared" si="49"/>
        <ns0:v>70.95</ns0:v>
      </ns0:c>
      <ns0:c r="V80" s="43">
        <ns0:f t="shared" si="49"/>
        <ns0:v>-14.81</ns0:v>
      </ns0:c>
      <ns0:c r="W80" s="43">
        <ns0:f t="shared" si="49"/>
        <ns0:v>-105.24</ns0:v>
      </ns0:c>
      <ns0:c r="X80" s="43">
        <ns0:f t="shared" si="49"/>
        <ns0:v>-277.96</ns0:v>
      </ns0:c>
      <ns0:c r="Y80" s="43">
        <ns0:f t="shared" si="49"/>
        <ns0:v>-89.48</ns0:v>
      </ns0:c>
      <ns0:c r="Z80" s="43">
        <ns0:f t="shared" si="49"/>
        <ns0:v>-28.87</ns0:v>
      </ns0:c>
      <ns0:c r="AA80" s="43">
        <ns0:f t="shared" si="49"/>
        <ns0:v>-16.78</ns0:v>
      </ns0:c>
      <ns0:c r="AB80" s="43">
        <ns0:f t="shared" si="49"/>
        <ns0:v>0.490000000000009</ns0:v>
      </ns0:c>
      <ns0:c r="AC80" s="43">
        <ns0:f t="shared" si="49"/>
        <ns0:v>-2.46999999999997</ns0:v>
      </ns0:c>
    </ns0:row>
    <ns0:row r="81" spans="1:29">
      <ns0:c r="A81" s="32"/>
      <ns0:c r="B81" s="33"/>
      <ns0:c r="C81" s="36" t="s">
        <ns0:v>52</ns0:v>
      </ns0:c>
      <ns0:c r="D81" s="37"/>
      <ns0:c r="E81" s="26">
        <ns0:f t="shared" ref="E81:E85" si="50">SUM(F81:AC81)</ns0:f>
        <ns0:v>-366.073484</ns0:v>
      </ns0:c>
      <ns0:c r="F81" s="43">
        <ns0:f t="shared" ref="F81:AC81" si="51">(-F77*F80)*1</ns0:f>
        <ns0:v>-0.50752</ns0:v>
      </ns0:c>
      <ns0:c r="G81" s="43">
        <ns0:f t="shared" si="51"/>
        <ns0:v>0.606185999999998</ns0:v>
      </ns0:c>
      <ns0:c r="H81" s="43">
        <ns0:f t="shared" si="51"/>
        <ns0:v>0.840486000000001</ns0:v>
      </ns0:c>
      <ns0:c r="I81" s="43">
        <ns0:f t="shared" si="51"/>
        <ns0:v>1.801536</ns0:v>
      </ns0:c>
      <ns0:c r="J81" s="43">
        <ns0:f t="shared" si="51"/>
        <ns0:v>2.40178</ns0:v>
      </ns0:c>
      <ns0:c r="K81" s="43">
        <ns0:f t="shared" si="51"/>
        <ns0:v>5.341176</ns0:v>
      </ns0:c>
      <ns0:c r="L81" s="43">
        <ns0:f t="shared" si="51"/>
        <ns0:v>0.0586559999999978</ns0:v>
      </ns0:c>
      <ns0:c r="M81" s="43">
        <ns0:f t="shared" si="51"/>
        <ns0:v>-0.933156000000007</ns0:v>
      </ns0:c>
      <ns0:c r="N81" s="43">
        <ns0:f t="shared" si="51"/>
        <ns0:v>-9.242832</ns0:v>
      </ns0:c>
      <ns0:c r="O81" s="43">
        <ns0:f t="shared" si="51"/>
        <ns0:v>-58.775343</ns0:v>
      </ns0:c>
      <ns0:c r="P81" s="43">
        <ns0:f t="shared" si="51"/>
        <ns0:v>-75.565431</ns0:v>
      </ns0:c>
      <ns0:c r="Q81" s="43">
        <ns0:f t="shared" si="51"/>
        <ns0:v>-50.41505</ns0:v>
      </ns0:c>
      <ns0:c r="R81" s="43">
        <ns0:f t="shared" si="51"/>
        <ns0:v>-94.316256</ns0:v>
      </ns0:c>
      <ns0:c r="S81" s="43">
        <ns0:f t="shared" si="51"/>
        <ns0:v>-98.523185</ns0:v>
      </ns0:c>
      <ns0:c r="T81" s="43">
        <ns0:f t="shared" si="51"/>
        <ns0:v>-113.743307</ns0:v>
      </ns0:c>
      <ns0:c r="U81" s="43">
        <ns0:f t="shared" si="51"/>
        <ns0:v>-73.241685</ns0:v>
      </ns0:c>
      <ns0:c r="V81" s="43">
        <ns0:f t="shared" si="51"/>
        <ns0:v>14.347928</ns0:v>
      </ns0:c>
      <ns0:c r="W81" s="43">
        <ns0:f t="shared" si="51"/>
        <ns0:v>58.060908</ns0:v>
      </ns0:c>
      <ns0:c r="X81" s="43">
        <ns0:f t="shared" si="51"/>
        <ns0:v>83.3880000000001</ns0:v>
      </ns0:c>
      <ns0:c r="Y81" s="43">
        <ns0:f t="shared" si="51"/>
        <ns0:v>28.159356</ns0:v>
      </ns0:c>
      <ns0:c r="Z81" s="43">
        <ns0:f t="shared" si="51"/>
        <ns0:v>10.650143</ns0:v>
      </ns0:c>
      <ns0:c r="AA81" s="43">
        <ns0:f t="shared" si="51"/>
        <ns0:v>3.356</ns0:v>
      </ns0:c>
      <ns0:c r="AB81" s="43">
        <ns0:f t="shared" si="51"/>
        <ns0:v>-0.0834470000000016</ns0:v>
      </ns0:c>
      <ns0:c r="AC81" s="43">
        <ns0:f t="shared" si="51"/>
        <ns0:v>0.261572999999997</ns0:v>
      </ns0:c>
    </ns0:row>
    <ns0:row r="82" spans="1:29">
      <ns0:c r="A82" s="32"/>
      <ns0:c r="B82" s="33"/>
      <ns0:c r="C82" s="38" t="s">
        <ns0:v>53</ns0:v>
      </ns0:c>
      <ns0:c r="D82" s="37"/>
      <ns0:c r="E82" s="26">
        <ns0:f t="shared" si="50"/>
        <ns0:v>-371.0520136</ns0:v>
      </ns0:c>
      <ns0:c r="F82" s="43">
        <ns0:f t="shared" ref="F82:AC82" si="52">(IF(F81&gt;0,ABS(MIN(F76*0.2,ABS(F77))*F80),F81))*1</ns0:f>
        <ns0:v>-0.50752</ns0:v>
      </ns0:c>
      <ns0:c r="G82" s="43">
        <ns0:f t="shared" si="52"/>
        <ns0:v>0.606185999999998</ns0:v>
      </ns0:c>
      <ns0:c r="H82" s="43">
        <ns0:f t="shared" si="52"/>
        <ns0:v>0.840486000000001</ns0:v>
      </ns0:c>
      <ns0:c r="I82" s="43">
        <ns0:f t="shared" si="52"/>
        <ns0:v>1.801536</ns0:v>
      </ns0:c>
      <ns0:c r="J82" s="43">
        <ns0:f t="shared" si="52"/>
        <ns0:v>2.40178</ns0:v>
      </ns0:c>
      <ns0:c r="K82" s="43">
        <ns0:f t="shared" si="52"/>
        <ns0:v>5.341176</ns0:v>
      </ns0:c>
      <ns0:c r="L82" s="43">
        <ns0:f t="shared" si="52"/>
        <ns0:v>0.0586559999999978</ns0:v>
      </ns0:c>
      <ns0:c r="M82" s="43">
        <ns0:f t="shared" si="52"/>
        <ns0:v>-0.933156000000007</ns0:v>
      </ns0:c>
      <ns0:c r="N82" s="43">
        <ns0:f t="shared" si="52"/>
        <ns0:v>-9.242832</ns0:v>
      </ns0:c>
      <ns0:c r="O82" s="43">
        <ns0:f t="shared" si="52"/>
        <ns0:v>-58.775343</ns0:v>
      </ns0:c>
      <ns0:c r="P82" s="43">
        <ns0:f t="shared" si="52"/>
        <ns0:v>-75.565431</ns0:v>
      </ns0:c>
      <ns0:c r="Q82" s="43">
        <ns0:f t="shared" si="52"/>
        <ns0:v>-50.41505</ns0:v>
      </ns0:c>
      <ns0:c r="R82" s="43">
        <ns0:f t="shared" si="52"/>
        <ns0:v>-94.316256</ns0:v>
      </ns0:c>
      <ns0:c r="S82" s="43">
        <ns0:f t="shared" si="52"/>
        <ns0:v>-98.523185</ns0:v>
      </ns0:c>
      <ns0:c r="T82" s="43">
        <ns0:f t="shared" si="52"/>
        <ns0:v>-113.743307</ns0:v>
      </ns0:c>
      <ns0:c r="U82" s="43">
        <ns0:f t="shared" si="52"/>
        <ns0:v>-73.241685</ns0:v>
      </ns0:c>
      <ns0:c r="V82" s="43">
        <ns0:f t="shared" si="52"/>
        <ns0:v>9.3693984</ns0:v>
      </ns0:c>
      <ns0:c r="W82" s="43">
        <ns0:f t="shared" si="52"/>
        <ns0:v>58.060908</ns0:v>
      </ns0:c>
      <ns0:c r="X82" s="43">
        <ns0:f t="shared" si="52"/>
        <ns0:v>83.3880000000001</ns0:v>
      </ns0:c>
      <ns0:c r="Y82" s="43">
        <ns0:f t="shared" si="52"/>
        <ns0:v>28.159356</ns0:v>
      </ns0:c>
      <ns0:c r="Z82" s="43">
        <ns0:f t="shared" si="52"/>
        <ns0:v>10.650143</ns0:v>
      </ns0:c>
      <ns0:c r="AA82" s="43">
        <ns0:f t="shared" si="52"/>
        <ns0:v>3.356</ns0:v>
      </ns0:c>
      <ns0:c r="AB82" s="43">
        <ns0:f t="shared" si="52"/>
        <ns0:v>-0.0834470000000016</ns0:v>
      </ns0:c>
      <ns0:c r="AC82" s="43">
        <ns0:f t="shared" si="52"/>
        <ns0:v>0.261572999999997</ns0:v>
      </ns0:c>
    </ns0:row>
    <ns0:row r="83" spans="1:29">
      <ns0:c r="A83" s="32"/>
      <ns0:c r="B83" s="33"/>
      <ns0:c r="C83" s="39" t="s">
        <ns0:v>50</ns0:v>
      </ns0:c>
      <ns0:c r="D83" s="37"/>
      <ns0:c r="E83" s="44">
        <ns0:f>E81-E82</ns0:f>
        <ns0:v>4.9785296</ns0:v>
      </ns0:c>
      <ns0:c r="F83" s="26">
        <ns0:f t="shared" ref="F83:AC83" si="53">(F81-F82)*1</ns0:f>
        <ns0:v>0</ns0:v>
      </ns0:c>
      <ns0:c r="G83" s="26">
        <ns0:f t="shared" si="53"/>
        <ns0:v>0</ns0:v>
      </ns0:c>
      <ns0:c r="H83" s="26">
        <ns0:f t="shared" si="53"/>
        <ns0:v>0</ns0:v>
      </ns0:c>
      <ns0:c r="I83" s="26">
        <ns0:f t="shared" si="53"/>
        <ns0:v>0</ns0:v>
      </ns0:c>
      <ns0:c r="J83" s="26">
        <ns0:f t="shared" si="53"/>
        <ns0:v>0</ns0:v>
      </ns0:c>
      <ns0:c r="K83" s="26">
        <ns0:f t="shared" si="53"/>
        <ns0:v>0</ns0:v>
      </ns0:c>
      <ns0:c r="L83" s="26">
        <ns0:f t="shared" si="53"/>
        <ns0:v>0</ns0:v>
      </ns0:c>
      <ns0:c r="M83" s="26">
        <ns0:f t="shared" si="53"/>
        <ns0:v>0</ns0:v>
      </ns0:c>
      <ns0:c r="N83" s="26">
        <ns0:f t="shared" si="53"/>
        <ns0:v>0</ns0:v>
      </ns0:c>
      <ns0:c r="O83" s="26">
        <ns0:f t="shared" si="53"/>
        <ns0:v>0</ns0:v>
      </ns0:c>
      <ns0:c r="P83" s="26">
        <ns0:f t="shared" si="53"/>
        <ns0:v>0</ns0:v>
      </ns0:c>
      <ns0:c r="Q83" s="26">
        <ns0:f t="shared" si="53"/>
        <ns0:v>0</ns0:v>
      </ns0:c>
      <ns0:c r="R83" s="26">
        <ns0:f t="shared" si="53"/>
        <ns0:v>0</ns0:v>
      </ns0:c>
      <ns0:c r="S83" s="26">
        <ns0:f t="shared" si="53"/>
        <ns0:v>0</ns0:v>
      </ns0:c>
      <ns0:c r="T83" s="26">
        <ns0:f t="shared" si="53"/>
        <ns0:v>0</ns0:v>
      </ns0:c>
      <ns0:c r="U83" s="26">
        <ns0:f t="shared" si="53"/>
        <ns0:v>0</ns0:v>
      </ns0:c>
      <ns0:c r="V83" s="26">
        <ns0:f t="shared" si="53"/>
        <ns0:v>4.9785296</ns0:v>
      </ns0:c>
      <ns0:c r="W83" s="26">
        <ns0:f t="shared" si="53"/>
        <ns0:v>0</ns0:v>
      </ns0:c>
      <ns0:c r="X83" s="26">
        <ns0:f t="shared" si="53"/>
        <ns0:v>0</ns0:v>
      </ns0:c>
      <ns0:c r="Y83" s="26">
        <ns0:f t="shared" si="53"/>
        <ns0:v>0</ns0:v>
      </ns0:c>
      <ns0:c r="Z83" s="26">
        <ns0:f t="shared" si="53"/>
        <ns0:v>0</ns0:v>
      </ns0:c>
      <ns0:c r="AA83" s="26">
        <ns0:f t="shared" si="53"/>
        <ns0:v>0</ns0:v>
      </ns0:c>
      <ns0:c r="AB83" s="26">
        <ns0:f t="shared" si="53"/>
        <ns0:v>0</ns0:v>
      </ns0:c>
      <ns0:c r="AC83" s="26">
        <ns0:f t="shared" si="53"/>
        <ns0:v>0</ns0:v>
      </ns0:c>
    </ns0:row>
    <ns0:row r="84" spans="1:29">
      <ns0:c r="A84" s="29">
        <ns0:v>46001</ns0:v>
      </ns0:c>
      <ns0:c r="B84" s="30">
        <ns0:f>E91</ns0:f>
        <ns0:v>-660.5633302</ns0:v>
      </ns0:c>
      <ns0:c r="C84" s="31" t="s">
        <ns0:v>47</ns0:v>
      </ns0:c>
      <ns0:c r="D84" s="31" t="s">
        <ns0:v>48</ns0:v>
      </ns0:c>
      <ns0:c r="E84" s="42">
        <ns0:f t="shared" si="50"/>
        <ns0:v>35.542</ns0:v>
      </ns0:c>
      <ns0:c r="F84" s="43">
        <ns0:v>0.916</ns0:v>
      </ns0:c>
      <ns0:c r="G84" s="43">
        <ns0:v>0.974</ns0:v>
      </ns0:c>
      <ns0:c r="H84" s="43">
        <ns0:v>0.941</ns0:v>
      </ns0:c>
      <ns0:c r="I84" s="43">
        <ns0:v>0.941</ns0:v>
      </ns0:c>
      <ns0:c r="J84" s="43">
        <ns0:v>0.915</ns0:v>
      </ns0:c>
      <ns0:c r="K84" s="43">
        <ns0:v>0.952</ns0:v>
      </ns0:c>
      <ns0:c r="L84" s="43">
        <ns0:v>0.916</ns0:v>
      </ns0:c>
      <ns0:c r="M84" s="43">
        <ns0:v>1.249</ns0:v>
      </ns0:c>
      <ns0:c r="N84" s="43">
        <ns0:v>2.303</ns0:v>
      </ns0:c>
      <ns0:c r="O84" s="43">
        <ns0:v>2.121</ns0:v>
      </ns0:c>
      <ns0:c r="P84" s="43">
        <ns0:v>1.87</ns0:v>
      </ns0:c>
      <ns0:c r="Q84" s="43">
        <ns0:v>1.78</ns0:v>
      </ns0:c>
      <ns0:c r="R84" s="43">
        <ns0:v>1.373</ns0:v>
      </ns0:c>
      <ns0:c r="S84" s="43">
        <ns0:v>1.616</ns0:v>
      </ns0:c>
      <ns0:c r="T84" s="43">
        <ns0:v>2.009</ns0:v>
      </ns0:c>
      <ns0:c r="U84" s="43">
        <ns0:v>2.193</ns0:v>
      </ns0:c>
      <ns0:c r="V84" s="43">
        <ns0:v>2.33</ns0:v>
      </ns0:c>
      <ns0:c r="W84" s="43">
        <ns0:v>1.915</ns0:v>
      </ns0:c>
      <ns0:c r="X84" s="43">
        <ns0:v>1.685</ns0:v>
      </ns0:c>
      <ns0:c r="Y84" s="43">
        <ns0:v>1.76</ns0:v>
      </ns0:c>
      <ns0:c r="Z84" s="43">
        <ns0:v>1.517</ns0:v>
      </ns0:c>
      <ns0:c r="AA84" s="43">
        <ns0:v>1.286</ns0:v>
      </ns0:c>
      <ns0:c r="AB84" s="43">
        <ns0:v>1.055</ns0:v>
      </ns0:c>
      <ns0:c r="AC84" s="43">
        <ns0:v>0.925</ns0:v>
      </ns0:c>
    </ns0:row>
    <ns0:row r="85" spans="1:29">
      <ns0:c r="A85" s="32"/>
      <ns0:c r="B85" s="33"/>
      <ns0:c r="C85" s="32"/>
      <ns0:c r="D85" s="6" t="s">
        <ns0:v>49</ns0:v>
      </ns0:c>
      <ns0:c r="E85" s="42">
        <ns0:f t="shared" si="50"/>
        <ns0:v>66.8091</ns0:v>
      </ns0:c>
      <ns0:c r="F85" s="43">
        <ns0:v>1.6446</ns0:v>
      </ns0:c>
      <ns0:c r="G85" s="43">
        <ns0:v>1.6273</ns0:v>
      </ns0:c>
      <ns0:c r="H85" s="43">
        <ns0:v>1.6159</ns0:v>
      </ns0:c>
      <ns0:c r="I85" s="43">
        <ns0:v>1.5548</ns0:v>
      </ns0:c>
      <ns0:c r="J85" s="43">
        <ns0:v>1.634</ns0:v>
      </ns0:c>
      <ns0:c r="K85" s="43">
        <ns0:v>1.6853</ns0:v>
      </ns0:c>
      <ns0:c r="L85" s="43">
        <ns0:v>1.614</ns0:v>
      </ns0:c>
      <ns0:c r="M85" s="43">
        <ns0:v>2.0254</ns0:v>
      </ns0:c>
      <ns0:c r="N85" s="43">
        <ns0:v>3.9278</ns0:v>
      </ns0:c>
      <ns0:c r="O85" s="43">
        <ns0:v>4.2892</ns0:v>
      </ns0:c>
      <ns0:c r="P85" s="43">
        <ns0:v>3.6067</ns0:v>
      </ns0:c>
      <ns0:c r="Q85" s="43">
        <ns0:v>3.619</ns0:v>
      </ns0:c>
      <ns0:c r="R85" s="43">
        <ns0:v>2.9539</ns0:v>
      </ns0:c>
      <ns0:c r="S85" s="43">
        <ns0:v>3.5061</ns0:v>
      </ns0:c>
      <ns0:c r="T85" s="43">
        <ns0:v>4.0664</ns0:v>
      </ns0:c>
      <ns0:c r="U85" s="43">
        <ns0:v>3.9457</ns0:v>
      </ns0:c>
      <ns0:c r="V85" s="43">
        <ns0:v>3.9824</ns0:v>
      </ns0:c>
      <ns0:c r="W85" s="43">
        <ns0:v>3.7209</ns0:v>
      </ns0:c>
      <ns0:c r="X85" s="43">
        <ns0:v>3.2885</ns0:v>
      </ns0:c>
      <ns0:c r="Y85" s="43">
        <ns0:v>3.4812</ns0:v>
      </ns0:c>
      <ns0:c r="Z85" s="43">
        <ns0:v>2.9759</ns0:v>
      </ns0:c>
      <ns0:c r="AA85" s="43">
        <ns0:v>2.4938</ns0:v>
      </ns0:c>
      <ns0:c r="AB85" s="43">
        <ns0:v>1.9705</ns0:v>
      </ns0:c>
      <ns0:c r="AC85" s="43">
        <ns0:v>1.5798</ns0:v>
      </ns0:c>
    </ns0:row>
    <ns0:row r="86" spans="1:29">
      <ns0:c r="A86" s="32"/>
      <ns0:c r="B86" s="33"/>
      <ns0:c r="C86" s="34"/>
      <ns0:c r="D86" s="31" t="s">
        <ns0:v>50</ns0:v>
      </ns0:c>
      <ns0:c r="E86" s="26">
        <ns0:f>E84-E85</ns0:f>
        <ns0:v>-31.2671</ns0:v>
      </ns0:c>
      <ns0:c r="F86" s="43">
        <ns0:f t="shared" ref="F86:AC86" si="54">(F84-F85)*1</ns0:f>
        <ns0:v>-0.7286</ns0:v>
      </ns0:c>
      <ns0:c r="G86" s="43">
        <ns0:f t="shared" si="54"/>
        <ns0:v>-0.6533</ns0:v>
      </ns0:c>
      <ns0:c r="H86" s="43">
        <ns0:f t="shared" si="54"/>
        <ns0:v>-0.6749</ns0:v>
      </ns0:c>
      <ns0:c r="I86" s="43">
        <ns0:f t="shared" si="54"/>
        <ns0:v>-0.6138</ns0:v>
      </ns0:c>
      <ns0:c r="J86" s="43">
        <ns0:f t="shared" si="54"/>
        <ns0:v>-0.719</ns0:v>
      </ns0:c>
      <ns0:c r="K86" s="43">
        <ns0:f t="shared" si="54"/>
        <ns0:v>-0.7333</ns0:v>
      </ns0:c>
      <ns0:c r="L86" s="43">
        <ns0:f t="shared" si="54"/>
        <ns0:v>-0.698</ns0:v>
      </ns0:c>
      <ns0:c r="M86" s="43">
        <ns0:f t="shared" si="54"/>
        <ns0:v>-0.7764</ns0:v>
      </ns0:c>
      <ns0:c r="N86" s="43">
        <ns0:f t="shared" si="54"/>
        <ns0:v>-1.6248</ns0:v>
      </ns0:c>
      <ns0:c r="O86" s="43">
        <ns0:f t="shared" si="54"/>
        <ns0:v>-2.1682</ns0:v>
      </ns0:c>
      <ns0:c r="P86" s="43">
        <ns0:f t="shared" si="54"/>
        <ns0:v>-1.7367</ns0:v>
      </ns0:c>
      <ns0:c r="Q86" s="43">
        <ns0:f t="shared" si="54"/>
        <ns0:v>-1.839</ns0:v>
      </ns0:c>
      <ns0:c r="R86" s="43">
        <ns0:f t="shared" si="54"/>
        <ns0:v>-1.5809</ns0:v>
      </ns0:c>
      <ns0:c r="S86" s="43">
        <ns0:f t="shared" si="54"/>
        <ns0:v>-1.8901</ns0:v>
      </ns0:c>
      <ns0:c r="T86" s="43">
        <ns0:f t="shared" si="54"/>
        <ns0:v>-2.0574</ns0:v>
      </ns0:c>
      <ns0:c r="U86" s="43">
        <ns0:f t="shared" si="54"/>
        <ns0:v>-1.7527</ns0:v>
      </ns0:c>
      <ns0:c r="V86" s="43">
        <ns0:f t="shared" si="54"/>
        <ns0:v>-1.6524</ns0:v>
      </ns0:c>
      <ns0:c r="W86" s="43">
        <ns0:f t="shared" si="54"/>
        <ns0:v>-1.8059</ns0:v>
      </ns0:c>
      <ns0:c r="X86" s="43">
        <ns0:f t="shared" si="54"/>
        <ns0:v>-1.6035</ns0:v>
      </ns0:c>
      <ns0:c r="Y86" s="43">
        <ns0:f t="shared" si="54"/>
        <ns0:v>-1.7212</ns0:v>
      </ns0:c>
      <ns0:c r="Z86" s="43">
        <ns0:f t="shared" si="54"/>
        <ns0:v>-1.4589</ns0:v>
      </ns0:c>
      <ns0:c r="AA86" s="43">
        <ns0:f t="shared" si="54"/>
        <ns0:v>-1.2078</ns0:v>
      </ns0:c>
      <ns0:c r="AB86" s="43">
        <ns0:f t="shared" si="54"/>
        <ns0:v>-0.9155</ns0:v>
      </ns0:c>
      <ns0:c r="AC86" s="43">
        <ns0:f t="shared" si="54"/>
        <ns0:v>-0.6548</ns0:v>
      </ns0:c>
    </ns0:row>
    <ns0:row r="87" spans="1:29">
      <ns0:c r="A87" s="32"/>
      <ns0:c r="B87" s="33"/>
      <ns0:c r="C87" s="35" t="s">
        <ns0:v>51</ns0:v>
      </ns0:c>
      <ns0:c r="D87" s="31" t="s">
        <ns0:v>48</ns0:v>
      </ns0:c>
      <ns0:c r="E87" s="31">
        <ns0:f>AVERAGE(F87:AC87)</ns0:f>
        <ns0:v>312.893333333333</ns0:v>
      </ns0:c>
      <ns0:c r="F87" s="43">
        <ns0:v>299.99</ns0:v>
      </ns0:c>
      <ns0:c r="G87" s="43">
        <ns0:v>298.56</ns0:v>
      </ns0:c>
      <ns0:c r="H87" s="43">
        <ns0:v>294.23</ns0:v>
      </ns0:c>
      <ns0:c r="I87" s="43">
        <ns0:v>289.67</ns0:v>
      </ns0:c>
      <ns0:c r="J87" s="43">
        <ns0:v>283.54</ns0:v>
      </ns0:c>
      <ns0:c r="K87" s="43">
        <ns0:v>281.4</ns0:v>
      </ns0:c>
      <ns0:c r="L87" s="43">
        <ns0:v>293.35</ns0:v>
      </ns0:c>
      <ns0:c r="M87" s="43">
        <ns0:v>301.89</ns0:v>
      </ns0:c>
      <ns0:c r="N87" s="43">
        <ns0:v>316.54</ns0:v>
      </ns0:c>
      <ns0:c r="O87" s="43">
        <ns0:v>305.72</ns0:v>
      </ns0:c>
      <ns0:c r="P87" s="43">
        <ns0:v>282.49</ns0:v>
      </ns0:c>
      <ns0:c r="Q87" s="43">
        <ns0:v>262.05</ns0:v>
      </ns0:c>
      <ns0:c r="R87" s="43">
        <ns0:v>246.52</ns0:v>
      </ns0:c>
      <ns0:c r="S87" s="43">
        <ns0:v>258.12</ns0:v>
      </ns0:c>
      <ns0:c r="T87" s="43">
        <ns0:v>259.85</ns0:v>
      </ns0:c>
      <ns0:c r="U87" s="43">
        <ns0:v>279.7</ns0:v>
      </ns0:c>
      <ns0:c r="V87" s="43">
        <ns0:v>306.09</ns0:v>
      </ns0:c>
      <ns0:c r="W87" s="43">
        <ns0:v>354.02</ns0:v>
      </ns0:c>
      <ns0:c r="X87" s="43">
        <ns0:v>422.18</ns0:v>
      </ns0:c>
      <ns0:c r="Y87" s="43">
        <ns0:v>423.61</ns0:v>
      </ns0:c>
      <ns0:c r="Z87" s="43">
        <ns0:v>418.78</ns0:v>
      </ns0:c>
      <ns0:c r="AA87" s="43">
        <ns0:v>389.98</ns0:v>
      </ns0:c>
      <ns0:c r="AB87" s="43">
        <ns0:v>339.95</ns0:v>
      </ns0:c>
      <ns0:c r="AC87" s="43">
        <ns0:v>301.21</ns0:v>
      </ns0:c>
    </ns0:row>
    <ns0:row r="88" spans="1:29">
      <ns0:c r="A88" s="32"/>
      <ns0:c r="B88" s="33"/>
      <ns0:c r="C88" s="32"/>
      <ns0:c r="D88" s="31" t="s">
        <ns0:v>49</ns0:v>
      </ns0:c>
      <ns0:c r="E88" s="31">
        <ns0:f>AVERAGE(F88:AC88)</ns0:f>
        <ns0:v>329.079583333333</ns0:v>
      </ns0:c>
      <ns0:c r="F88" s="43">
        <ns0:v>293.32</ns0:v>
      </ns0:c>
      <ns0:c r="G88" s="43">
        <ns0:v>308.43</ns0:v>
      </ns0:c>
      <ns0:c r="H88" s="43">
        <ns0:v>289.55</ns0:v>
      </ns0:c>
      <ns0:c r="I88" s="43">
        <ns0:v>293.24</ns0:v>
      </ns0:c>
      <ns0:c r="J88" s="43">
        <ns0:v>273.21</ns0:v>
      </ns0:c>
      <ns0:c r="K88" s="43">
        <ns0:v>281.91</ns0:v>
      </ns0:c>
      <ns0:c r="L88" s="43">
        <ns0:v>299.31</ns0:v>
      </ns0:c>
      <ns0:c r="M88" s="43">
        <ns0:v>293.59</ns0:v>
      </ns0:c>
      <ns0:c r="N88" s="43">
        <ns0:v>343.07</ns0:v>
      </ns0:c>
      <ns0:c r="O88" s="43">
        <ns0:v>360.92</ns0:v>
      </ns0:c>
      <ns0:c r="P88" s="43">
        <ns0:v>306.93</ns0:v>
      </ns0:c>
      <ns0:c r="Q88" s="43">
        <ns0:v>277.19</ns0:v>
      </ns0:c>
      <ns0:c r="R88" s="43">
        <ns0:v>258.37</ns0:v>
      </ns0:c>
      <ns0:c r="S88" s="43">
        <ns0:v>273.72</ns0:v>
      </ns0:c>
      <ns0:c r="T88" s="43">
        <ns0:v>268.07</ns0:v>
      </ns0:c>
      <ns0:c r="U88" s="43">
        <ns0:v>277.3</ns0:v>
      </ns0:c>
      <ns0:c r="V88" s="43">
        <ns0:v>310.64</ns0:v>
      </ns0:c>
      <ns0:c r="W88" s="43">
        <ns0:v>401.68</ns0:v>
      </ns0:c>
      <ns0:c r="X88" s="43">
        <ns0:v>498.1</ns0:v>
      </ns0:c>
      <ns0:c r="Y88" s="43">
        <ns0:v>426.19</ns0:v>
      </ns0:c>
      <ns0:c r="Z88" s="43">
        <ns0:v>474.07</ns0:v>
      </ns0:c>
      <ns0:c r="AA88" s="43">
        <ns0:v>425.99</ns0:v>
      </ns0:c>
      <ns0:c r="AB88" s="43">
        <ns0:v>352.32</ns0:v>
      </ns0:c>
      <ns0:c r="AC88" s="43">
        <ns0:v>310.79</ns0:v>
      </ns0:c>
    </ns0:row>
    <ns0:row r="89" spans="1:29">
      <ns0:c r="A89" s="32"/>
      <ns0:c r="B89" s="33"/>
      <ns0:c r="C89" s="34"/>
      <ns0:c r="D89" s="31" t="s">
        <ns0:v>50</ns0:v>
      </ns0:c>
      <ns0:c r="E89" s="26">
        <ns0:f>E87-E88</ns0:f>
        <ns0:v>-16.1862500000001</ns0:v>
      </ns0:c>
      <ns0:c r="F89" s="43">
        <ns0:f t="shared" ref="F89:AC89" si="55">(F87-F88)*1</ns0:f>
        <ns0:v>6.67000000000002</ns0:v>
      </ns0:c>
      <ns0:c r="G89" s="43">
        <ns0:f t="shared" si="55"/>
        <ns0:v>-9.87</ns0:v>
      </ns0:c>
      <ns0:c r="H89" s="43">
        <ns0:f t="shared" si="55"/>
        <ns0:v>4.68000000000001</ns0:v>
      </ns0:c>
      <ns0:c r="I89" s="43">
        <ns0:f t="shared" si="55"/>
        <ns0:v>-3.56999999999999</ns0:v>
      </ns0:c>
      <ns0:c r="J89" s="43">
        <ns0:f t="shared" si="55"/>
        <ns0:v>10.33</ns0:v>
      </ns0:c>
      <ns0:c r="K89" s="43">
        <ns0:f t="shared" si="55"/>
        <ns0:v>-0.510000000000048</ns0:v>
      </ns0:c>
      <ns0:c r="L89" s="43">
        <ns0:f t="shared" si="55"/>
        <ns0:v>-5.95999999999998</ns0:v>
      </ns0:c>
      <ns0:c r="M89" s="43">
        <ns0:f t="shared" si="55"/>
        <ns0:v>8.30000000000001</ns0:v>
      </ns0:c>
      <ns0:c r="N89" s="43">
        <ns0:f t="shared" si="55"/>
        <ns0:v>-26.53</ns0:v>
      </ns0:c>
      <ns0:c r="O89" s="43">
        <ns0:f t="shared" si="55"/>
        <ns0:v>-55.2</ns0:v>
      </ns0:c>
      <ns0:c r="P89" s="43">
        <ns0:f t="shared" si="55"/>
        <ns0:v>-24.44</ns0:v>
      </ns0:c>
      <ns0:c r="Q89" s="43">
        <ns0:f t="shared" si="55"/>
        <ns0:v>-15.14</ns0:v>
      </ns0:c>
      <ns0:c r="R89" s="43">
        <ns0:f t="shared" si="55"/>
        <ns0:v>-11.85</ns0:v>
      </ns0:c>
      <ns0:c r="S89" s="43">
        <ns0:f t="shared" si="55"/>
        <ns0:v>-15.6</ns0:v>
      </ns0:c>
      <ns0:c r="T89" s="43">
        <ns0:f t="shared" si="55"/>
        <ns0:v>-8.21999999999997</ns0:v>
      </ns0:c>
      <ns0:c r="U89" s="43">
        <ns0:f t="shared" si="55"/>
        <ns0:v>2.39999999999998</ns0:v>
      </ns0:c>
      <ns0:c r="V89" s="43">
        <ns0:f t="shared" si="55"/>
        <ns0:v>-4.55000000000001</ns0:v>
      </ns0:c>
      <ns0:c r="W89" s="43">
        <ns0:f t="shared" si="55"/>
        <ns0:v>-47.66</ns0:v>
      </ns0:c>
      <ns0:c r="X89" s="43">
        <ns0:f t="shared" si="55"/>
        <ns0:v>-75.92</ns0:v>
      </ns0:c>
      <ns0:c r="Y89" s="43">
        <ns0:f t="shared" si="55"/>
        <ns0:v>-2.57999999999998</ns0:v>
      </ns0:c>
      <ns0:c r="Z89" s="43">
        <ns0:f t="shared" si="55"/>
        <ns0:v>-55.29</ns0:v>
      </ns0:c>
      <ns0:c r="AA89" s="43">
        <ns0:f t="shared" si="55"/>
        <ns0:v>-36.01</ns0:v>
      </ns0:c>
      <ns0:c r="AB89" s="43">
        <ns0:f t="shared" si="55"/>
        <ns0:v>-12.37</ns0:v>
      </ns0:c>
      <ns0:c r="AC89" s="43">
        <ns0:f t="shared" si="55"/>
        <ns0:v>-9.58000000000004</ns0:v>
      </ns0:c>
    </ns0:row>
    <ns0:row r="90" spans="1:29">
      <ns0:c r="A90" s="32"/>
      <ns0:c r="B90" s="33"/>
      <ns0:c r="C90" s="36" t="s">
        <ns0:v>52</ns0:v>
      </ns0:c>
      <ns0:c r="D90" s="37"/>
      <ns0:c r="E90" s="26">
        <ns0:f t="shared" ref="E90:E94" si="56">SUM(F90:AC90)</ns0:f>
        <ns0:v>-646.805489</ns0:v>
      </ns0:c>
      <ns0:c r="F90" s="43">
        <ns0:f t="shared" ref="F90:AC90" si="57">(-F86*F89)*1</ns0:f>
        <ns0:v>4.85976200000002</ns0:v>
      </ns0:c>
      <ns0:c r="G90" s="43">
        <ns0:f t="shared" si="57"/>
        <ns0:v>-6.448071</ns0:v>
      </ns0:c>
      <ns0:c r="H90" s="43">
        <ns0:f t="shared" si="57"/>
        <ns0:v>3.15853200000001</ns0:v>
      </ns0:c>
      <ns0:c r="I90" s="43">
        <ns0:f t="shared" si="57"/>
        <ns0:v>-2.19126599999999</ns0:v>
      </ns0:c>
      <ns0:c r="J90" s="43">
        <ns0:f t="shared" si="57"/>
        <ns0:v>7.42727</ns0:v>
      </ns0:c>
      <ns0:c r="K90" s="43">
        <ns0:f t="shared" si="57"/>
        <ns0:v>-0.373983000000035</ns0:v>
      </ns0:c>
      <ns0:c r="L90" s="43">
        <ns0:f t="shared" si="57"/>
        <ns0:v>-4.16007999999999</ns0:v>
      </ns0:c>
      <ns0:c r="M90" s="43">
        <ns0:f t="shared" si="57"/>
        <ns0:v>6.44412000000001</ns0:v>
      </ns0:c>
      <ns0:c r="N90" s="43">
        <ns0:f t="shared" si="57"/>
        <ns0:v>-43.105944</ns0:v>
      </ns0:c>
      <ns0:c r="O90" s="43">
        <ns0:f t="shared" si="57"/>
        <ns0:v>-119.68464</ns0:v>
      </ns0:c>
      <ns0:c r="P90" s="43">
        <ns0:f t="shared" si="57"/>
        <ns0:v>-42.444948</ns0:v>
      </ns0:c>
      <ns0:c r="Q90" s="43">
        <ns0:f t="shared" si="57"/>
        <ns0:v>-27.84246</ns0:v>
      </ns0:c>
      <ns0:c r="R90" s="43">
        <ns0:f t="shared" si="57"/>
        <ns0:v>-18.733665</ns0:v>
      </ns0:c>
      <ns0:c r="S90" s="43">
        <ns0:f t="shared" si="57"/>
        <ns0:v>-29.48556</ns0:v>
      </ns0:c>
      <ns0:c r="T90" s="43">
        <ns0:f t="shared" si="57"/>
        <ns0:v>-16.9118279999999</ns0:v>
      </ns0:c>
      <ns0:c r="U90" s="43">
        <ns0:f t="shared" si="57"/>
        <ns0:v>4.20647999999996</ns0:v>
      </ns0:c>
      <ns0:c r="V90" s="43">
        <ns0:f t="shared" si="57"/>
        <ns0:v>-7.51842000000002</ns0:v>
      </ns0:c>
      <ns0:c r="W90" s="43">
        <ns0:f t="shared" si="57"/>
        <ns0:v>-86.069194</ns0:v>
      </ns0:c>
      <ns0:c r="X90" s="43">
        <ns0:f t="shared" si="57"/>
        <ns0:v>-121.73772</ns0:v>
      </ns0:c>
      <ns0:c r="Y90" s="43">
        <ns0:f t="shared" si="57"/>
        <ns0:v>-4.44069599999997</ns0:v>
      </ns0:c>
      <ns0:c r="Z90" s="43">
        <ns0:f t="shared" si="57"/>
        <ns0:v>-80.662581</ns0:v>
      </ns0:c>
      <ns0:c r="AA90" s="43">
        <ns0:f t="shared" si="57"/>
        <ns0:v>-43.492878</ns0:v>
      </ns0:c>
      <ns0:c r="AB90" s="43">
        <ns0:f t="shared" si="57"/>
        <ns0:v>-11.324735</ns0:v>
      </ns0:c>
      <ns0:c r="AC90" s="43">
        <ns0:f t="shared" si="57"/>
        <ns0:v>-6.27298400000003</ns0:v>
      </ns0:c>
    </ns0:row>
    <ns0:row r="91" spans="1:29">
      <ns0:c r="A91" s="32"/>
      <ns0:c r="B91" s="33"/>
      <ns0:c r="C91" s="38" t="s">
        <ns0:v>53</ns0:v>
      </ns0:c>
      <ns0:c r="D91" s="37"/>
      <ns0:c r="E91" s="26">
        <ns0:f t="shared" si="56"/>
        <ns0:v>-660.5633302</ns0:v>
      </ns0:c>
      <ns0:c r="F91" s="43">
        <ns0:f t="shared" ref="F91:AC91" si="58">(IF(F90&gt;0,ABS(MIN(F85*0.2,ABS(F86))*F89),F90))*1</ns0:f>
        <ns0:v>2.19389640000001</ns0:v>
      </ns0:c>
      <ns0:c r="G91" s="43">
        <ns0:f t="shared" si="58"/>
        <ns0:v>-6.448071</ns0:v>
      </ns0:c>
      <ns0:c r="H91" s="43">
        <ns0:f t="shared" si="58"/>
        <ns0:v>1.5124824</ns0:v>
      </ns0:c>
      <ns0:c r="I91" s="43">
        <ns0:f t="shared" si="58"/>
        <ns0:v>-2.19126599999999</ns0:v>
      </ns0:c>
      <ns0:c r="J91" s="43">
        <ns0:f t="shared" si="58"/>
        <ns0:v>3.375844</ns0:v>
      </ns0:c>
      <ns0:c r="K91" s="43">
        <ns0:f t="shared" si="58"/>
        <ns0:v>-0.373983000000035</ns0:v>
      </ns0:c>
      <ns0:c r="L91" s="43">
        <ns0:f t="shared" si="58"/>
        <ns0:v>-4.16007999999999</ns0:v>
      </ns0:c>
      <ns0:c r="M91" s="43">
        <ns0:f t="shared" si="58"/>
        <ns0:v>3.362164</ns0:v>
      </ns0:c>
      <ns0:c r="N91" s="43">
        <ns0:f t="shared" si="58"/>
        <ns0:v>-43.105944</ns0:v>
      </ns0:c>
      <ns0:c r="O91" s="43">
        <ns0:f t="shared" si="58"/>
        <ns0:v>-119.68464</ns0:v>
      </ns0:c>
      <ns0:c r="P91" s="43">
        <ns0:f t="shared" si="58"/>
        <ns0:v>-42.444948</ns0:v>
      </ns0:c>
      <ns0:c r="Q91" s="43">
        <ns0:f t="shared" si="58"/>
        <ns0:v>-27.84246</ns0:v>
      </ns0:c>
      <ns0:c r="R91" s="43">
        <ns0:f t="shared" si="58"/>
        <ns0:v>-18.733665</ns0:v>
      </ns0:c>
      <ns0:c r="S91" s="43">
        <ns0:f t="shared" si="58"/>
        <ns0:v>-29.48556</ns0:v>
      </ns0:c>
      <ns0:c r="T91" s="43">
        <ns0:f t="shared" si="58"/>
        <ns0:v>-16.9118279999999</ns0:v>
      </ns0:c>
      <ns0:c r="U91" s="43">
        <ns0:f t="shared" si="58"/>
        <ns0:v>1.89393599999998</ns0:v>
      </ns0:c>
      <ns0:c r="V91" s="43">
        <ns0:f t="shared" si="58"/>
        <ns0:v>-7.51842000000002</ns0:v>
      </ns0:c>
      <ns0:c r="W91" s="43">
        <ns0:f t="shared" si="58"/>
        <ns0:v>-86.069194</ns0:v>
      </ns0:c>
      <ns0:c r="X91" s="43">
        <ns0:f t="shared" si="58"/>
        <ns0:v>-121.73772</ns0:v>
      </ns0:c>
      <ns0:c r="Y91" s="43">
        <ns0:f t="shared" si="58"/>
        <ns0:v>-4.44069599999997</ns0:v>
      </ns0:c>
      <ns0:c r="Z91" s="43">
        <ns0:f t="shared" si="58"/>
        <ns0:v>-80.662581</ns0:v>
      </ns0:c>
      <ns0:c r="AA91" s="43">
        <ns0:f t="shared" si="58"/>
        <ns0:v>-43.492878</ns0:v>
      </ns0:c>
      <ns0:c r="AB91" s="43">
        <ns0:f t="shared" si="58"/>
        <ns0:v>-11.324735</ns0:v>
      </ns0:c>
      <ns0:c r="AC91" s="43">
        <ns0:f t="shared" si="58"/>
        <ns0:v>-6.27298400000003</ns0:v>
      </ns0:c>
    </ns0:row>
    <ns0:row r="92" spans="1:29">
      <ns0:c r="A92" s="32"/>
      <ns0:c r="B92" s="33"/>
      <ns0:c r="C92" s="39" t="s">
        <ns0:v>50</ns0:v>
      </ns0:c>
      <ns0:c r="D92" s="37"/>
      <ns0:c r="E92" s="44">
        <ns0:f t="shared" ref="E92:AC92" si="59">E90-E91</ns0:f>
        <ns0:v>13.7578412</ns0:v>
      </ns0:c>
      <ns0:c r="F92" s="26">
        <ns0:f t="shared" si="59"/>
        <ns0:v>2.66586560000001</ns0:v>
      </ns0:c>
      <ns0:c r="G92" s="26">
        <ns0:f t="shared" si="59"/>
        <ns0:v>0</ns0:v>
      </ns0:c>
      <ns0:c r="H92" s="26">
        <ns0:f t="shared" si="59"/>
        <ns0:v>1.6460496</ns0:v>
      </ns0:c>
      <ns0:c r="I92" s="26">
        <ns0:f t="shared" si="59"/>
        <ns0:v>0</ns0:v>
      </ns0:c>
      <ns0:c r="J92" s="26">
        <ns0:f t="shared" si="59"/>
        <ns0:v>4.051426</ns0:v>
      </ns0:c>
      <ns0:c r="K92" s="26">
        <ns0:f t="shared" si="59"/>
        <ns0:v>0</ns0:v>
      </ns0:c>
      <ns0:c r="L92" s="26">
        <ns0:f t="shared" si="59"/>
        <ns0:v>0</ns0:v>
      </ns0:c>
      <ns0:c r="M92" s="26">
        <ns0:f t="shared" si="59"/>
        <ns0:v>3.081956</ns0:v>
      </ns0:c>
      <ns0:c r="N92" s="26">
        <ns0:f t="shared" si="59"/>
        <ns0:v>0</ns0:v>
      </ns0:c>
      <ns0:c r="O92" s="26">
        <ns0:f t="shared" si="59"/>
        <ns0:v>0</ns0:v>
      </ns0:c>
      <ns0:c r="P92" s="26">
        <ns0:f t="shared" si="59"/>
        <ns0:v>0</ns0:v>
      </ns0:c>
      <ns0:c r="Q92" s="26">
        <ns0:f t="shared" si="59"/>
        <ns0:v>0</ns0:v>
      </ns0:c>
      <ns0:c r="R92" s="26">
        <ns0:f t="shared" si="59"/>
        <ns0:v>0</ns0:v>
      </ns0:c>
      <ns0:c r="S92" s="26">
        <ns0:f t="shared" si="59"/>
        <ns0:v>0</ns0:v>
      </ns0:c>
      <ns0:c r="T92" s="26">
        <ns0:f t="shared" si="59"/>
        <ns0:v>0</ns0:v>
      </ns0:c>
      <ns0:c r="U92" s="26">
        <ns0:f t="shared" si="59"/>
        <ns0:v>2.31254399999998</ns0:v>
      </ns0:c>
      <ns0:c r="V92" s="26">
        <ns0:f t="shared" si="59"/>
        <ns0:v>0</ns0:v>
      </ns0:c>
      <ns0:c r="W92" s="26">
        <ns0:f t="shared" si="59"/>
        <ns0:v>0</ns0:v>
      </ns0:c>
      <ns0:c r="X92" s="26">
        <ns0:f t="shared" si="59"/>
        <ns0:v>0</ns0:v>
      </ns0:c>
      <ns0:c r="Y92" s="26">
        <ns0:f t="shared" si="59"/>
        <ns0:v>0</ns0:v>
      </ns0:c>
      <ns0:c r="Z92" s="26">
        <ns0:f t="shared" si="59"/>
        <ns0:v>0</ns0:v>
      </ns0:c>
      <ns0:c r="AA92" s="26">
        <ns0:f t="shared" si="59"/>
        <ns0:v>0</ns0:v>
      </ns0:c>
      <ns0:c r="AB92" s="26">
        <ns0:f t="shared" si="59"/>
        <ns0:v>0</ns0:v>
      </ns0:c>
      <ns0:c r="AC92" s="26">
        <ns0:f t="shared" si="59"/>
        <ns0:v>0</ns0:v>
      </ns0:c>
    </ns0:row>
    <ns0:row r="93" spans="1:29">
      <ns0:c r="A93" s="29">
        <ns0:v>46002</ns0:v>
      </ns0:c>
      <ns0:c r="B93" s="30">
        <ns0:f>E100</ns0:f>
        <ns0:v>52.9329256</ns0:v>
      </ns0:c>
      <ns0:c r="C93" s="31" t="s">
        <ns0:v>47</ns0:v>
      </ns0:c>
      <ns0:c r="D93" s="31" t="s">
        <ns0:v>48</ns0:v>
      </ns0:c>
      <ns0:c r="E93" s="42">
        <ns0:f t="shared" si="56"/>
        <ns0:v>59.215</ns0:v>
      </ns0:c>
      <ns0:c r="F93" s="46">
        <ns0:v>1.61</ns0:v>
      </ns0:c>
      <ns0:c r="G93" s="46">
        <ns0:v>1.478</ns0:v>
      </ns0:c>
      <ns0:c r="H93" s="46">
        <ns0:v>1.264</ns0:v>
      </ns0:c>
      <ns0:c r="I93" s="46">
        <ns0:v>1.282</ns0:v>
      </ns0:c>
      <ns0:c r="J93" s="46">
        <ns0:v>1.272</ns0:v>
      </ns0:c>
      <ns0:c r="K93" s="46">
        <ns0:v>1.269</ns0:v>
      </ns0:c>
      <ns0:c r="L93" s="46">
        <ns0:v>1.226</ns0:v>
      </ns0:c>
      <ns0:c r="M93" s="46">
        <ns0:v>1.755</ns0:v>
      </ns0:c>
      <ns0:c r="N93" s="46">
        <ns0:v>3.931</ns0:v>
      </ns0:c>
      <ns0:c r="O93" s="46">
        <ns0:v>4.203</ns0:v>
      </ns0:c>
      <ns0:c r="P93" s="46">
        <ns0:v>3.294</ns0:v>
      </ns0:c>
      <ns0:c r="Q93" s="46">
        <ns0:v>2.706</ns0:v>
      </ns0:c>
      <ns0:c r="R93" s="46">
        <ns0:v>2.237</ns0:v>
      </ns0:c>
      <ns0:c r="S93" s="46">
        <ns0:v>2.595</ns0:v>
      </ns0:c>
      <ns0:c r="T93" s="46">
        <ns0:v>3.086</ns0:v>
      </ns0:c>
      <ns0:c r="U93" s="46">
        <ns0:v>2.916</ns0:v>
      </ns0:c>
      <ns0:c r="V93" s="46">
        <ns0:v>3.42</ns0:v>
      </ns0:c>
      <ns0:c r="W93" s="46">
        <ns0:v>4.027</ns0:v>
      </ns0:c>
      <ns0:c r="X93" s="46">
        <ns0:v>3.313</ns0:v>
      </ns0:c>
      <ns0:c r="Y93" s="46">
        <ns0:v>3.343</ns0:v>
      </ns0:c>
      <ns0:c r="Z93" s="46">
        <ns0:v>2.877</ns0:v>
      </ns0:c>
      <ns0:c r="AA93" s="46">
        <ns0:v>2.368</ns0:v>
      </ns0:c>
      <ns0:c r="AB93" s="46">
        <ns0:v>1.99</ns0:v>
      </ns0:c>
      <ns0:c r="AC93" s="46">
        <ns0:v>1.753</ns0:v>
      </ns0:c>
    </ns0:row>
    <ns0:row r="94" spans="1:29">
      <ns0:c r="A94" s="32"/>
      <ns0:c r="B94" s="33"/>
      <ns0:c r="C94" s="32"/>
      <ns0:c r="D94" s="6" t="s">
        <ns0:v>49</ns0:v>
      </ns0:c>
      <ns0:c r="E94" s="42">
        <ns0:f t="shared" si="56"/>
        <ns0:v>67.6875</ns0:v>
      </ns0:c>
      <ns0:c r="F94" s="47">
        <ns0:v>1.5969</ns0:v>
      </ns0:c>
      <ns0:c r="G94" s="47">
        <ns0:v>1.7024</ns0:v>
      </ns0:c>
      <ns0:c r="H94" s="47">
        <ns0:v>1.6045</ns0:v>
      </ns0:c>
      <ns0:c r="I94" s="47">
        <ns0:v>1.6812</ns0:v>
      </ns0:c>
      <ns0:c r="J94" s="47">
        <ns0:v>1.6012</ns0:v>
      </ns0:c>
      <ns0:c r="K94" s="47">
        <ns0:v>1.611</ns0:v>
      </ns0:c>
      <ns0:c r="L94" s="47">
        <ns0:v>1.563</ns0:v>
      </ns0:c>
      <ns0:c r="M94" s="47">
        <ns0:v>1.8924</ns0:v>
      </ns0:c>
      <ns0:c r="N94" s="47">
        <ns0:v>3.9873</ns0:v>
      </ns0:c>
      <ns0:c r="O94" s="47">
        <ns0:v>4.4796</ns0:v>
      </ns0:c>
      <ns0:c r="P94" s="47">
        <ns0:v>3.8009</ns0:v>
      </ns0:c>
      <ns0:c r="Q94" s="47">
        <ns0:v>3.5078</ns0:v>
      </ns0:c>
      <ns0:c r="R94" s="47">
        <ns0:v>2.7735</ns0:v>
      </ns0:c>
      <ns0:c r="S94" s="47">
        <ns0:v>3.3588</ns0:v>
      </ns0:c>
      <ns0:c r="T94" s="47">
        <ns0:v>4.1293</ns0:v>
      </ns0:c>
      <ns0:c r="U94" s="47">
        <ns0:v>3.9898</ns0:v>
      </ns0:c>
      <ns0:c r="V94" s="47">
        <ns0:v>4.2609</ns0:v>
      </ns0:c>
      <ns0:c r="W94" s="47">
        <ns0:v>3.9068</ns0:v>
      </ns0:c>
      <ns0:c r="X94" s="47">
        <ns0:v>3.3924</ns0:v>
      </ns0:c>
      <ns0:c r="Y94" s="47">
        <ns0:v>3.6102</ns0:v>
      </ns0:c>
      <ns0:c r="Z94" s="47">
        <ns0:v>3.1383</ns0:v>
      </ns0:c>
      <ns0:c r="AA94" s="47">
        <ns0:v>2.5487</ns0:v>
      </ns0:c>
      <ns0:c r="AB94" s="47">
        <ns0:v>1.9217</ns0:v>
      </ns0:c>
      <ns0:c r="AC94" s="47">
        <ns0:v>1.6289</ns0:v>
      </ns0:c>
    </ns0:row>
    <ns0:row r="95" spans="1:29">
      <ns0:c r="A95" s="32"/>
      <ns0:c r="B95" s="33"/>
      <ns0:c r="C95" s="34"/>
      <ns0:c r="D95" s="31" t="s">
        <ns0:v>50</ns0:v>
      </ns0:c>
      <ns0:c r="E95" s="26">
        <ns0:f t="shared" ref="E95:AC95" si="60">E93-E94</ns0:f>
        <ns0:v>-8.47249999999999</ns0:v>
      </ns0:c>
      <ns0:c r="F95" s="26">
        <ns0:f t="shared" si="60"/>
        <ns0:v>0.0131000000000001</ns0:v>
      </ns0:c>
      <ns0:c r="G95" s="26">
        <ns0:f t="shared" si="60"/>
        <ns0:v>-0.2244</ns0:v>
      </ns0:c>
      <ns0:c r="H95" s="26">
        <ns0:f t="shared" si="60"/>
        <ns0:v>-0.3405</ns0:v>
      </ns0:c>
      <ns0:c r="I95" s="26">
        <ns0:f t="shared" si="60"/>
        <ns0:v>-0.3992</ns0:v>
      </ns0:c>
      <ns0:c r="J95" s="26">
        <ns0:f t="shared" si="60"/>
        <ns0:v>-0.3292</ns0:v>
      </ns0:c>
      <ns0:c r="K95" s="26">
        <ns0:f t="shared" si="60"/>
        <ns0:v>-0.342</ns0:v>
      </ns0:c>
      <ns0:c r="L95" s="26">
        <ns0:f t="shared" si="60"/>
        <ns0:v>-0.337</ns0:v>
      </ns0:c>
      <ns0:c r="M95" s="26">
        <ns0:f t="shared" si="60"/>
        <ns0:v>-0.1374</ns0:v>
      </ns0:c>
      <ns0:c r="N95" s="26">
        <ns0:f t="shared" si="60"/>
        <ns0:v>-0.0562999999999998</ns0:v>
      </ns0:c>
      <ns0:c r="O95" s="26">
        <ns0:f t="shared" si="60"/>
        <ns0:v>-0.276599999999999</ns0:v>
      </ns0:c>
      <ns0:c r="P95" s="26">
        <ns0:f t="shared" si="60"/>
        <ns0:v>-0.5069</ns0:v>
      </ns0:c>
      <ns0:c r="Q95" s="26">
        <ns0:f t="shared" si="60"/>
        <ns0:v>-0.8018</ns0:v>
      </ns0:c>
      <ns0:c r="R95" s="26">
        <ns0:f t="shared" si="60"/>
        <ns0:v>-0.5365</ns0:v>
      </ns0:c>
      <ns0:c r="S95" s="26">
        <ns0:f t="shared" si="60"/>
        <ns0:v>-0.7638</ns0:v>
      </ns0:c>
      <ns0:c r="T95" s="26">
        <ns0:f t="shared" si="60"/>
        <ns0:v>-1.0433</ns0:v>
      </ns0:c>
      <ns0:c r="U95" s="26">
        <ns0:f t="shared" si="60"/>
        <ns0:v>-1.0738</ns0:v>
      </ns0:c>
      <ns0:c r="V95" s="26">
        <ns0:f t="shared" si="60"/>
        <ns0:v>-0.8409</ns0:v>
      </ns0:c>
      <ns0:c r="W95" s="26">
        <ns0:f t="shared" si="60"/>
        <ns0:v>0.1202</ns0:v>
      </ns0:c>
      <ns0:c r="X95" s="26">
        <ns0:f t="shared" si="60"/>
        <ns0:v>-0.0793999999999997</ns0:v>
      </ns0:c>
      <ns0:c r="Y95" s="26">
        <ns0:f t="shared" si="60"/>
        <ns0:v>-0.2672</ns0:v>
      </ns0:c>
      <ns0:c r="Z95" s="26">
        <ns0:f t="shared" si="60"/>
        <ns0:v>-0.2613</ns0:v>
      </ns0:c>
      <ns0:c r="AA95" s="26">
        <ns0:f t="shared" si="60"/>
        <ns0:v>-0.1807</ns0:v>
      </ns0:c>
      <ns0:c r="AB95" s="26">
        <ns0:f t="shared" si="60"/>
        <ns0:v>0.0683</ns0:v>
      </ns0:c>
      <ns0:c r="AC95" s="26">
        <ns0:f t="shared" si="60"/>
        <ns0:v>0.1241</ns0:v>
      </ns0:c>
    </ns0:row>
    <ns0:row r="96" spans="1:29">
      <ns0:c r="A96" s="32"/>
      <ns0:c r="B96" s="33"/>
      <ns0:c r="C96" s="35" t="s">
        <ns0:v>51</ns0:v>
      </ns0:c>
      <ns0:c r="D96" s="31" t="s">
        <ns0:v>48</ns0:v>
      </ns0:c>
      <ns0:c r="E96" s="31">
        <ns0:f>AVERAGE(F96:AC96)</ns0:f>
        <ns0:v>312.0125</ns0:v>
      </ns0:c>
      <ns0:c r="F96" s="43">
        <ns0:v>331.18</ns0:v>
      </ns0:c>
      <ns0:c r="G96" s="43">
        <ns0:v>320.34</ns0:v>
      </ns0:c>
      <ns0:c r="H96" s="43">
        <ns0:v>317.1</ns0:v>
      </ns0:c>
      <ns0:c r="I96" s="43">
        <ns0:v>307.13</ns0:v>
      </ns0:c>
      <ns0:c r="J96" s="43">
        <ns0:v>304.79</ns0:v>
      </ns0:c>
      <ns0:c r="K96" s="43">
        <ns0:v>302.37</ns0:v>
      </ns0:c>
      <ns0:c r="L96" s="43">
        <ns0:v>313.63</ns0:v>
      </ns0:c>
      <ns0:c r="M96" s="43">
        <ns0:v>319.27</ns0:v>
      </ns0:c>
      <ns0:c r="N96" s="43">
        <ns0:v>332.99</ns0:v>
      </ns0:c>
      <ns0:c r="O96" s="43">
        <ns0:v>320.77</ns0:v>
      </ns0:c>
      <ns0:c r="P96" s="43">
        <ns0:v>288.25</ns0:v>
      </ns0:c>
      <ns0:c r="Q96" s="43">
        <ns0:v>265.57</ns0:v>
      </ns0:c>
      <ns0:c r="R96" s="43">
        <ns0:v>235.61</ns0:v>
      </ns0:c>
      <ns0:c r="S96" s="43">
        <ns0:v>254.33</ns0:v>
      </ns0:c>
      <ns0:c r="T96" s="43">
        <ns0:v>263.98</ns0:v>
      </ns0:c>
      <ns0:c r="U96" s="43">
        <ns0:v>276.09</ns0:v>
      </ns0:c>
      <ns0:c r="V96" s="43">
        <ns0:v>307.37</ns0:v>
      </ns0:c>
      <ns0:c r="W96" s="43">
        <ns0:v>348.52</ns0:v>
      </ns0:c>
      <ns0:c r="X96" s="43">
        <ns0:v>389.59</ns0:v>
      </ns0:c>
      <ns0:c r="Y96" s="43">
        <ns0:v>376.19</ns0:v>
      </ns0:c>
      <ns0:c r="Z96" s="43">
        <ns0:v>360.48</ns0:v>
      </ns0:c>
      <ns0:c r="AA96" s="43">
        <ns0:v>341.7</ns0:v>
      </ns0:c>
      <ns0:c r="AB96" s="43">
        <ns0:v>318.27</ns0:v>
      </ns0:c>
      <ns0:c r="AC96" s="43">
        <ns0:v>292.78</ns0:v>
      </ns0:c>
    </ns0:row>
    <ns0:row r="97" spans="1:29">
      <ns0:c r="A97" s="32"/>
      <ns0:c r="B97" s="33"/>
      <ns0:c r="C97" s="32"/>
      <ns0:c r="D97" s="31" t="s">
        <ns0:v>49</ns0:v>
      </ns0:c>
      <ns0:c r="E97" s="31">
        <ns0:f>AVERAGE(F97:AC97)</ns0:f>
        <ns0:v>309.16125</ns0:v>
      </ns0:c>
      <ns0:c r="F97" s="43">
        <ns0:v>302.21</ns0:v>
      </ns0:c>
      <ns0:c r="G97" s="43">
        <ns0:v>308</ns0:v>
      </ns0:c>
      <ns0:c r="H97" s="43">
        <ns0:v>303.48</ns0:v>
      </ns0:c>
      <ns0:c r="I97" s="43">
        <ns0:v>291.42</ns0:v>
      </ns0:c>
      <ns0:c r="J97" s="43">
        <ns0:v>288.17</ns0:v>
      </ns0:c>
      <ns0:c r="K97" s="43">
        <ns0:v>294.67</ns0:v>
      </ns0:c>
      <ns0:c r="L97" s="43">
        <ns0:v>302.61</ns0:v>
      </ns0:c>
      <ns0:c r="M97" s="43">
        <ns0:v>315.37</ns0:v>
      </ns0:c>
      <ns0:c r="N97" s="43">
        <ns0:v>338.08</ns0:v>
      </ns0:c>
      <ns0:c r="O97" s="43">
        <ns0:v>358.58</ns0:v>
      </ns0:c>
      <ns0:c r="P97" s="43">
        <ns0:v>298.08</ns0:v>
      </ns0:c>
      <ns0:c r="Q97" s="43">
        <ns0:v>255.73</ns0:v>
      </ns0:c>
      <ns0:c r="R97" s="43">
        <ns0:v>194.38</ns0:v>
      </ns0:c>
      <ns0:c r="S97" s="43">
        <ns0:v>220.57</ns0:v>
      </ns0:c>
      <ns0:c r="T97" s="43">
        <ns0:v>256.29</ns0:v>
      </ns0:c>
      <ns0:c r="U97" s="43">
        <ns0:v>278.14</ns0:v>
      </ns0:c>
      <ns0:c r="V97" s="43">
        <ns0:v>316.94</ns0:v>
      </ns0:c>
      <ns0:c r="W97" s="43">
        <ns0:v>371.75</ns0:v>
      </ns0:c>
      <ns0:c r="X97" s="43">
        <ns0:v>432.88</ns0:v>
      </ns0:c>
      <ns0:c r="Y97" s="43">
        <ns0:v>360.85</ns0:v>
      </ns0:c>
      <ns0:c r="Z97" s="43">
        <ns0:v>372.03</ns0:v>
      </ns0:c>
      <ns0:c r="AA97" s="43">
        <ns0:v>356.67</ns0:v>
      </ns0:c>
      <ns0:c r="AB97" s="43">
        <ns0:v>312.86</ns0:v>
      </ns0:c>
      <ns0:c r="AC97" s="43">
        <ns0:v>290.11</ns0:v>
      </ns0:c>
    </ns0:row>
    <ns0:row r="98" spans="1:29">
      <ns0:c r="A98" s="32"/>
      <ns0:c r="B98" s="33"/>
      <ns0:c r="C98" s="34"/>
      <ns0:c r="D98" s="31" t="s">
        <ns0:v>50</ns0:v>
      </ns0:c>
      <ns0:c r="E98" s="26">
        <ns0:f t="shared" ref="E98:AC98" si="61">E96-E97</ns0:f>
        <ns0:v>2.85124999999999</ns0:v>
      </ns0:c>
      <ns0:c r="F98" s="26">
        <ns0:f t="shared" si="61"/>
        <ns0:v>28.97</ns0:v>
      </ns0:c>
      <ns0:c r="G98" s="26">
        <ns0:f t="shared" si="61"/>
        <ns0:v>12.34</ns0:v>
      </ns0:c>
      <ns0:c r="H98" s="26">
        <ns0:f t="shared" si="61"/>
        <ns0:v>13.62</ns0:v>
      </ns0:c>
      <ns0:c r="I98" s="26">
        <ns0:f t="shared" si="61"/>
        <ns0:v>15.71</ns0:v>
      </ns0:c>
      <ns0:c r="J98" s="26">
        <ns0:f t="shared" si="61"/>
        <ns0:v>16.62</ns0:v>
      </ns0:c>
      <ns0:c r="K98" s="26">
        <ns0:f t="shared" si="61"/>
        <ns0:v>7.69999999999999</ns0:v>
      </ns0:c>
      <ns0:c r="L98" s="26">
        <ns0:f t="shared" si="61"/>
        <ns0:v>11.02</ns0:v>
      </ns0:c>
      <ns0:c r="M98" s="26">
        <ns0:f t="shared" si="61"/>
        <ns0:v>3.89999999999998</ns0:v>
      </ns0:c>
      <ns0:c r="N98" s="26">
        <ns0:f t="shared" si="61"/>
        <ns0:v>-5.08999999999997</ns0:v>
      </ns0:c>
      <ns0:c r="O98" s="26">
        <ns0:f t="shared" si="61"/>
        <ns0:v>-37.81</ns0:v>
      </ns0:c>
      <ns0:c r="P98" s="26">
        <ns0:f t="shared" si="61"/>
        <ns0:v>-9.82999999999998</ns0:v>
      </ns0:c>
      <ns0:c r="Q98" s="26">
        <ns0:f t="shared" si="61"/>
        <ns0:v>9.84</ns0:v>
      </ns0:c>
      <ns0:c r="R98" s="26">
        <ns0:f t="shared" si="61"/>
        <ns0:v>41.23</ns0:v>
      </ns0:c>
      <ns0:c r="S98" s="26">
        <ns0:f t="shared" si="61"/>
        <ns0:v>33.76</ns0:v>
      </ns0:c>
      <ns0:c r="T98" s="26">
        <ns0:f t="shared" si="61"/>
        <ns0:v>7.69</ns0:v>
      </ns0:c>
      <ns0:c r="U98" s="26">
        <ns0:f t="shared" si="61"/>
        <ns0:v>-2.05000000000001</ns0:v>
      </ns0:c>
      <ns0:c r="V98" s="26">
        <ns0:f t="shared" si="61"/>
        <ns0:v>-9.56999999999999</ns0:v>
      </ns0:c>
      <ns0:c r="W98" s="26">
        <ns0:f t="shared" si="61"/>
        <ns0:v>-23.23</ns0:v>
      </ns0:c>
      <ns0:c r="X98" s="26">
        <ns0:f t="shared" si="61"/>
        <ns0:v>-43.29</ns0:v>
      </ns0:c>
      <ns0:c r="Y98" s="26">
        <ns0:f t="shared" si="61"/>
        <ns0:v>15.34</ns0:v>
      </ns0:c>
      <ns0:c r="Z98" s="26">
        <ns0:f t="shared" si="61"/>
        <ns0:v>-11.55</ns0:v>
      </ns0:c>
      <ns0:c r="AA98" s="26">
        <ns0:f t="shared" si="61"/>
        <ns0:v>-14.97</ns0:v>
      </ns0:c>
      <ns0:c r="AB98" s="26">
        <ns0:f t="shared" si="61"/>
        <ns0:v>5.40999999999997</ns0:v>
      </ns0:c>
      <ns0:c r="AC98" s="26">
        <ns0:f t="shared" si="61"/>
        <ns0:v>2.66999999999996</ns0:v>
      </ns0:c>
    </ns0:row>
    <ns0:row r="99" spans="1:29">
      <ns0:c r="A99" s="32"/>
      <ns0:c r="B99" s="33"/>
      <ns0:c r="C99" s="36" t="s">
        <ns0:v>52</ns0:v>
      </ns0:c>
      <ns0:c r="D99" s="37"/>
      <ns0:c r="E99" s="26">
        <ns0:f t="shared" ref="E99:E103" si="62">SUM(F99:AC99)</ns0:f>
        <ns0:v>60.524988</ns0:v>
      </ns0:c>
      <ns0:c r="F99" s="48">
        <ns0:f t="shared" ref="F99:AC99" si="63">-F95*F98</ns0:f>
        <ns0:v>-0.379507000000003</ns0:v>
      </ns0:c>
      <ns0:c r="G99" s="48">
        <ns0:f t="shared" si="63"/>
        <ns0:v>2.769096</ns0:v>
      </ns0:c>
      <ns0:c r="H99" s="48">
        <ns0:f t="shared" si="63"/>
        <ns0:v>4.63761</ns0:v>
      </ns0:c>
      <ns0:c r="I99" s="48">
        <ns0:f t="shared" si="63"/>
        <ns0:v>6.271432</ns0:v>
      </ns0:c>
      <ns0:c r="J99" s="48">
        <ns0:f t="shared" si="63"/>
        <ns0:v>5.471304</ns0:v>
      </ns0:c>
      <ns0:c r="K99" s="48">
        <ns0:f t="shared" si="63"/>
        <ns0:v>2.6334</ns0:v>
      </ns0:c>
      <ns0:c r="L99" s="48">
        <ns0:f t="shared" si="63"/>
        <ns0:v>3.71374</ns0:v>
      </ns0:c>
      <ns0:c r="M99" s="48">
        <ns0:f t="shared" si="63"/>
        <ns0:v>0.535859999999998</ns0:v>
      </ns0:c>
      <ns0:c r="N99" s="48">
        <ns0:f t="shared" si="63"/>
        <ns0:v>-0.286566999999997</ns0:v>
      </ns0:c>
      <ns0:c r="O99" s="48">
        <ns0:f t="shared" si="63"/>
        <ns0:v>-10.458246</ns0:v>
      </ns0:c>
      <ns0:c r="P99" s="48">
        <ns0:f t="shared" si="63"/>
        <ns0:v>-4.98282699999999</ns0:v>
      </ns0:c>
      <ns0:c r="Q99" s="48">
        <ns0:f t="shared" si="63"/>
        <ns0:v>7.889712</ns0:v>
      </ns0:c>
      <ns0:c r="R99" s="48">
        <ns0:f t="shared" si="63"/>
        <ns0:v>22.119895</ns0:v>
      </ns0:c>
      <ns0:c r="S99" s="48">
        <ns0:f t="shared" si="63"/>
        <ns0:v>25.785888</ns0:v>
      </ns0:c>
      <ns0:c r="T99" s="48">
        <ns0:f t="shared" si="63"/>
        <ns0:v>8.022977</ns0:v>
      </ns0:c>
      <ns0:c r="U99" s="48">
        <ns0:f t="shared" si="63"/>
        <ns0:v>-2.20129000000001</ns0:v>
      </ns0:c>
      <ns0:c r="V99" s="48">
        <ns0:f t="shared" si="63"/>
        <ns0:v>-8.047413</ns0:v>
      </ns0:c>
      <ns0:c r="W99" s="48">
        <ns0:f t="shared" si="63"/>
        <ns0:v>2.792246</ns0:v>
      </ns0:c>
      <ns0:c r="X99" s="48">
        <ns0:f t="shared" si="63"/>
        <ns0:v>-3.43722599999999</ns0:v>
      </ns0:c>
      <ns0:c r="Y99" s="48">
        <ns0:f t="shared" si="63"/>
        <ns0:v>4.098848</ns0:v>
      </ns0:c>
      <ns0:c r="Z99" s="48">
        <ns0:f t="shared" si="63"/>
        <ns0:v>-3.018015</ns0:v>
      </ns0:c>
      <ns0:c r="AA99" s="48">
        <ns0:f t="shared" si="63"/>
        <ns0:v>-2.705079</ns0:v>
      </ns0:c>
      <ns0:c r="AB99" s="48">
        <ns0:f t="shared" si="63"/>
        <ns0:v>-0.369502999999998</ns0:v>
      </ns0:c>
      <ns0:c r="AC99" s="48">
        <ns0:f t="shared" si="63"/>
        <ns0:v>-0.331346999999995</ns0:v>
      </ns0:c>
    </ns0:row>
    <ns0:row r="100" spans="1:29">
      <ns0:c r="A100" s="32"/>
      <ns0:c r="B100" s="33"/>
      <ns0:c r="C100" s="38" t="s">
        <ns0:v>53</ns0:v>
      </ns0:c>
      <ns0:c r="D100" s="37"/>
      <ns0:c r="E100" s="26">
        <ns0:f t="shared" si="62"/>
        <ns0:v>52.9329256</ns0:v>
      </ns0:c>
      <ns0:c r="F100" s="48">
        <ns0:f t="shared" ref="F100:AC100" si="64">IF(F99&gt;0,ABS(MIN(F94*0.2,ABS(F95))*F98),F99)</ns0:f>
        <ns0:v>-0.379507000000003</ns0:v>
      </ns0:c>
      <ns0:c r="G100" s="48">
        <ns0:f t="shared" si="64"/>
        <ns0:v>2.769096</ns0:v>
      </ns0:c>
      <ns0:c r="H100" s="48">
        <ns0:f t="shared" si="64"/>
        <ns0:v>4.370658</ns0:v>
      </ns0:c>
      <ns0:c r="I100" s="48">
        <ns0:f t="shared" si="64"/>
        <ns0:v>5.2823304</ns0:v>
      </ns0:c>
      <ns0:c r="J100" s="48">
        <ns0:f t="shared" si="64"/>
        <ns0:v>5.3223888</ns0:v>
      </ns0:c>
      <ns0:c r="K100" s="48">
        <ns0:f t="shared" si="64"/>
        <ns0:v>2.48094</ns0:v>
      </ns0:c>
      <ns0:c r="L100" s="48">
        <ns0:f t="shared" si="64"/>
        <ns0:v>3.444852</ns0:v>
      </ns0:c>
      <ns0:c r="M100" s="48">
        <ns0:f t="shared" si="64"/>
        <ns0:v>0.535859999999998</ns0:v>
      </ns0:c>
      <ns0:c r="N100" s="48">
        <ns0:f t="shared" si="64"/>
        <ns0:v>-0.286566999999997</ns0:v>
      </ns0:c>
      <ns0:c r="O100" s="48">
        <ns0:f t="shared" si="64"/>
        <ns0:v>-10.458246</ns0:v>
      </ns0:c>
      <ns0:c r="P100" s="48">
        <ns0:f t="shared" si="64"/>
        <ns0:v>-4.98282699999999</ns0:v>
      </ns0:c>
      <ns0:c r="Q100" s="48">
        <ns0:f t="shared" si="64"/>
        <ns0:v>6.9033504</ns0:v>
      </ns0:c>
      <ns0:c r="R100" s="48">
        <ns0:f t="shared" si="64"/>
        <ns0:v>22.119895</ns0:v>
      </ns0:c>
      <ns0:c r="S100" s="48">
        <ns0:f t="shared" si="64"/>
        <ns0:v>22.6786176</ns0:v>
      </ns0:c>
      <ns0:c r="T100" s="48">
        <ns0:f t="shared" si="64"/>
        <ns0:v>6.3508634</ns0:v>
      </ns0:c>
      <ns0:c r="U100" s="48">
        <ns0:f t="shared" si="64"/>
        <ns0:v>-2.20129000000001</ns0:v>
      </ns0:c>
      <ns0:c r="V100" s="48">
        <ns0:f t="shared" si="64"/>
        <ns0:v>-8.047413</ns0:v>
      </ns0:c>
      <ns0:c r="W100" s="48">
        <ns0:f t="shared" si="64"/>
        <ns0:v>2.792246</ns0:v>
      </ns0:c>
      <ns0:c r="X100" s="48">
        <ns0:f t="shared" si="64"/>
        <ns0:v>-3.43722599999999</ns0:v>
      </ns0:c>
      <ns0:c r="Y100" s="48">
        <ns0:f t="shared" si="64"/>
        <ns0:v>4.098848</ns0:v>
      </ns0:c>
      <ns0:c r="Z100" s="48">
        <ns0:f t="shared" si="64"/>
        <ns0:v>-3.018015</ns0:v>
      </ns0:c>
      <ns0:c r="AA100" s="48">
        <ns0:f t="shared" si="64"/>
        <ns0:v>-2.705079</ns0:v>
      </ns0:c>
      <ns0:c r="AB100" s="48">
        <ns0:f t="shared" si="64"/>
        <ns0:v>-0.369502999999998</ns0:v>
      </ns0:c>
      <ns0:c r="AC100" s="48">
        <ns0:f t="shared" si="64"/>
        <ns0:v>-0.331346999999995</ns0:v>
      </ns0:c>
    </ns0:row>
    <ns0:row r="101" spans="1:29">
      <ns0:c r="A101" s="32"/>
      <ns0:c r="B101" s="33"/>
      <ns0:c r="C101" s="39" t="s">
        <ns0:v>50</ns0:v>
      </ns0:c>
      <ns0:c r="D101" s="37"/>
      <ns0:c r="E101" s="44">
        <ns0:f t="shared" ref="E101:AC101" si="65">E99-E100</ns0:f>
        <ns0:v>7.5920624</ns0:v>
      </ns0:c>
      <ns0:c r="F101" s="26">
        <ns0:f t="shared" si="65"/>
        <ns0:v>0</ns0:v>
      </ns0:c>
      <ns0:c r="G101" s="26">
        <ns0:f t="shared" si="65"/>
        <ns0:v>0</ns0:v>
      </ns0:c>
      <ns0:c r="H101" s="26">
        <ns0:f t="shared" si="65"/>
        <ns0:v>0.266952000000001</ns0:v>
      </ns0:c>
      <ns0:c r="I101" s="26">
        <ns0:f t="shared" si="65"/>
        <ns0:v>0.989101599999999</ns0:v>
      </ns0:c>
      <ns0:c r="J101" s="26">
        <ns0:f t="shared" si="65"/>
        <ns0:v>0.148915199999998</ns0:v>
      </ns0:c>
      <ns0:c r="K101" s="26">
        <ns0:f t="shared" si="65"/>
        <ns0:v>0.15246</ns0:v>
      </ns0:c>
      <ns0:c r="L101" s="26">
        <ns0:f t="shared" si="65"/>
        <ns0:v>0.268888</ns0:v>
      </ns0:c>
      <ns0:c r="M101" s="26">
        <ns0:f t="shared" si="65"/>
        <ns0:v>0</ns0:v>
      </ns0:c>
      <ns0:c r="N101" s="26">
        <ns0:f t="shared" si="65"/>
        <ns0:v>0</ns0:v>
      </ns0:c>
      <ns0:c r="O101" s="26">
        <ns0:f t="shared" si="65"/>
        <ns0:v>0</ns0:v>
      </ns0:c>
      <ns0:c r="P101" s="26">
        <ns0:f t="shared" si="65"/>
        <ns0:v>0</ns0:v>
      </ns0:c>
      <ns0:c r="Q101" s="26">
        <ns0:f t="shared" si="65"/>
        <ns0:v>0.9863616</ns0:v>
      </ns0:c>
      <ns0:c r="R101" s="26">
        <ns0:f t="shared" si="65"/>
        <ns0:v>0</ns0:v>
      </ns0:c>
      <ns0:c r="S101" s="26">
        <ns0:f t="shared" si="65"/>
        <ns0:v>3.10727039999999</ns0:v>
      </ns0:c>
      <ns0:c r="T101" s="26">
        <ns0:f t="shared" si="65"/>
        <ns0:v>1.6721136</ns0:v>
      </ns0:c>
      <ns0:c r="U101" s="26">
        <ns0:f t="shared" si="65"/>
        <ns0:v>0</ns0:v>
      </ns0:c>
      <ns0:c r="V101" s="26">
        <ns0:f t="shared" si="65"/>
        <ns0:v>0</ns0:v>
      </ns0:c>
      <ns0:c r="W101" s="26">
        <ns0:f t="shared" si="65"/>
        <ns0:v>0</ns0:v>
      </ns0:c>
      <ns0:c r="X101" s="26">
        <ns0:f t="shared" si="65"/>
        <ns0:v>0</ns0:v>
      </ns0:c>
      <ns0:c r="Y101" s="26">
        <ns0:f t="shared" si="65"/>
        <ns0:v>0</ns0:v>
      </ns0:c>
      <ns0:c r="Z101" s="26">
        <ns0:f t="shared" si="65"/>
        <ns0:v>0</ns0:v>
      </ns0:c>
      <ns0:c r="AA101" s="26">
        <ns0:f t="shared" si="65"/>
        <ns0:v>0</ns0:v>
      </ns0:c>
      <ns0:c r="AB101" s="26">
        <ns0:f t="shared" si="65"/>
        <ns0:v>0</ns0:v>
      </ns0:c>
      <ns0:c r="AC101" s="26">
        <ns0:f t="shared" si="65"/>
        <ns0:v>0</ns0:v>
      </ns0:c>
    </ns0:row>
    <ns0:row r="102" spans="1:29">
      <ns0:c r="A102" s="29">
        <ns0:v>46003</ns0:v>
      </ns0:c>
      <ns0:c r="B102" s="30">
        <ns0:f>E109</ns0:f>
        <ns0:v>410.0331806</ns0:v>
      </ns0:c>
      <ns0:c r="C102" s="31" t="s">
        <ns0:v>47</ns0:v>
      </ns0:c>
      <ns0:c r="D102" s="31" t="s">
        <ns0:v>48</ns0:v>
      </ns0:c>
      <ns0:c r="E102" s="42">
        <ns0:f t="shared" si="62"/>
        <ns0:v>42.154</ns0:v>
      </ns0:c>
      <ns0:c r="F102" s="47">
        <ns0:v>1.099</ns0:v>
      </ns0:c>
      <ns0:c r="G102" s="47">
        <ns0:v>1.08</ns0:v>
      </ns0:c>
      <ns0:c r="H102" s="47">
        <ns0:v>1.074</ns0:v>
      </ns0:c>
      <ns0:c r="I102" s="47">
        <ns0:v>1.056</ns0:v>
      </ns0:c>
      <ns0:c r="J102" s="47">
        <ns0:v>1.049</ns0:v>
      </ns0:c>
      <ns0:c r="K102" s="47">
        <ns0:v>1.017</ns0:v>
      </ns0:c>
      <ns0:c r="L102" s="47">
        <ns0:v>1.004</ns0:v>
      </ns0:c>
      <ns0:c r="M102" s="47">
        <ns0:v>1.384</ns0:v>
      </ns0:c>
      <ns0:c r="N102" s="47">
        <ns0:v>2.75</ns0:v>
      </ns0:c>
      <ns0:c r="O102" s="47">
        <ns0:v>2.57</ns0:v>
      </ns0:c>
      <ns0:c r="P102" s="47">
        <ns0:v>2.281</ns0:v>
      </ns0:c>
      <ns0:c r="Q102" s="47">
        <ns0:v>2.172</ns0:v>
      </ns0:c>
      <ns0:c r="R102" s="47">
        <ns0:v>1.579</ns0:v>
      </ns0:c>
      <ns0:c r="S102" s="47">
        <ns0:v>1.866</ns0:v>
      </ns0:c>
      <ns0:c r="T102" s="47">
        <ns0:v>2.407</ns0:v>
      </ns0:c>
      <ns0:c r="U102" s="47">
        <ns0:v>2.463</ns0:v>
      </ns0:c>
      <ns0:c r="V102" s="47">
        <ns0:v>2.817</ns0:v>
      </ns0:c>
      <ns0:c r="W102" s="47">
        <ns0:v>2.384</ns0:v>
      </ns0:c>
      <ns0:c r="X102" s="47">
        <ns0:v>2.076</ns0:v>
      </ns0:c>
      <ns0:c r="Y102" s="47">
        <ns0:v>2.168</ns0:v>
      </ns0:c>
      <ns0:c r="Z102" s="47">
        <ns0:v>1.884</ns0:v>
      </ns0:c>
      <ns0:c r="AA102" s="47">
        <ns0:v>1.535</ns0:v>
      </ns0:c>
      <ns0:c r="AB102" s="47">
        <ns0:v>1.235</ns0:v>
      </ns0:c>
      <ns0:c r="AC102" s="47">
        <ns0:v>1.204</ns0:v>
      </ns0:c>
    </ns0:row>
    <ns0:row r="103" spans="1:29">
      <ns0:c r="A103" s="32"/>
      <ns0:c r="B103" s="33"/>
      <ns0:c r="C103" s="32"/>
      <ns0:c r="D103" s="6" t="s">
        <ns0:v>49</ns0:v>
      </ns0:c>
      <ns0:c r="E103" s="42">
        <ns0:f t="shared" si="62"/>
        <ns0:v>64.6752</ns0:v>
      </ns0:c>
      <ns0:c r="F103" s="47">
        <ns0:v>1.7304</ns0:v>
      </ns0:c>
      <ns0:c r="G103" s="47">
        <ns0:v>1.7137</ns0:v>
      </ns0:c>
      <ns0:c r="H103" s="47">
        <ns0:v>1.7267</ns0:v>
      </ns0:c>
      <ns0:c r="I103" s="47">
        <ns0:v>1.6543</ns0:v>
      </ns0:c>
      <ns0:c r="J103" s="47">
        <ns0:v>1.6745</ns0:v>
      </ns0:c>
      <ns0:c r="K103" s="47">
        <ns0:v>1.6777</ns0:v>
      </ns0:c>
      <ns0:c r="L103" s="47">
        <ns0:v>1.6374</ns0:v>
      </ns0:c>
      <ns0:c r="M103" s="47">
        <ns0:v>2.0256</ns0:v>
      </ns0:c>
      <ns0:c r="N103" s="47">
        <ns0:v>3.86</ns0:v>
      </ns0:c>
      <ns0:c r="O103" s="47">
        <ns0:v>4.0484</ns0:v>
      </ns0:c>
      <ns0:c r="P103" s="47">
        <ns0:v>3.4856</ns0:v>
      </ns0:c>
      <ns0:c r="Q103" s="47">
        <ns0:v>3.218</ns0:v>
      </ns0:c>
      <ns0:c r="R103" s="47">
        <ns0:v>2.725</ns0:v>
      </ns0:c>
      <ns0:c r="S103" s="47">
        <ns0:v>3.1876</ns0:v>
      </ns0:c>
      <ns0:c r="T103" s="47">
        <ns0:v>3.6984</ns0:v>
      </ns0:c>
      <ns0:c r="U103" s="47">
        <ns0:v>3.6778</ns0:v>
      </ns0:c>
      <ns0:c r="V103" s="47">
        <ns0:v>3.7711</ns0:v>
      </ns0:c>
      <ns0:c r="W103" s="47">
        <ns0:v>3.6505</ns0:v>
      </ns0:c>
      <ns0:c r="X103" s="47">
        <ns0:v>3.3801</ns0:v>
      </ns0:c>
      <ns0:c r="Y103" s="47">
        <ns0:v>3.3527</ns0:v>
      </ns0:c>
      <ns0:c r="Z103" s="47">
        <ns0:v>2.9247</ns0:v>
      </ns0:c>
      <ns0:c r="AA103" s="47">
        <ns0:v>2.343</ns0:v>
      </ns0:c>
      <ns0:c r="AB103" s="47">
        <ns0:v>1.8019</ns0:v>
      </ns0:c>
      <ns0:c r="AC103" s="47">
        <ns0:v>1.7101</ns0:v>
      </ns0:c>
    </ns0:row>
    <ns0:row r="104" spans="1:29">
      <ns0:c r="A104" s="32"/>
      <ns0:c r="B104" s="33"/>
      <ns0:c r="C104" s="34"/>
      <ns0:c r="D104" s="31" t="s">
        <ns0:v>50</ns0:v>
      </ns0:c>
      <ns0:c r="E104" s="26">
        <ns0:f>E102-E103</ns0:f>
        <ns0:v>-22.5212</ns0:v>
      </ns0:c>
      <ns0:c r="F104" s="47">
        <ns0:f t="shared" ref="F104:AC104" si="66">(F102-F103)*1</ns0:f>
        <ns0:v>-0.6314</ns0:v>
      </ns0:c>
      <ns0:c r="G104" s="47">
        <ns0:f t="shared" si="66"/>
        <ns0:v>-0.6337</ns0:v>
      </ns0:c>
      <ns0:c r="H104" s="47">
        <ns0:f t="shared" si="66"/>
        <ns0:v>-0.6527</ns0:v>
      </ns0:c>
      <ns0:c r="I104" s="47">
        <ns0:f t="shared" si="66"/>
        <ns0:v>-0.5983</ns0:v>
      </ns0:c>
      <ns0:c r="J104" s="47">
        <ns0:f t="shared" si="66"/>
        <ns0:v>-0.6255</ns0:v>
      </ns0:c>
      <ns0:c r="K104" s="47">
        <ns0:f t="shared" si="66"/>
        <ns0:v>-0.6607</ns0:v>
      </ns0:c>
      <ns0:c r="L104" s="47">
        <ns0:f t="shared" si="66"/>
        <ns0:v>-0.6334</ns0:v>
      </ns0:c>
      <ns0:c r="M104" s="47">
        <ns0:f t="shared" si="66"/>
        <ns0:v>-0.6416</ns0:v>
      </ns0:c>
      <ns0:c r="N104" s="47">
        <ns0:f t="shared" si="66"/>
        <ns0:v>-1.11</ns0:v>
      </ns0:c>
      <ns0:c r="O104" s="47">
        <ns0:f t="shared" si="66"/>
        <ns0:v>-1.4784</ns0:v>
      </ns0:c>
      <ns0:c r="P104" s="47">
        <ns0:f t="shared" si="66"/>
        <ns0:v>-1.2046</ns0:v>
      </ns0:c>
      <ns0:c r="Q104" s="47">
        <ns0:f t="shared" si="66"/>
        <ns0:v>-1.046</ns0:v>
      </ns0:c>
      <ns0:c r="R104" s="47">
        <ns0:f t="shared" si="66"/>
        <ns0:v>-1.146</ns0:v>
      </ns0:c>
      <ns0:c r="S104" s="47">
        <ns0:f t="shared" si="66"/>
        <ns0:v>-1.3216</ns0:v>
      </ns0:c>
      <ns0:c r="T104" s="47">
        <ns0:f t="shared" si="66"/>
        <ns0:v>-1.2914</ns0:v>
      </ns0:c>
      <ns0:c r="U104" s="47">
        <ns0:f t="shared" si="66"/>
        <ns0:v>-1.2148</ns0:v>
      </ns0:c>
      <ns0:c r="V104" s="47">
        <ns0:f t="shared" si="66"/>
        <ns0:v>-0.9541</ns0:v>
      </ns0:c>
      <ns0:c r="W104" s="47">
        <ns0:f t="shared" si="66"/>
        <ns0:v>-1.2665</ns0:v>
      </ns0:c>
      <ns0:c r="X104" s="47">
        <ns0:f t="shared" si="66"/>
        <ns0:v>-1.3041</ns0:v>
      </ns0:c>
      <ns0:c r="Y104" s="47">
        <ns0:f t="shared" si="66"/>
        <ns0:v>-1.1847</ns0:v>
      </ns0:c>
      <ns0:c r="Z104" s="47">
        <ns0:f t="shared" si="66"/>
        <ns0:v>-1.0407</ns0:v>
      </ns0:c>
      <ns0:c r="AA104" s="47">
        <ns0:f t="shared" si="66"/>
        <ns0:v>-0.808</ns0:v>
      </ns0:c>
      <ns0:c r="AB104" s="47">
        <ns0:f t="shared" si="66"/>
        <ns0:v>-0.5669</ns0:v>
      </ns0:c>
      <ns0:c r="AC104" s="47">
        <ns0:f t="shared" si="66"/>
        <ns0:v>-0.5061</ns0:v>
      </ns0:c>
    </ns0:row>
    <ns0:row r="105" spans="1:29">
      <ns0:c r="A105" s="32"/>
      <ns0:c r="B105" s="33"/>
      <ns0:c r="C105" s="35" t="s">
        <ns0:v>51</ns0:v>
      </ns0:c>
      <ns0:c r="D105" s="31" t="s">
        <ns0:v>48</ns0:v>
      </ns0:c>
      <ns0:c r="E105" s="31">
        <ns0:f>AVERAGE(F105:AC105)</ns0:f>
        <ns0:v>301.190416666667</ns0:v>
      </ns0:c>
      <ns0:c r="F105" s="47">
        <ns0:v>313</ns0:v>
      </ns0:c>
      <ns0:c r="G105" s="47">
        <ns0:v>304.8</ns0:v>
      </ns0:c>
      <ns0:c r="H105" s="47">
        <ns0:v>299.09</ns0:v>
      </ns0:c>
      <ns0:c r="I105" s="47">
        <ns0:v>292.49</ns0:v>
      </ns0:c>
      <ns0:c r="J105" s="47">
        <ns0:v>286.09</ns0:v>
      </ns0:c>
      <ns0:c r="K105" s="47">
        <ns0:v>284.95</ns0:v>
      </ns0:c>
      <ns0:c r="L105" s="47">
        <ns0:v>297.09</ns0:v>
      </ns0:c>
      <ns0:c r="M105" s="47">
        <ns0:v>302.05</ns0:v>
      </ns0:c>
      <ns0:c r="N105" s="47">
        <ns0:v>316.7</ns0:v>
      </ns0:c>
      <ns0:c r="O105" s="47">
        <ns0:v>306.18</ns0:v>
      </ns0:c>
      <ns0:c r="P105" s="47">
        <ns0:v>280.3</ns0:v>
      </ns0:c>
      <ns0:c r="Q105" s="47">
        <ns0:v>259.15</ns0:v>
      </ns0:c>
      <ns0:c r="R105" s="47">
        <ns0:v>227.53</ns0:v>
      </ns0:c>
      <ns0:c r="S105" s="47">
        <ns0:v>244.49</ns0:v>
      </ns0:c>
      <ns0:c r="T105" s="47">
        <ns0:v>259.27</ns0:v>
      </ns0:c>
      <ns0:c r="U105" s="47">
        <ns0:v>272.37</ns0:v>
      </ns0:c>
      <ns0:c r="V105" s="47">
        <ns0:v>304.93</ns0:v>
      </ns0:c>
      <ns0:c r="W105" s="47">
        <ns0:v>333.99</ns0:v>
      </ns0:c>
      <ns0:c r="X105" s="47">
        <ns0:v>378.47</ns0:v>
      </ns0:c>
      <ns0:c r="Y105" s="47">
        <ns0:v>355.23</ns0:v>
      </ns0:c>
      <ns0:c r="Z105" s="47">
        <ns0:v>346.89</ns0:v>
      </ns0:c>
      <ns0:c r="AA105" s="47">
        <ns0:v>341.27</ns0:v>
      </ns0:c>
      <ns0:c r="AB105" s="47">
        <ns0:v>323.28</ns0:v>
      </ns0:c>
      <ns0:c r="AC105" s="47">
        <ns0:v>298.96</ns0:v>
      </ns0:c>
    </ns0:row>
    <ns0:row r="106" spans="1:29">
      <ns0:c r="A106" s="32"/>
      <ns0:c r="B106" s="33"/>
      <ns0:c r="C106" s="32"/>
      <ns0:c r="D106" s="31" t="s">
        <ns0:v>49</ns0:v>
      </ns0:c>
      <ns0:c r="E106" s="31">
        <ns0:f>AVERAGE(F106:AC106)</ns0:f>
        <ns0:v>271.834166666667</ns0:v>
      </ns0:c>
      <ns0:c r="F106" s="47">
        <ns0:v>299.62</ns0:v>
      </ns0:c>
      <ns0:c r="G106" s="47">
        <ns0:v>292.17</ns0:v>
      </ns0:c>
      <ns0:c r="H106" s="47">
        <ns0:v>287.5</ns0:v>
      </ns0:c>
      <ns0:c r="I106" s="47">
        <ns0:v>283.49</ns0:v>
      </ns0:c>
      <ns0:c r="J106" s="47">
        <ns0:v>275.9</ns0:v>
      </ns0:c>
      <ns0:c r="K106" s="47">
        <ns0:v>278.83</ns0:v>
      </ns0:c>
      <ns0:c r="L106" s="47">
        <ns0:v>293.74</ns0:v>
      </ns0:c>
      <ns0:c r="M106" s="47">
        <ns0:v>303.2</ns0:v>
      </ns0:c>
      <ns0:c r="N106" s="47">
        <ns0:v>308.29</ns0:v>
      </ns0:c>
      <ns0:c r="O106" s="47">
        <ns0:v>282.42</ns0:v>
      </ns0:c>
      <ns0:c r="P106" s="47">
        <ns0:v>244.4</ns0:v>
      </ns0:c>
      <ns0:c r="Q106" s="47">
        <ns0:v>189.45</ns0:v>
      </ns0:c>
      <ns0:c r="R106" s="47">
        <ns0:v>56.64</ns0:v>
      </ns0:c>
      <ns0:c r="S106" s="47">
        <ns0:v>124</ns0:v>
      </ns0:c>
      <ns0:c r="T106" s="47">
        <ns0:v>207.72</ns0:v>
      </ns0:c>
      <ns0:c r="U106" s="47">
        <ns0:v>257.08</ns0:v>
      </ns0:c>
      <ns0:c r="V106" s="47">
        <ns0:v>296.8</ns0:v>
      </ns0:c>
      <ns0:c r="W106" s="47">
        <ns0:v>329.65</ns0:v>
      </ns0:c>
      <ns0:c r="X106" s="47">
        <ns0:v>360.76</ns0:v>
      </ns0:c>
      <ns0:c r="Y106" s="47">
        <ns0:v>340.15</ns0:v>
      </ns0:c>
      <ns0:c r="Z106" s="47">
        <ns0:v>331.14</ns0:v>
      </ns0:c>
      <ns0:c r="AA106" s="47">
        <ns0:v>309.52</ns0:v>
      </ns0:c>
      <ns0:c r="AB106" s="47">
        <ns0:v>295.35</ns0:v>
      </ns0:c>
      <ns0:c r="AC106" s="47">
        <ns0:v>276.2</ns0:v>
      </ns0:c>
    </ns0:row>
    <ns0:row r="107" spans="1:29">
      <ns0:c r="A107" s="32"/>
      <ns0:c r="B107" s="33"/>
      <ns0:c r="C107" s="34"/>
      <ns0:c r="D107" s="31" t="s">
        <ns0:v>50</ns0:v>
      </ns0:c>
      <ns0:c r="E107" s="26">
        <ns0:f>E105-E106</ns0:f>
        <ns0:v>29.35625</ns0:v>
      </ns0:c>
      <ns0:c r="F107" s="47">
        <ns0:f t="shared" ref="F107:AC107" si="67">(F105-F106)*1</ns0:f>
        <ns0:v>13.38</ns0:v>
      </ns0:c>
      <ns0:c r="G107" s="47">
        <ns0:f t="shared" si="67"/>
        <ns0:v>12.63</ns0:v>
      </ns0:c>
      <ns0:c r="H107" s="47">
        <ns0:f t="shared" si="67"/>
        <ns0:v>11.59</ns0:v>
      </ns0:c>
      <ns0:c r="I107" s="47">
        <ns0:f t="shared" si="67"/>
        <ns0:v>9</ns0:v>
      </ns0:c>
      <ns0:c r="J107" s="47">
        <ns0:f t="shared" si="67"/>
        <ns0:v>10.19</ns0:v>
      </ns0:c>
      <ns0:c r="K107" s="47">
        <ns0:f t="shared" si="67"/>
        <ns0:v>6.12</ns0:v>
      </ns0:c>
      <ns0:c r="L107" s="47">
        <ns0:f t="shared" si="67"/>
        <ns0:v>3.34999999999997</ns0:v>
      </ns0:c>
      <ns0:c r="M107" s="47">
        <ns0:f t="shared" si="67"/>
        <ns0:v>-1.14999999999998</ns0:v>
      </ns0:c>
      <ns0:c r="N107" s="47">
        <ns0:f t="shared" si="67"/>
        <ns0:v>8.40999999999997</ns0:v>
      </ns0:c>
      <ns0:c r="O107" s="47">
        <ns0:f t="shared" si="67"/>
        <ns0:v>23.76</ns0:v>
      </ns0:c>
      <ns0:c r="P107" s="47">
        <ns0:f t="shared" si="67"/>
        <ns0:v>35.9</ns0:v>
      </ns0:c>
      <ns0:c r="Q107" s="47">
        <ns0:f t="shared" si="67"/>
        <ns0:v>69.7</ns0:v>
      </ns0:c>
      <ns0:c r="R107" s="47">
        <ns0:f t="shared" si="67"/>
        <ns0:v>170.89</ns0:v>
      </ns0:c>
      <ns0:c r="S107" s="47">
        <ns0:f t="shared" si="67"/>
        <ns0:v>120.49</ns0:v>
      </ns0:c>
      <ns0:c r="T107" s="47">
        <ns0:f t="shared" si="67"/>
        <ns0:v>51.55</ns0:v>
      </ns0:c>
      <ns0:c r="U107" s="47">
        <ns0:f t="shared" si="67"/>
        <ns0:v>15.29</ns0:v>
      </ns0:c>
      <ns0:c r="V107" s="47">
        <ns0:f t="shared" si="67"/>
        <ns0:v>8.13</ns0:v>
      </ns0:c>
      <ns0:c r="W107" s="47">
        <ns0:f t="shared" si="67"/>
        <ns0:v>4.34000000000003</ns0:v>
      </ns0:c>
      <ns0:c r="X107" s="47">
        <ns0:f t="shared" si="67"/>
        <ns0:v>17.71</ns0:v>
      </ns0:c>
      <ns0:c r="Y107" s="47">
        <ns0:f t="shared" si="67"/>
        <ns0:v>15.08</ns0:v>
      </ns0:c>
      <ns0:c r="Z107" s="47">
        <ns0:f t="shared" si="67"/>
        <ns0:v>15.75</ns0:v>
      </ns0:c>
      <ns0:c r="AA107" s="47">
        <ns0:f t="shared" si="67"/>
        <ns0:v>31.75</ns0:v>
      </ns0:c>
      <ns0:c r="AB107" s="47">
        <ns0:f t="shared" si="67"/>
        <ns0:v>27.9299999999999</ns0:v>
      </ns0:c>
      <ns0:c r="AC107" s="47">
        <ns0:f t="shared" si="67"/>
        <ns0:v>22.76</ns0:v>
      </ns0:c>
    </ns0:row>
    <ns0:row r="108" spans="1:29">
      <ns0:c r="A108" s="32"/>
      <ns0:c r="B108" s="33"/>
      <ns0:c r="C108" s="36" t="s">
        <ns0:v>52</ns0:v>
      </ns0:c>
      <ns0:c r="D108" s="37"/>
      <ns0:c r="E108" s="26">
        <ns0:f t="shared" ref="E108:E112" si="68">SUM(F108:AC108)</ns0:f>
        <ns0:v>765.653053</ns0:v>
      </ns0:c>
      <ns0:c r="F108" s="48">
        <ns0:f t="shared" ref="F108:AC108" si="69">-F104*F107</ns0:f>
        <ns0:v>8.448132</ns0:v>
      </ns0:c>
      <ns0:c r="G108" s="48">
        <ns0:f t="shared" si="69"/>
        <ns0:v>8.003631</ns0:v>
      </ns0:c>
      <ns0:c r="H108" s="48">
        <ns0:f t="shared" si="69"/>
        <ns0:v>7.564793</ns0:v>
      </ns0:c>
      <ns0:c r="I108" s="48">
        <ns0:f t="shared" si="69"/>
        <ns0:v>5.3847</ns0:v>
      </ns0:c>
      <ns0:c r="J108" s="48">
        <ns0:f t="shared" si="69"/>
        <ns0:v>6.373845</ns0:v>
      </ns0:c>
      <ns0:c r="K108" s="48">
        <ns0:f t="shared" si="69"/>
        <ns0:v>4.043484</ns0:v>
      </ns0:c>
      <ns0:c r="L108" s="48">
        <ns0:f t="shared" si="69"/>
        <ns0:v>2.12188999999998</ns0:v>
      </ns0:c>
      <ns0:c r="M108" s="48">
        <ns0:f t="shared" si="69"/>
        <ns0:v>-0.737839999999987</ns0:v>
      </ns0:c>
      <ns0:c r="N108" s="48">
        <ns0:f t="shared" si="69"/>
        <ns0:v>9.33509999999997</ns0:v>
      </ns0:c>
      <ns0:c r="O108" s="48">
        <ns0:f t="shared" si="69"/>
        <ns0:v>35.126784</ns0:v>
      </ns0:c>
      <ns0:c r="P108" s="48">
        <ns0:f t="shared" si="69"/>
        <ns0:v>43.24514</ns0:v>
      </ns0:c>
      <ns0:c r="Q108" s="48">
        <ns0:f t="shared" si="69"/>
        <ns0:v>72.9062</ns0:v>
      </ns0:c>
      <ns0:c r="R108" s="48">
        <ns0:f t="shared" si="69"/>
        <ns0:v>195.83994</ns0:v>
      </ns0:c>
      <ns0:c r="S108" s="48">
        <ns0:f t="shared" si="69"/>
        <ns0:v>159.239584</ns0:v>
      </ns0:c>
      <ns0:c r="T108" s="48">
        <ns0:f t="shared" si="69"/>
        <ns0:v>66.57167</ns0:v>
      </ns0:c>
      <ns0:c r="U108" s="48">
        <ns0:f t="shared" si="69"/>
        <ns0:v>18.574292</ns0:v>
      </ns0:c>
      <ns0:c r="V108" s="48">
        <ns0:f t="shared" si="69"/>
        <ns0:v>7.756833</ns0:v>
      </ns0:c>
      <ns0:c r="W108" s="48">
        <ns0:f t="shared" si="69"/>
        <ns0:v>5.49661000000004</ns0:v>
      </ns0:c>
      <ns0:c r="X108" s="48">
        <ns0:f t="shared" si="69"/>
        <ns0:v>23.095611</ns0:v>
      </ns0:c>
      <ns0:c r="Y108" s="48">
        <ns0:f t="shared" si="69"/>
        <ns0:v>17.865276</ns0:v>
      </ns0:c>
      <ns0:c r="Z108" s="48">
        <ns0:f t="shared" si="69"/>
        <ns0:v>16.391025</ns0:v>
      </ns0:c>
      <ns0:c r="AA108" s="48">
        <ns0:f t="shared" si="69"/>
        <ns0:v>25.654</ns0:v>
      </ns0:c>
      <ns0:c r="AB108" s="48">
        <ns0:f t="shared" si="69"/>
        <ns0:v>15.8335169999999</ns0:v>
      </ns0:c>
      <ns0:c r="AC108" s="48">
        <ns0:f t="shared" si="69"/>
        <ns0:v>11.518836</ns0:v>
      </ns0:c>
    </ns0:row>
    <ns0:row r="109" spans="1:29">
      <ns0:c r="A109" s="32"/>
      <ns0:c r="B109" s="33"/>
      <ns0:c r="C109" s="38" t="s">
        <ns0:v>53</ns0:v>
      </ns0:c>
      <ns0:c r="D109" s="37"/>
      <ns0:c r="E109" s="26">
        <ns0:f t="shared" si="68"/>
        <ns0:v>410.0331806</ns0:v>
      </ns0:c>
      <ns0:c r="F109" s="48">
        <ns0:f t="shared" ref="F109:AC109" si="70">IF(F108&gt;0,ABS(MIN(F103*0.2,ABS(F104))*F107),F108)</ns0:f>
        <ns0:v>4.6305504</ns0:v>
      </ns0:c>
      <ns0:c r="G109" s="48">
        <ns0:f t="shared" si="70"/>
        <ns0:v>4.3288062</ns0:v>
      </ns0:c>
      <ns0:c r="H109" s="48">
        <ns0:f t="shared" si="70"/>
        <ns0:v>4.0024906</ns0:v>
      </ns0:c>
      <ns0:c r="I109" s="48">
        <ns0:f t="shared" si="70"/>
        <ns0:v>2.97774</ns0:v>
      </ns0:c>
      <ns0:c r="J109" s="48">
        <ns0:f t="shared" si="70"/>
        <ns0:v>3.412631</ns0:v>
      </ns0:c>
      <ns0:c r="K109" s="48">
        <ns0:f t="shared" si="70"/>
        <ns0:v>2.0535048</ns0:v>
      </ns0:c>
      <ns0:c r="L109" s="48">
        <ns0:f t="shared" si="70"/>
        <ns0:v>1.09705799999999</ns0:v>
      </ns0:c>
      <ns0:c r="M109" s="48">
        <ns0:f t="shared" si="70"/>
        <ns0:v>-0.737839999999987</ns0:v>
      </ns0:c>
      <ns0:c r="N109" s="48">
        <ns0:f t="shared" si="70"/>
        <ns0:v>6.49251999999998</ns0:v>
      </ns0:c>
      <ns0:c r="O109" s="48">
        <ns0:f t="shared" si="70"/>
        <ns0:v>19.2379968</ns0:v>
      </ns0:c>
      <ns0:c r="P109" s="48">
        <ns0:f t="shared" si="70"/>
        <ns0:v>25.026608</ns0:v>
      </ns0:c>
      <ns0:c r="Q109" s="48">
        <ns0:f t="shared" si="70"/>
        <ns0:v>44.85892</ns0:v>
      </ns0:c>
      <ns0:c r="R109" s="48">
        <ns0:f t="shared" si="70"/>
        <ns0:v>93.13505</ns0:v>
      </ns0:c>
      <ns0:c r="S109" s="48">
        <ns0:f t="shared" si="70"/>
        <ns0:v>76.8147848</ns0:v>
      </ns0:c>
      <ns0:c r="T109" s="48">
        <ns0:f t="shared" si="70"/>
        <ns0:v>38.130504</ns0:v>
      </ns0:c>
      <ns0:c r="U109" s="48">
        <ns0:f t="shared" si="70"/>
        <ns0:v>11.2467124</ns0:v>
      </ns0:c>
      <ns0:c r="V109" s="48">
        <ns0:f t="shared" si="70"/>
        <ns0:v>6.1318086</ns0:v>
      </ns0:c>
      <ns0:c r="W109" s="48">
        <ns0:f t="shared" si="70"/>
        <ns0:v>3.16863400000002</ns0:v>
      </ns0:c>
      <ns0:c r="X109" s="48">
        <ns0:f t="shared" si="70"/>
        <ns0:v>11.9723142</ns0:v>
      </ns0:c>
      <ns0:c r="Y109" s="48">
        <ns0:f t="shared" si="70"/>
        <ns0:v>10.1117432</ns0:v>
      </ns0:c>
      <ns0:c r="Z109" s="48">
        <ns0:f t="shared" si="70"/>
        <ns0:v>9.212805</ns0:v>
      </ns0:c>
      <ns0:c r="AA109" s="48">
        <ns0:f t="shared" si="70"/>
        <ns0:v>14.87805</ns0:v>
      </ns0:c>
      <ns0:c r="AB109" s="48">
        <ns0:f t="shared" si="70"/>
        <ns0:v>10.0654134</ns0:v>
      </ns0:c>
      <ns0:c r="AC109" s="48">
        <ns0:f t="shared" si="70"/>
        <ns0:v>7.7843752</ns0:v>
      </ns0:c>
    </ns0:row>
    <ns0:row r="110" spans="1:29">
      <ns0:c r="A110" s="32"/>
      <ns0:c r="B110" s="33"/>
      <ns0:c r="C110" s="39" t="s">
        <ns0:v>50</ns0:v>
      </ns0:c>
      <ns0:c r="D110" s="37"/>
      <ns0:c r="E110" s="44">
        <ns0:f t="shared" ref="E110:AC110" si="71">E108-E109</ns0:f>
        <ns0:v>355.6198724</ns0:v>
      </ns0:c>
      <ns0:c r="F110" s="26">
        <ns0:f t="shared" si="71"/>
        <ns0:v>3.8175816</ns0:v>
      </ns0:c>
      <ns0:c r="G110" s="26">
        <ns0:f t="shared" si="71"/>
        <ns0:v>3.6748248</ns0:v>
      </ns0:c>
      <ns0:c r="H110" s="26">
        <ns0:f t="shared" si="71"/>
        <ns0:v>3.5623024</ns0:v>
      </ns0:c>
      <ns0:c r="I110" s="26">
        <ns0:f t="shared" si="71"/>
        <ns0:v>2.40696</ns0:v>
      </ns0:c>
      <ns0:c r="J110" s="26">
        <ns0:f t="shared" si="71"/>
        <ns0:v>2.961214</ns0:v>
      </ns0:c>
      <ns0:c r="K110" s="26">
        <ns0:f t="shared" si="71"/>
        <ns0:v>1.9899792</ns0:v>
      </ns0:c>
      <ns0:c r="L110" s="26">
        <ns0:f t="shared" si="71"/>
        <ns0:v>1.02483199999999</ns0:v>
      </ns0:c>
      <ns0:c r="M110" s="26">
        <ns0:f t="shared" si="71"/>
        <ns0:v>0</ns0:v>
      </ns0:c>
      <ns0:c r="N110" s="26">
        <ns0:f t="shared" si="71"/>
        <ns0:v>2.84257999999999</ns0:v>
      </ns0:c>
      <ns0:c r="O110" s="26">
        <ns0:f t="shared" si="71"/>
        <ns0:v>15.8887872</ns0:v>
      </ns0:c>
      <ns0:c r="P110" s="26">
        <ns0:f t="shared" si="71"/>
        <ns0:v>18.218532</ns0:v>
      </ns0:c>
      <ns0:c r="Q110" s="26">
        <ns0:f t="shared" si="71"/>
        <ns0:v>28.04728</ns0:v>
      </ns0:c>
      <ns0:c r="R110" s="26">
        <ns0:f t="shared" si="71"/>
        <ns0:v>102.70489</ns0:v>
      </ns0:c>
      <ns0:c r="S110" s="26">
        <ns0:f t="shared" si="71"/>
        <ns0:v>82.4247992</ns0:v>
      </ns0:c>
      <ns0:c r="T110" s="26">
        <ns0:f t="shared" si="71"/>
        <ns0:v>28.441166</ns0:v>
      </ns0:c>
      <ns0:c r="U110" s="26">
        <ns0:f t="shared" si="71"/>
        <ns0:v>7.3275796</ns0:v>
      </ns0:c>
      <ns0:c r="V110" s="26">
        <ns0:f t="shared" si="71"/>
        <ns0:v>1.6250244</ns0:v>
      </ns0:c>
      <ns0:c r="W110" s="26">
        <ns0:f t="shared" si="71"/>
        <ns0:v>2.32797600000002</ns0:v>
      </ns0:c>
      <ns0:c r="X110" s="26">
        <ns0:f t="shared" si="71"/>
        <ns0:v>11.1232968</ns0:v>
      </ns0:c>
      <ns0:c r="Y110" s="26">
        <ns0:f t="shared" si="71"/>
        <ns0:v>7.7535328</ns0:v>
      </ns0:c>
      <ns0:c r="Z110" s="26">
        <ns0:f t="shared" si="71"/>
        <ns0:v>7.17822</ns0:v>
      </ns0:c>
      <ns0:c r="AA110" s="26">
        <ns0:f t="shared" si="71"/>
        <ns0:v>10.77595</ns0:v>
      </ns0:c>
      <ns0:c r="AB110" s="26">
        <ns0:f t="shared" si="71"/>
        <ns0:v>5.76810359999998</ns0:v>
      </ns0:c>
      <ns0:c r="AC110" s="26">
        <ns0:f t="shared" si="71"/>
        <ns0:v>3.7344608</ns0:v>
      </ns0:c>
    </ns0:row>
    <ns0:row r="111" spans="1:29">
      <ns0:c r="A111" s="29">
        <ns0:v>46004</ns0:v>
      </ns0:c>
      <ns0:c r="B111" s="30">
        <ns0:f>E118</ns0:f>
        <ns0:v>-83.8932771999999</ns0:v>
      </ns0:c>
      <ns0:c r="C111" s="31" t="s">
        <ns0:v>47</ns0:v>
      </ns0:c>
      <ns0:c r="D111" s="31" t="s">
        <ns0:v>48</ns0:v>
      </ns0:c>
      <ns0:c r="E111" s="42">
        <ns0:f t="shared" si="68"/>
        <ns0:v>59.038</ns0:v>
      </ns0:c>
      <ns0:c r="F111" s="47">
        <ns0:v>1.932</ns0:v>
      </ns0:c>
      <ns0:c r="G111" s="47">
        <ns0:v>1.735</ns0:v>
      </ns0:c>
      <ns0:c r="H111" s="47">
        <ns0:v>1.695</ns0:v>
      </ns0:c>
      <ns0:c r="I111" s="47">
        <ns0:v>1.667</ns0:v>
      </ns0:c>
      <ns0:c r="J111" s="47">
        <ns0:v>1.332</ns0:v>
      </ns0:c>
      <ns0:c r="K111" s="47">
        <ns0:v>1.353</ns0:v>
      </ns0:c>
      <ns0:c r="L111" s="47">
        <ns0:v>1.336</ns0:v>
      </ns0:c>
      <ns0:c r="M111" s="47">
        <ns0:v>1.709</ns0:v>
      </ns0:c>
      <ns0:c r="N111" s="47">
        <ns0:v>3.369</ns0:v>
      </ns0:c>
      <ns0:c r="O111" s="47">
        <ns0:v>3.203</ns0:v>
      </ns0:c>
      <ns0:c r="P111" s="47">
        <ns0:v>2.716</ns0:v>
      </ns0:c>
      <ns0:c r="Q111" s="47">
        <ns0:v>2.635</ns0:v>
      </ns0:c>
      <ns0:c r="R111" s="47">
        <ns0:v>2.493</ns0:v>
      </ns0:c>
      <ns0:c r="S111" s="47">
        <ns0:v>3.257</ns0:v>
      </ns0:c>
      <ns0:c r="T111" s="47">
        <ns0:v>3.788</ns0:v>
      </ns0:c>
      <ns0:c r="U111" s="47">
        <ns0:v>3.593</ns0:v>
      </ns0:c>
      <ns0:c r="V111" s="47">
        <ns0:v>3.637</ns0:v>
      </ns0:c>
      <ns0:c r="W111" s="47">
        <ns0:v>3.488</ns0:v>
      </ns0:c>
      <ns0:c r="X111" s="47">
        <ns0:v>3.308</ns0:v>
      </ns0:c>
      <ns0:c r="Y111" s="47">
        <ns0:v>3.308</ns0:v>
      </ns0:c>
      <ns0:c r="Z111" s="47">
        <ns0:v>2.4</ns0:v>
      </ns0:c>
      <ns0:c r="AA111" s="47">
        <ns0:v>1.986</ns0:v>
      </ns0:c>
      <ns0:c r="AB111" s="47">
        <ns0:v>1.672</ns0:v>
      </ns0:c>
      <ns0:c r="AC111" s="47">
        <ns0:v>1.426</ns0:v>
      </ns0:c>
    </ns0:row>
    <ns0:row r="112" spans="1:29">
      <ns0:c r="A112" s="32"/>
      <ns0:c r="B112" s="33"/>
      <ns0:c r="C112" s="32"/>
      <ns0:c r="D112" s="6" t="s">
        <ns0:v>49</ns0:v>
      </ns0:c>
      <ns0:c r="E112" s="42">
        <ns0:f t="shared" si="68"/>
        <ns0:v>66.168</ns0:v>
      </ns0:c>
      <ns0:c r="F112" s="47">
        <ns0:v>1.6146</ns0:v>
      </ns0:c>
      <ns0:c r="G112" s="47">
        <ns0:v>1.7074</ns0:v>
      </ns0:c>
      <ns0:c r="H112" s="47">
        <ns0:v>1.6764</ns0:v>
      </ns0:c>
      <ns0:c r="I112" s="47">
        <ns0:v>1.698</ns0:v>
      </ns0:c>
      <ns0:c r="J112" s="47">
        <ns0:v>1.7116</ns0:v>
      </ns0:c>
      <ns0:c r="K112" s="47">
        <ns0:v>1.7008</ns0:v>
      </ns0:c>
      <ns0:c r="L112" s="47">
        <ns0:v>1.6622</ns0:v>
      </ns0:c>
      <ns0:c r="M112" s="47">
        <ns0:v>1.9679</ns0:v>
      </ns0:c>
      <ns0:c r="N112" s="47">
        <ns0:v>3.8617</ns0:v>
      </ns0:c>
      <ns0:c r="O112" s="47">
        <ns0:v>4.3466</ns0:v>
      </ns0:c>
      <ns0:c r="P112" s="47">
        <ns0:v>3.5883</ns0:v>
      </ns0:c>
      <ns0:c r="Q112" s="47">
        <ns0:v>3.5336</ns0:v>
      </ns0:c>
      <ns0:c r="R112" s="47">
        <ns0:v>2.9955</ns0:v>
      </ns0:c>
      <ns0:c r="S112" s="47">
        <ns0:v>3.7345</ns0:v>
      </ns0:c>
      <ns0:c r="T112" s="47">
        <ns0:v>4.1464</ns0:v>
      </ns0:c>
      <ns0:c r="U112" s="47">
        <ns0:v>4.0946</ns0:v>
      </ns0:c>
      <ns0:c r="V112" s="47">
        <ns0:v>4.0036</ns0:v>
      </ns0:c>
      <ns0:c r="W112" s="47">
        <ns0:v>3.5882</ns0:v>
      </ns0:c>
      <ns0:c r="X112" s="47">
        <ns0:v>2.8842</ns0:v>
      </ns0:c>
      <ns0:c r="Y112" s="47">
        <ns0:v>2.9093</ns0:v>
      </ns0:c>
      <ns0:c r="Z112" s="47">
        <ns0:v>2.6142</ns0:v>
      </ns0:c>
      <ns0:c r="AA112" s="47">
        <ns0:v>2.3037</ns0:v>
      </ns0:c>
      <ns0:c r="AB112" s="47">
        <ns0:v>2.0054</ns0:v>
      </ns0:c>
      <ns0:c r="AC112" s="47">
        <ns0:v>1.8193</ns0:v>
      </ns0:c>
    </ns0:row>
    <ns0:row r="113" spans="1:29">
      <ns0:c r="A113" s="32"/>
      <ns0:c r="B113" s="33"/>
      <ns0:c r="C113" s="34"/>
      <ns0:c r="D113" s="31" t="s">
        <ns0:v>50</ns0:v>
      </ns0:c>
      <ns0:c r="E113" s="26">
        <ns0:f>E111-E112</ns0:f>
        <ns0:v>-7.13</ns0:v>
      </ns0:c>
      <ns0:c r="F113" s="47">
        <ns0:f t="shared" ref="F113:AC113" si="72">(F111-F112)*1</ns0:f>
        <ns0:v>0.3174</ns0:v>
      </ns0:c>
      <ns0:c r="G113" s="47">
        <ns0:f t="shared" si="72"/>
        <ns0:v>0.0276000000000001</ns0:v>
      </ns0:c>
      <ns0:c r="H113" s="47">
        <ns0:f t="shared" si="72"/>
        <ns0:v>0.0186000000000002</ns0:v>
      </ns0:c>
      <ns0:c r="I113" s="47">
        <ns0:f t="shared" si="72"/>
        <ns0:v>-0.0309999999999999</ns0:v>
      </ns0:c>
      <ns0:c r="J113" s="47">
        <ns0:f t="shared" si="72"/>
        <ns0:v>-0.3796</ns0:v>
      </ns0:c>
      <ns0:c r="K113" s="47">
        <ns0:f t="shared" si="72"/>
        <ns0:v>-0.3478</ns0:v>
      </ns0:c>
      <ns0:c r="L113" s="47">
        <ns0:f t="shared" si="72"/>
        <ns0:v>-0.3262</ns0:v>
      </ns0:c>
      <ns0:c r="M113" s="47">
        <ns0:f t="shared" si="72"/>
        <ns0:v>-0.2589</ns0:v>
      </ns0:c>
      <ns0:c r="N113" s="47">
        <ns0:f t="shared" si="72"/>
        <ns0:v>-0.4927</ns0:v>
      </ns0:c>
      <ns0:c r="O113" s="47">
        <ns0:f t="shared" si="72"/>
        <ns0:v>-1.1436</ns0:v>
      </ns0:c>
      <ns0:c r="P113" s="47">
        <ns0:f t="shared" si="72"/>
        <ns0:v>-0.8723</ns0:v>
      </ns0:c>
      <ns0:c r="Q113" s="47">
        <ns0:f t="shared" si="72"/>
        <ns0:v>-0.8986</ns0:v>
      </ns0:c>
      <ns0:c r="R113" s="47">
        <ns0:f t="shared" si="72"/>
        <ns0:v>-0.5025</ns0:v>
      </ns0:c>
      <ns0:c r="S113" s="47">
        <ns0:f t="shared" si="72"/>
        <ns0:v>-0.4775</ns0:v>
      </ns0:c>
      <ns0:c r="T113" s="47">
        <ns0:f t="shared" si="72"/>
        <ns0:v>-0.3584</ns0:v>
      </ns0:c>
      <ns0:c r="U113" s="47">
        <ns0:f t="shared" si="72"/>
        <ns0:v>-0.5016</ns0:v>
      </ns0:c>
      <ns0:c r="V113" s="47">
        <ns0:f t="shared" si="72"/>
        <ns0:v>-0.3666</ns0:v>
      </ns0:c>
      <ns0:c r="W113" s="47">
        <ns0:f t="shared" si="72"/>
        <ns0:v>-0.1002</ns0:v>
      </ns0:c>
      <ns0:c r="X113" s="47">
        <ns0:f t="shared" si="72"/>
        <ns0:v>0.4238</ns0:v>
      </ns0:c>
      <ns0:c r="Y113" s="47">
        <ns0:f t="shared" si="72"/>
        <ns0:v>0.3987</ns0:v>
      </ns0:c>
      <ns0:c r="Z113" s="47">
        <ns0:f t="shared" si="72"/>
        <ns0:v>-0.2142</ns0:v>
      </ns0:c>
      <ns0:c r="AA113" s="47">
        <ns0:f t="shared" si="72"/>
        <ns0:v>-0.3177</ns0:v>
      </ns0:c>
      <ns0:c r="AB113" s="47">
        <ns0:f t="shared" si="72"/>
        <ns0:v>-0.3334</ns0:v>
      </ns0:c>
      <ns0:c r="AC113" s="47">
        <ns0:f t="shared" si="72"/>
        <ns0:v>-0.3933</ns0:v>
      </ns0:c>
    </ns0:row>
    <ns0:row r="114" spans="1:29">
      <ns0:c r="A114" s="32"/>
      <ns0:c r="B114" s="33"/>
      <ns0:c r="C114" s="35" t="s">
        <ns0:v>51</ns0:v>
      </ns0:c>
      <ns0:c r="D114" s="31" t="s">
        <ns0:v>48</ns0:v>
      </ns0:c>
      <ns0:c r="E114" s="31">
        <ns0:f>AVERAGE(F114:AC114)</ns0:f>
        <ns0:v>296.322916666667</ns0:v>
      </ns0:c>
      <ns0:c r="F114" s="47">
        <ns0:v>323.33</ns0:v>
      </ns0:c>
      <ns0:c r="G114" s="47">
        <ns0:v>318.55</ns0:v>
      </ns0:c>
      <ns0:c r="H114" s="47">
        <ns0:v>313.28</ns0:v>
      </ns0:c>
      <ns0:c r="I114" s="47">
        <ns0:v>308.19</ns0:v>
      </ns0:c>
      <ns0:c r="J114" s="47">
        <ns0:v>300.4</ns0:v>
      </ns0:c>
      <ns0:c r="K114" s="47">
        <ns0:v>281.52</ns0:v>
      </ns0:c>
      <ns0:c r="L114" s="47">
        <ns0:v>286.78</ns0:v>
      </ns0:c>
      <ns0:c r="M114" s="47">
        <ns0:v>278.81</ns0:v>
      </ns0:c>
      <ns0:c r="N114" s="47">
        <ns0:v>289.29</ns0:v>
      </ns0:c>
      <ns0:c r="O114" s="47">
        <ns0:v>326.85</ns0:v>
      </ns0:c>
      <ns0:c r="P114" s="47">
        <ns0:v>310.68</ns0:v>
      </ns0:c>
      <ns0:c r="Q114" s="47">
        <ns0:v>286.78</ns0:v>
      </ns0:c>
      <ns0:c r="R114" s="47">
        <ns0:v>273.31</ns0:v>
      </ns0:c>
      <ns0:c r="S114" s="47">
        <ns0:v>289.62</ns0:v>
      </ns0:c>
      <ns0:c r="T114" s="47">
        <ns0:v>279.2</ns0:v>
      </ns0:c>
      <ns0:c r="U114" s="47">
        <ns0:v>279.13</ns0:v>
      </ns0:c>
      <ns0:c r="V114" s="47">
        <ns0:v>292.6</ns0:v>
      </ns0:c>
      <ns0:c r="W114" s="47">
        <ns0:v>309.12</ns0:v>
      </ns0:c>
      <ns0:c r="X114" s="47">
        <ns0:v>303.19</ns0:v>
      </ns0:c>
      <ns0:c r="Y114" s="47">
        <ns0:v>292.05</ns0:v>
      </ns0:c>
      <ns0:c r="Z114" s="47">
        <ns0:v>309.94</ns0:v>
      </ns0:c>
      <ns0:c r="AA114" s="47">
        <ns0:v>306.69</ns0:v>
      </ns0:c>
      <ns0:c r="AB114" s="47">
        <ns0:v>287.36</ns0:v>
      </ns0:c>
      <ns0:c r="AC114" s="47">
        <ns0:v>265.08</ns0:v>
      </ns0:c>
    </ns0:row>
    <ns0:row r="115" spans="1:29">
      <ns0:c r="A115" s="32"/>
      <ns0:c r="B115" s="33"/>
      <ns0:c r="C115" s="32"/>
      <ns0:c r="D115" s="31" t="s">
        <ns0:v>49</ns0:v>
      </ns0:c>
      <ns0:c r="E115" s="31">
        <ns0:f>AVERAGE(F115:AC115)</ns0:f>
        <ns0:v>309.192083333333</ns0:v>
      </ns0:c>
      <ns0:c r="F115" s="47">
        <ns0:v>331.15</ns0:v>
      </ns0:c>
      <ns0:c r="G115" s="47">
        <ns0:v>337.01</ns0:v>
      </ns0:c>
      <ns0:c r="H115" s="47">
        <ns0:v>329.85</ns0:v>
      </ns0:c>
      <ns0:c r="I115" s="47">
        <ns0:v>309.2</ns0:v>
      </ns0:c>
      <ns0:c r="J115" s="47">
        <ns0:v>310.73</ns0:v>
      </ns0:c>
      <ns0:c r="K115" s="47">
        <ns0:v>305.18</ns0:v>
      </ns0:c>
      <ns0:c r="L115" s="47">
        <ns0:v>318.5</ns0:v>
      </ns0:c>
      <ns0:c r="M115" s="47">
        <ns0:v>303.32</ns0:v>
      </ns0:c>
      <ns0:c r="N115" s="47">
        <ns0:v>316</ns0:v>
      </ns0:c>
      <ns0:c r="O115" s="47">
        <ns0:v>323.4</ns0:v>
      </ns0:c>
      <ns0:c r="P115" s="47">
        <ns0:v>326.24</ns0:v>
      </ns0:c>
      <ns0:c r="Q115" s="47">
        <ns0:v>324.74</ns0:v>
      </ns0:c>
      <ns0:c r="R115" s="47">
        <ns0:v>286.1</ns0:v>
      </ns0:c>
      <ns0:c r="S115" s="47">
        <ns0:v>348.8</ns0:v>
      </ns0:c>
      <ns0:c r="T115" s="47">
        <ns0:v>307.97</ns0:v>
      </ns0:c>
      <ns0:c r="U115" s="47">
        <ns0:v>293.33</ns0:v>
      </ns0:c>
      <ns0:c r="V115" s="47">
        <ns0:v>290.25</ns0:v>
      </ns0:c>
      <ns0:c r="W115" s="47">
        <ns0:v>329.96</ns0:v>
      </ns0:c>
      <ns0:c r="X115" s="47">
        <ns0:v>341.28</ns0:v>
      </ns0:c>
      <ns0:c r="Y115" s="47">
        <ns0:v>311.97</ns0:v>
      </ns0:c>
      <ns0:c r="Z115" s="47">
        <ns0:v>287.39</ns0:v>
      </ns0:c>
      <ns0:c r="AA115" s="47">
        <ns0:v>276.91</ns0:v>
      </ns0:c>
      <ns0:c r="AB115" s="47">
        <ns0:v>272.18</ns0:v>
      </ns0:c>
      <ns0:c r="AC115" s="47">
        <ns0:v>239.15</ns0:v>
      </ns0:c>
    </ns0:row>
    <ns0:row r="116" spans="1:29">
      <ns0:c r="A116" s="32"/>
      <ns0:c r="B116" s="33"/>
      <ns0:c r="C116" s="34"/>
      <ns0:c r="D116" s="31" t="s">
        <ns0:v>50</ns0:v>
      </ns0:c>
      <ns0:c r="E116" s="26">
        <ns0:f>E114-E115</ns0:f>
        <ns0:v>-12.8691666666667</ns0:v>
      </ns0:c>
      <ns0:c r="F116" s="47">
        <ns0:f t="shared" ref="F116:AC116" si="73">(F114-F115)*1</ns0:f>
        <ns0:v>-7.81999999999999</ns0:v>
      </ns0:c>
      <ns0:c r="G116" s="47">
        <ns0:f t="shared" si="73"/>
        <ns0:v>-18.46</ns0:v>
      </ns0:c>
      <ns0:c r="H116" s="47">
        <ns0:f t="shared" si="73"/>
        <ns0:v>-16.5700000000001</ns0:v>
      </ns0:c>
      <ns0:c r="I116" s="47">
        <ns0:f t="shared" si="73"/>
        <ns0:v>-1.00999999999999</ns0:v>
      </ns0:c>
      <ns0:c r="J116" s="47">
        <ns0:f t="shared" si="73"/>
        <ns0:v>-10.33</ns0:v>
      </ns0:c>
      <ns0:c r="K116" s="47">
        <ns0:f t="shared" si="73"/>
        <ns0:v>-23.66</ns0:v>
      </ns0:c>
      <ns0:c r="L116" s="47">
        <ns0:f t="shared" si="73"/>
        <ns0:v>-31.72</ns0:v>
      </ns0:c>
      <ns0:c r="M116" s="47">
        <ns0:f t="shared" si="73"/>
        <ns0:v>-24.51</ns0:v>
      </ns0:c>
      <ns0:c r="N116" s="47">
        <ns0:f t="shared" si="73"/>
        <ns0:v>-26.71</ns0:v>
      </ns0:c>
      <ns0:c r="O116" s="47">
        <ns0:f t="shared" si="73"/>
        <ns0:v>3.45000000000005</ns0:v>
      </ns0:c>
      <ns0:c r="P116" s="47">
        <ns0:f t="shared" si="73"/>
        <ns0:v>-15.56</ns0:v>
      </ns0:c>
      <ns0:c r="Q116" s="47">
        <ns0:f t="shared" si="73"/>
        <ns0:v>-37.96</ns0:v>
      </ns0:c>
      <ns0:c r="R116" s="47">
        <ns0:f t="shared" si="73"/>
        <ns0:v>-12.79</ns0:v>
      </ns0:c>
      <ns0:c r="S116" s="47">
        <ns0:f t="shared" si="73"/>
        <ns0:v>-59.18</ns0:v>
      </ns0:c>
      <ns0:c r="T116" s="47">
        <ns0:f t="shared" si="73"/>
        <ns0:v>-28.77</ns0:v>
      </ns0:c>
      <ns0:c r="U116" s="47">
        <ns0:f t="shared" si="73"/>
        <ns0:v>-14.2</ns0:v>
      </ns0:c>
      <ns0:c r="V116" s="47">
        <ns0:f t="shared" si="73"/>
        <ns0:v>2.35000000000002</ns0:v>
      </ns0:c>
      <ns0:c r="W116" s="47">
        <ns0:f t="shared" si="73"/>
        <ns0:v>-20.84</ns0:v>
      </ns0:c>
      <ns0:c r="X116" s="47">
        <ns0:f t="shared" si="73"/>
        <ns0:v>-38.09</ns0:v>
      </ns0:c>
      <ns0:c r="Y116" s="47">
        <ns0:f t="shared" si="73"/>
        <ns0:v>-19.92</ns0:v>
      </ns0:c>
      <ns0:c r="Z116" s="47">
        <ns0:f t="shared" si="73"/>
        <ns0:v>22.55</ns0:v>
      </ns0:c>
      <ns0:c r="AA116" s="47">
        <ns0:f t="shared" si="73"/>
        <ns0:v>29.78</ns0:v>
      </ns0:c>
      <ns0:c r="AB116" s="47">
        <ns0:f t="shared" si="73"/>
        <ns0:v>15.18</ns0:v>
      </ns0:c>
      <ns0:c r="AC116" s="47">
        <ns0:f t="shared" si="73"/>
        <ns0:v>25.93</ns0:v>
      </ns0:c>
    </ns0:row>
    <ns0:row r="117" spans="1:29">
      <ns0:c r="A117" s="32"/>
      <ns0:c r="B117" s="33"/>
      <ns0:c r="C117" s="36" t="s">
        <ns0:v>52</ns0:v>
      </ns0:c>
      <ns0:c r="D117" s="37"/>
      <ns0:c r="E117" s="26">
        <ns0:f t="shared" ref="E117:E121" si="74">SUM(F117:AC117)</ns0:f>
        <ns0:v>-82.1836319999999</ns0:v>
      </ns0:c>
      <ns0:c r="F117" s="48">
        <ns0:f t="shared" ref="F117:AC117" si="75">-F113*F116</ns0:f>
        <ns0:v>2.482068</ns0:v>
      </ns0:c>
      <ns0:c r="G117" s="48">
        <ns0:f t="shared" si="75"/>
        <ns0:v>0.509496000000001</ns0:v>
      </ns0:c>
      <ns0:c r="H117" s="48">
        <ns0:f t="shared" si="75"/>
        <ns0:v>0.308202000000005</ns0:v>
      </ns0:c>
      <ns0:c r="I117" s="48">
        <ns0:f t="shared" si="75"/>
        <ns0:v>-0.0313099999999996</ns0:v>
      </ns0:c>
      <ns0:c r="J117" s="48">
        <ns0:f t="shared" si="75"/>
        <ns0:v>-3.921268</ns0:v>
      </ns0:c>
      <ns0:c r="K117" s="48">
        <ns0:f t="shared" si="75"/>
        <ns0:v>-8.228948</ns0:v>
      </ns0:c>
      <ns0:c r="L117" s="48">
        <ns0:f t="shared" si="75"/>
        <ns0:v>-10.347064</ns0:v>
      </ns0:c>
      <ns0:c r="M117" s="48">
        <ns0:f t="shared" si="75"/>
        <ns0:v>-6.345639</ns0:v>
      </ns0:c>
      <ns0:c r="N117" s="48">
        <ns0:f t="shared" si="75"/>
        <ns0:v>-13.160017</ns0:v>
      </ns0:c>
      <ns0:c r="O117" s="48">
        <ns0:f t="shared" si="75"/>
        <ns0:v>3.94542000000006</ns0:v>
      </ns0:c>
      <ns0:c r="P117" s="48">
        <ns0:f t="shared" si="75"/>
        <ns0:v>-13.572988</ns0:v>
      </ns0:c>
      <ns0:c r="Q117" s="48">
        <ns0:f t="shared" si="75"/>
        <ns0:v>-34.110856</ns0:v>
      </ns0:c>
      <ns0:c r="R117" s="48">
        <ns0:f t="shared" si="75"/>
        <ns0:v>-6.426975</ns0:v>
      </ns0:c>
      <ns0:c r="S117" s="48">
        <ns0:f t="shared" si="75"/>
        <ns0:v>-28.25845</ns0:v>
      </ns0:c>
      <ns0:c r="T117" s="48">
        <ns0:f t="shared" si="75"/>
        <ns0:v>-10.311168</ns0:v>
      </ns0:c>
      <ns0:c r="U117" s="48">
        <ns0:f t="shared" si="75"/>
        <ns0:v>-7.12272</ns0:v>
      </ns0:c>
      <ns0:c r="V117" s="48">
        <ns0:f t="shared" si="75"/>
        <ns0:v>0.861510000000006</ns0:v>
      </ns0:c>
      <ns0:c r="W117" s="48">
        <ns0:f t="shared" si="75"/>
        <ns0:v>-2.088168</ns0:v>
      </ns0:c>
      <ns0:c r="X117" s="48">
        <ns0:f t="shared" si="75"/>
        <ns0:v>16.142542</ns0:v>
      </ns0:c>
      <ns0:c r="Y117" s="48">
        <ns0:f t="shared" si="75"/>
        <ns0:v>7.942104</ns0:v>
      </ns0:c>
      <ns0:c r="Z117" s="48">
        <ns0:f t="shared" si="75"/>
        <ns0:v>4.83021</ns0:v>
      </ns0:c>
      <ns0:c r="AA117" s="48">
        <ns0:f t="shared" si="75"/>
        <ns0:v>9.461106</ns0:v>
      </ns0:c>
      <ns0:c r="AB117" s="48">
        <ns0:f t="shared" si="75"/>
        <ns0:v>5.061012</ns0:v>
      </ns0:c>
      <ns0:c r="AC117" s="48">
        <ns0:f t="shared" si="75"/>
        <ns0:v>10.198269</ns0:v>
      </ns0:c>
    </ns0:row>
    <ns0:row r="118" spans="1:29">
      <ns0:c r="A118" s="32"/>
      <ns0:c r="B118" s="33"/>
      <ns0:c r="C118" s="38" t="s">
        <ns0:v>53</ns0:v>
      </ns0:c>
      <ns0:c r="D118" s="37"/>
      <ns0:c r="E118" s="26">
        <ns0:f t="shared" si="74"/>
        <ns0:v>-83.8932771999999</ns0:v>
      </ns0:c>
      <ns0:c r="F118" s="48">
        <ns0:f t="shared" ref="F118:AC118" si="76">IF(F117&gt;0,ABS(MIN(F112*0.2,ABS(F113))*F116),F117)</ns0:f>
        <ns0:v>2.482068</ns0:v>
      </ns0:c>
      <ns0:c r="G118" s="48">
        <ns0:f t="shared" si="76"/>
        <ns0:v>0.509496000000001</ns0:v>
      </ns0:c>
      <ns0:c r="H118" s="48">
        <ns0:f t="shared" si="76"/>
        <ns0:v>0.308202000000005</ns0:v>
      </ns0:c>
      <ns0:c r="I118" s="48">
        <ns0:f t="shared" si="76"/>
        <ns0:v>-0.0313099999999996</ns0:v>
      </ns0:c>
      <ns0:c r="J118" s="48">
        <ns0:f t="shared" si="76"/>
        <ns0:v>-3.921268</ns0:v>
      </ns0:c>
      <ns0:c r="K118" s="48">
        <ns0:f t="shared" si="76"/>
        <ns0:v>-8.228948</ns0:v>
      </ns0:c>
      <ns0:c r="L118" s="48">
        <ns0:f t="shared" si="76"/>
        <ns0:v>-10.347064</ns0:v>
      </ns0:c>
      <ns0:c r="M118" s="48">
        <ns0:f t="shared" si="76"/>
        <ns0:v>-6.345639</ns0:v>
      </ns0:c>
      <ns0:c r="N118" s="48">
        <ns0:f t="shared" si="76"/>
        <ns0:v>-13.160017</ns0:v>
      </ns0:c>
      <ns0:c r="O118" s="48">
        <ns0:f t="shared" si="76"/>
        <ns0:v>2.99915400000004</ns0:v>
      </ns0:c>
      <ns0:c r="P118" s="48">
        <ns0:f t="shared" si="76"/>
        <ns0:v>-13.572988</ns0:v>
      </ns0:c>
      <ns0:c r="Q118" s="48">
        <ns0:f t="shared" si="76"/>
        <ns0:v>-34.110856</ns0:v>
      </ns0:c>
      <ns0:c r="R118" s="48">
        <ns0:f t="shared" si="76"/>
        <ns0:v>-6.426975</ns0:v>
      </ns0:c>
      <ns0:c r="S118" s="48">
        <ns0:f t="shared" si="76"/>
        <ns0:v>-28.25845</ns0:v>
      </ns0:c>
      <ns0:c r="T118" s="48">
        <ns0:f t="shared" si="76"/>
        <ns0:v>-10.311168</ns0:v>
      </ns0:c>
      <ns0:c r="U118" s="48">
        <ns0:f t="shared" si="76"/>
        <ns0:v>-7.12272</ns0:v>
      </ns0:c>
      <ns0:c r="V118" s="48">
        <ns0:f t="shared" si="76"/>
        <ns0:v>0.861510000000006</ns0:v>
      </ns0:c>
      <ns0:c r="W118" s="48">
        <ns0:f t="shared" si="76"/>
        <ns0:v>-2.088168</ns0:v>
      </ns0:c>
      <ns0:c r="X118" s="48">
        <ns0:f t="shared" si="76"/>
        <ns0:v>16.142542</ns0:v>
      </ns0:c>
      <ns0:c r="Y118" s="48">
        <ns0:f t="shared" si="76"/>
        <ns0:v>7.942104</ns0:v>
      </ns0:c>
      <ns0:c r="Z118" s="48">
        <ns0:f t="shared" si="76"/>
        <ns0:v>4.83021</ns0:v>
      </ns0:c>
      <ns0:c r="AA118" s="48">
        <ns0:f t="shared" si="76"/>
        <ns0:v>9.461106</ns0:v>
      </ns0:c>
      <ns0:c r="AB118" s="48">
        <ns0:f t="shared" si="76"/>
        <ns0:v>5.061012</ns0:v>
      </ns0:c>
      <ns0:c r="AC118" s="48">
        <ns0:f t="shared" si="76"/>
        <ns0:v>9.4348898</ns0:v>
      </ns0:c>
    </ns0:row>
    <ns0:row r="119" spans="1:29">
      <ns0:c r="A119" s="32"/>
      <ns0:c r="B119" s="33"/>
      <ns0:c r="C119" s="39" t="s">
        <ns0:v>50</ns0:v>
      </ns0:c>
      <ns0:c r="D119" s="37"/>
      <ns0:c r="E119" s="44">
        <ns0:f t="shared" ref="E119:AC119" si="77">E117-E118</ns0:f>
        <ns0:v>1.7096452</ns0:v>
      </ns0:c>
      <ns0:c r="F119" s="26">
        <ns0:f t="shared" si="77"/>
        <ns0:v>0</ns0:v>
      </ns0:c>
      <ns0:c r="G119" s="26">
        <ns0:f t="shared" si="77"/>
        <ns0:v>0</ns0:v>
      </ns0:c>
      <ns0:c r="H119" s="26">
        <ns0:f t="shared" si="77"/>
        <ns0:v>0</ns0:v>
      </ns0:c>
      <ns0:c r="I119" s="26">
        <ns0:f t="shared" si="77"/>
        <ns0:v>0</ns0:v>
      </ns0:c>
      <ns0:c r="J119" s="26">
        <ns0:f t="shared" si="77"/>
        <ns0:v>0</ns0:v>
      </ns0:c>
      <ns0:c r="K119" s="26">
        <ns0:f t="shared" si="77"/>
        <ns0:v>0</ns0:v>
      </ns0:c>
      <ns0:c r="L119" s="26">
        <ns0:f t="shared" si="77"/>
        <ns0:v>0</ns0:v>
      </ns0:c>
      <ns0:c r="M119" s="26">
        <ns0:f t="shared" si="77"/>
        <ns0:v>0</ns0:v>
      </ns0:c>
      <ns0:c r="N119" s="26">
        <ns0:f t="shared" si="77"/>
        <ns0:v>0</ns0:v>
      </ns0:c>
      <ns0:c r="O119" s="26">
        <ns0:f t="shared" si="77"/>
        <ns0:v>0.946266000000013</ns0:v>
      </ns0:c>
      <ns0:c r="P119" s="26">
        <ns0:f t="shared" si="77"/>
        <ns0:v>0</ns0:v>
      </ns0:c>
      <ns0:c r="Q119" s="26">
        <ns0:f t="shared" si="77"/>
        <ns0:v>0</ns0:v>
      </ns0:c>
      <ns0:c r="R119" s="26">
        <ns0:f t="shared" si="77"/>
        <ns0:v>0</ns0:v>
      </ns0:c>
      <ns0:c r="S119" s="26">
        <ns0:f t="shared" si="77"/>
        <ns0:v>0</ns0:v>
      </ns0:c>
      <ns0:c r="T119" s="26">
        <ns0:f t="shared" si="77"/>
        <ns0:v>0</ns0:v>
      </ns0:c>
      <ns0:c r="U119" s="26">
        <ns0:f t="shared" si="77"/>
        <ns0:v>0</ns0:v>
      </ns0:c>
      <ns0:c r="V119" s="26">
        <ns0:f t="shared" si="77"/>
        <ns0:v>0</ns0:v>
      </ns0:c>
      <ns0:c r="W119" s="26">
        <ns0:f t="shared" si="77"/>
        <ns0:v>0</ns0:v>
      </ns0:c>
      <ns0:c r="X119" s="26">
        <ns0:f t="shared" si="77"/>
        <ns0:v>0</ns0:v>
      </ns0:c>
      <ns0:c r="Y119" s="26">
        <ns0:f t="shared" si="77"/>
        <ns0:v>0</ns0:v>
      </ns0:c>
      <ns0:c r="Z119" s="26">
        <ns0:f t="shared" si="77"/>
        <ns0:v>0</ns0:v>
      </ns0:c>
      <ns0:c r="AA119" s="26">
        <ns0:f t="shared" si="77"/>
        <ns0:v>0</ns0:v>
      </ns0:c>
      <ns0:c r="AB119" s="26">
        <ns0:f t="shared" si="77"/>
        <ns0:v>0</ns0:v>
      </ns0:c>
      <ns0:c r="AC119" s="26">
        <ns0:f t="shared" si="77"/>
        <ns0:v>0.763379199999999</ns0:v>
      </ns0:c>
    </ns0:row>
    <ns0:row r="120" spans="1:29">
      <ns0:c r="A120" s="29">
        <ns0:v>46005</ns0:v>
      </ns0:c>
      <ns0:c r="B120" s="30">
        <ns0:f>E127</ns0:f>
        <ns0:v>17.5356380000001</ns0:v>
      </ns0:c>
      <ns0:c r="C120" s="31" t="s">
        <ns0:v>47</ns0:v>
      </ns0:c>
      <ns0:c r="D120" s="31" t="s">
        <ns0:v>48</ns0:v>
      </ns0:c>
      <ns0:c r="E120" s="42">
        <ns0:f t="shared" si="74"/>
        <ns0:v>41.538</ns0:v>
      </ns0:c>
      <ns0:c r="F120" s="47">
        <ns0:v>1.748</ns0:v>
      </ns0:c>
      <ns0:c r="G120" s="47">
        <ns0:v>1.64</ns0:v>
      </ns0:c>
      <ns0:c r="H120" s="47">
        <ns0:v>1.279</ns0:v>
      </ns0:c>
      <ns0:c r="I120" s="47">
        <ns0:v>1.217</ns0:v>
      </ns0:c>
      <ns0:c r="J120" s="47">
        <ns0:v>1.203</ns0:v>
      </ns0:c>
      <ns0:c r="K120" s="47">
        <ns0:v>1.144</ns0:v>
      </ns0:c>
      <ns0:c r="L120" s="47">
        <ns0:v>1.11</ns0:v>
      </ns0:c>
      <ns0:c r="M120" s="47">
        <ns0:v>1.15</ns0:v>
      </ns0:c>
      <ns0:c r="N120" s="47">
        <ns0:v>2.058</ns0:v>
      </ns0:c>
      <ns0:c r="O120" s="47">
        <ns0:v>2.26</ns0:v>
      </ns0:c>
      <ns0:c r="P120" s="47">
        <ns0:v>2.07</ns0:v>
      </ns0:c>
      <ns0:c r="Q120" s="47">
        <ns0:v>1.99</ns0:v>
      </ns0:c>
      <ns0:c r="R120" s="47">
        <ns0:v>1.711</ns0:v>
      </ns0:c>
      <ns0:c r="S120" s="47">
        <ns0:v>1.649</ns0:v>
      </ns0:c>
      <ns0:c r="T120" s="47">
        <ns0:v>2.092</ns0:v>
      </ns0:c>
      <ns0:c r="U120" s="47">
        <ns0:v>2.07</ns0:v>
      </ns0:c>
      <ns0:c r="V120" s="47">
        <ns0:v>2.111</ns0:v>
      </ns0:c>
      <ns0:c r="W120" s="47">
        <ns0:v>2.889</ns0:v>
      </ns0:c>
      <ns0:c r="X120" s="47">
        <ns0:v>1.957</ns0:v>
      </ns0:c>
      <ns0:c r="Y120" s="47">
        <ns0:v>1.839</ns0:v>
      </ns0:c>
      <ns0:c r="Z120" s="47">
        <ns0:v>1.765</ns0:v>
      </ns0:c>
      <ns0:c r="AA120" s="47">
        <ns0:v>1.608</ns0:v>
      </ns0:c>
      <ns0:c r="AB120" s="47">
        <ns0:v>1.545</ns0:v>
      </ns0:c>
      <ns0:c r="AC120" s="47">
        <ns0:v>1.433</ns0:v>
      </ns0:c>
    </ns0:row>
    <ns0:row r="121" spans="1:29">
      <ns0:c r="A121" s="32"/>
      <ns0:c r="B121" s="33"/>
      <ns0:c r="C121" s="32"/>
      <ns0:c r="D121" s="6" t="s">
        <ns0:v>49</ns0:v>
      </ns0:c>
      <ns0:c r="E121" s="42">
        <ns0:f t="shared" si="74"/>
        <ns0:v>42.4005</ns0:v>
      </ns0:c>
      <ns0:c r="F121" s="47">
        <ns0:v>1.5618</ns0:v>
      </ns0:c>
      <ns0:c r="G121" s="47">
        <ns0:v>1.6368</ns0:v>
      </ns0:c>
      <ns0:c r="H121" s="47">
        <ns0:v>1.5986</ns0:v>
      </ns0:c>
      <ns0:c r="I121" s="47">
        <ns0:v>1.531</ns0:v>
      </ns0:c>
      <ns0:c r="J121" s="47">
        <ns0:v>1.5297</ns0:v>
      </ns0:c>
      <ns0:c r="K121" s="47">
        <ns0:v>1.5413</ns0:v>
      </ns0:c>
      <ns0:c r="L121" s="47">
        <ns0:v>1.4599</ns0:v>
      </ns0:c>
      <ns0:c r="M121" s="47">
        <ns0:v>1.5348</ns0:v>
      </ns0:c>
      <ns0:c r="N121" s="47">
        <ns0:v>2.3664</ns0:v>
      </ns0:c>
      <ns0:c r="O121" s="47">
        <ns0:v>2.6402</ns0:v>
      </ns0:c>
      <ns0:c r="P121" s="47">
        <ns0:v>2.1929</ns0:v>
      </ns0:c>
      <ns0:c r="Q121" s="47">
        <ns0:v>2.0728</ns0:v>
      </ns0:c>
      <ns0:c r="R121" s="47">
        <ns0:v>2.0679</ns0:v>
      </ns0:c>
      <ns0:c r="S121" s="47">
        <ns0:v>1.8405</ns0:v>
      </ns0:c>
      <ns0:c r="T121" s="47">
        <ns0:v>2.2484</ns0:v>
      </ns0:c>
      <ns0:c r="U121" s="47">
        <ns0:v>2.1217</ns0:v>
      </ns0:c>
      <ns0:c r="V121" s="47">
        <ns0:v>2.059</ns0:v>
      </ns0:c>
      <ns0:c r="W121" s="47">
        <ns0:v>2.2695</ns0:v>
      </ns0:c>
      <ns0:c r="X121" s="47">
        <ns0:v>1.5669</ns0:v>
      </ns0:c>
      <ns0:c r="Y121" s="47">
        <ns0:v>1.5839</ns0:v>
      </ns0:c>
      <ns0:c r="Z121" s="47">
        <ns0:v>1.3528</ns0:v>
      </ns0:c>
      <ns0:c r="AA121" s="47">
        <ns0:v>1.2943</ns0:v>
      </ns0:c>
      <ns0:c r="AB121" s="47">
        <ns0:v>1.1997</ns0:v>
      </ns0:c>
      <ns0:c r="AC121" s="47">
        <ns0:v>1.1297</ns0:v>
      </ns0:c>
    </ns0:row>
    <ns0:row r="122" spans="1:29">
      <ns0:c r="A122" s="32"/>
      <ns0:c r="B122" s="33"/>
      <ns0:c r="C122" s="34"/>
      <ns0:c r="D122" s="31" t="s">
        <ns0:v>50</ns0:v>
      </ns0:c>
      <ns0:c r="E122" s="26">
        <ns0:f>E120-E121</ns0:f>
        <ns0:v>-0.862500000000011</ns0:v>
      </ns0:c>
      <ns0:c r="F122" s="47">
        <ns0:f t="shared" ref="F122:AC122" si="78">(F120-F121)*1</ns0:f>
        <ns0:v>0.1862</ns0:v>
      </ns0:c>
      <ns0:c r="G122" s="47">
        <ns0:f t="shared" si="78"/>
        <ns0:v>0.00319999999999987</ns0:v>
      </ns0:c>
      <ns0:c r="H122" s="47">
        <ns0:f t="shared" si="78"/>
        <ns0:v>-0.3196</ns0:v>
      </ns0:c>
      <ns0:c r="I122" s="47">
        <ns0:f t="shared" si="78"/>
        <ns0:v>-0.314</ns0:v>
      </ns0:c>
      <ns0:c r="J122" s="47">
        <ns0:f t="shared" si="78"/>
        <ns0:v>-0.3267</ns0:v>
      </ns0:c>
      <ns0:c r="K122" s="47">
        <ns0:f t="shared" si="78"/>
        <ns0:v>-0.3973</ns0:v>
      </ns0:c>
      <ns0:c r="L122" s="47">
        <ns0:f t="shared" si="78"/>
        <ns0:v>-0.3499</ns0:v>
      </ns0:c>
      <ns0:c r="M122" s="47">
        <ns0:f t="shared" si="78"/>
        <ns0:v>-0.3848</ns0:v>
      </ns0:c>
      <ns0:c r="N122" s="47">
        <ns0:f t="shared" si="78"/>
        <ns0:v>-0.3084</ns0:v>
      </ns0:c>
      <ns0:c r="O122" s="47">
        <ns0:f t="shared" si="78"/>
        <ns0:v>-0.3802</ns0:v>
      </ns0:c>
      <ns0:c r="P122" s="47">
        <ns0:f t="shared" si="78"/>
        <ns0:v>-0.1229</ns0:v>
      </ns0:c>
      <ns0:c r="Q122" s="47">
        <ns0:f t="shared" si="78"/>
        <ns0:v>-0.0828</ns0:v>
      </ns0:c>
      <ns0:c r="R122" s="47">
        <ns0:f t="shared" si="78"/>
        <ns0:v>-0.3569</ns0:v>
      </ns0:c>
      <ns0:c r="S122" s="47">
        <ns0:f t="shared" si="78"/>
        <ns0:v>-0.1915</ns0:v>
      </ns0:c>
      <ns0:c r="T122" s="47">
        <ns0:f t="shared" si="78"/>
        <ns0:v>-0.1564</ns0:v>
      </ns0:c>
      <ns0:c r="U122" s="47">
        <ns0:f t="shared" si="78"/>
        <ns0:v>-0.0517000000000003</ns0:v>
      </ns0:c>
      <ns0:c r="V122" s="47">
        <ns0:f t="shared" si="78"/>
        <ns0:v>0.052</ns0:v>
      </ns0:c>
      <ns0:c r="W122" s="47">
        <ns0:f t="shared" si="78"/>
        <ns0:v>0.6195</ns0:v>
      </ns0:c>
      <ns0:c r="X122" s="47">
        <ns0:f t="shared" si="78"/>
        <ns0:v>0.3901</ns0:v>
      </ns0:c>
      <ns0:c r="Y122" s="47">
        <ns0:f t="shared" si="78"/>
        <ns0:v>0.2551</ns0:v>
      </ns0:c>
      <ns0:c r="Z122" s="47">
        <ns0:f t="shared" si="78"/>
        <ns0:v>0.4122</ns0:v>
      </ns0:c>
      <ns0:c r="AA122" s="47">
        <ns0:f t="shared" si="78"/>
        <ns0:v>0.3137</ns0:v>
      </ns0:c>
      <ns0:c r="AB122" s="47">
        <ns0:f t="shared" si="78"/>
        <ns0:v>0.3453</ns0:v>
      </ns0:c>
      <ns0:c r="AC122" s="47">
        <ns0:f t="shared" si="78"/>
        <ns0:v>0.3033</ns0:v>
      </ns0:c>
    </ns0:row>
    <ns0:row r="123" spans="1:29">
      <ns0:c r="A123" s="32"/>
      <ns0:c r="B123" s="33"/>
      <ns0:c r="C123" s="35" t="s">
        <ns0:v>51</ns0:v>
      </ns0:c>
      <ns0:c r="D123" s="31" t="s">
        <ns0:v>48</ns0:v>
      </ns0:c>
      <ns0:c r="E123" s="31">
        <ns0:f>AVERAGE(F123:AC123)</ns0:f>
        <ns0:v>237.265416666667</ns0:v>
      </ns0:c>
      <ns0:c r="F123" s="47">
        <ns0:v>280.59</ns0:v>
      </ns0:c>
      <ns0:c r="G123" s="47">
        <ns0:v>272.81</ns0:v>
      </ns0:c>
      <ns0:c r="H123" s="47">
        <ns0:v>262.16</ns0:v>
      </ns0:c>
      <ns0:c r="I123" s="47">
        <ns0:v>257.1</ns0:v>
      </ns0:c>
      <ns0:c r="J123" s="47">
        <ns0:v>250.87</ns0:v>
      </ns0:c>
      <ns0:c r="K123" s="47">
        <ns0:v>248.31</ns0:v>
      </ns0:c>
      <ns0:c r="L123" s="47">
        <ns0:v>251.17</ns0:v>
      </ns0:c>
      <ns0:c r="M123" s="47">
        <ns0:v>253.15</ns0:v>
      </ns0:c>
      <ns0:c r="N123" s="47">
        <ns0:v>242.5</ns0:v>
      </ns0:c>
      <ns0:c r="O123" s="47">
        <ns0:v>223.25</ns0:v>
      </ns0:c>
      <ns0:c r="P123" s="47">
        <ns0:v>169.68</ns0:v>
      </ns0:c>
      <ns0:c r="Q123" s="47">
        <ns0:v>106.17</ns0:v>
      </ns0:c>
      <ns0:c r="R123" s="47">
        <ns0:v>10.34</ns0:v>
      </ns0:c>
      <ns0:c r="S123" s="47">
        <ns0:v>49.7</ns0:v>
      </ns0:c>
      <ns0:c r="T123" s="47">
        <ns0:v>119</ns0:v>
      </ns0:c>
      <ns0:c r="U123" s="47">
        <ns0:v>188.35</ns0:v>
      </ns0:c>
      <ns0:c r="V123" s="47">
        <ns0:v>277.37</ns0:v>
      </ns0:c>
      <ns0:c r="W123" s="47">
        <ns0:v>324.45</ns0:v>
      </ns0:c>
      <ns0:c r="X123" s="47">
        <ns0:v>334.01</ns0:v>
      </ns0:c>
      <ns0:c r="Y123" s="47">
        <ns0:v>334.52</ns0:v>
      </ns0:c>
      <ns0:c r="Z123" s="47">
        <ns0:v>328.85</ns0:v>
      </ns0:c>
      <ns0:c r="AA123" s="47">
        <ns0:v>327.22</ns0:v>
      </ns0:c>
      <ns0:c r="AB123" s="47">
        <ns0:v>305.32</ns0:v>
      </ns0:c>
      <ns0:c r="AC123" s="47">
        <ns0:v>277.48</ns0:v>
      </ns0:c>
    </ns0:row>
    <ns0:row r="124" spans="1:29">
      <ns0:c r="A124" s="32"/>
      <ns0:c r="B124" s="33"/>
      <ns0:c r="C124" s="32"/>
      <ns0:c r="D124" s="31" t="s">
        <ns0:v>49</ns0:v>
      </ns0:c>
      <ns0:c r="E124" s="31">
        <ns0:f>AVERAGE(F124:AC124)</ns0:f>
        <ns0:v>193.890833333333</ns0:v>
      </ns0:c>
      <ns0:c r="F124" s="47">
        <ns0:v>227.77</ns0:v>
      </ns0:c>
      <ns0:c r="G124" s="47">
        <ns0:v>230.51</ns0:v>
      </ns0:c>
      <ns0:c r="H124" s="47">
        <ns0:v>231.01</ns0:v>
      </ns0:c>
      <ns0:c r="I124" s="47">
        <ns0:v>235.71</ns0:v>
      </ns0:c>
      <ns0:c r="J124" s="47">
        <ns0:v>219.98</ns0:v>
      </ns0:c>
      <ns0:c r="K124" s="47">
        <ns0:v>223.79</ns0:v>
      </ns0:c>
      <ns0:c r="L124" s="47">
        <ns0:v>219.73</ns0:v>
      </ns0:c>
      <ns0:c r="M124" s="47">
        <ns0:v>212.15</ns0:v>
      </ns0:c>
      <ns0:c r="N124" s="47">
        <ns0:v>223.46</ns0:v>
      </ns0:c>
      <ns0:c r="O124" s="47">
        <ns0:v>199.24</ns0:v>
      </ns0:c>
      <ns0:c r="P124" s="47">
        <ns0:v>77.37</ns0:v>
      </ns0:c>
      <ns0:c r="Q124" s="47">
        <ns0:v>27.06</ns0:v>
      </ns0:c>
      <ns0:c r="R124" s="47">
        <ns0:v>-7.04</ns0:v>
      </ns0:c>
      <ns0:c r="S124" s="47">
        <ns0:v>25.85</ns0:v>
      </ns0:c>
      <ns0:c r="T124" s="47">
        <ns0:v>28.17</ns0:v>
      </ns0:c>
      <ns0:c r="U124" s="47">
        <ns0:v>46.23</ns0:v>
      </ns0:c>
      <ns0:c r="V124" s="47">
        <ns0:v>249.8</ns0:v>
      </ns0:c>
      <ns0:c r="W124" s="47">
        <ns0:v>296.55</ns0:v>
      </ns0:c>
      <ns0:c r="X124" s="47">
        <ns0:v>303.67</ns0:v>
      </ns0:c>
      <ns0:c r="Y124" s="47">
        <ns0:v>286.75</ns0:v>
      </ns0:c>
      <ns0:c r="Z124" s="47">
        <ns0:v>284.18</ns0:v>
      </ns0:c>
      <ns0:c r="AA124" s="47">
        <ns0:v>289.45</ns0:v>
      </ns0:c>
      <ns0:c r="AB124" s="47">
        <ns0:v>268.46</ns0:v>
      </ns0:c>
      <ns0:c r="AC124" s="47">
        <ns0:v>253.53</ns0:v>
      </ns0:c>
    </ns0:row>
    <ns0:row r="125" spans="1:29">
      <ns0:c r="A125" s="32"/>
      <ns0:c r="B125" s="33"/>
      <ns0:c r="C125" s="34"/>
      <ns0:c r="D125" s="31" t="s">
        <ns0:v>50</ns0:v>
      </ns0:c>
      <ns0:c r="E125" s="26">
        <ns0:f>E123-E124</ns0:f>
        <ns0:v>43.3745833333334</ns0:v>
      </ns0:c>
      <ns0:c r="F125" s="47">
        <ns0:f t="shared" ref="F125:AC125" si="79">(F123-F124)*1</ns0:f>
        <ns0:v>52.82</ns0:v>
      </ns0:c>
      <ns0:c r="G125" s="47">
        <ns0:f t="shared" si="79"/>
        <ns0:v>42.3</ns0:v>
      </ns0:c>
      <ns0:c r="H125" s="47">
        <ns0:f t="shared" si="79"/>
        <ns0:v>31.15</ns0:v>
      </ns0:c>
      <ns0:c r="I125" s="47">
        <ns0:f t="shared" si="79"/>
        <ns0:v>21.39</ns0:v>
      </ns0:c>
      <ns0:c r="J125" s="47">
        <ns0:f t="shared" si="79"/>
        <ns0:v>30.89</ns0:v>
      </ns0:c>
      <ns0:c r="K125" s="47">
        <ns0:f t="shared" si="79"/>
        <ns0:v>24.52</ns0:v>
      </ns0:c>
      <ns0:c r="L125" s="47">
        <ns0:f t="shared" si="79"/>
        <ns0:v>31.44</ns0:v>
      </ns0:c>
      <ns0:c r="M125" s="47">
        <ns0:f t="shared" si="79"/>
        <ns0:v>41</ns0:v>
      </ns0:c>
      <ns0:c r="N125" s="47">
        <ns0:f t="shared" si="79"/>
        <ns0:v>19.04</ns0:v>
      </ns0:c>
      <ns0:c r="O125" s="47">
        <ns0:f t="shared" si="79"/>
        <ns0:v>24.01</ns0:v>
      </ns0:c>
      <ns0:c r="P125" s="47">
        <ns0:f t="shared" si="79"/>
        <ns0:v>92.31</ns0:v>
      </ns0:c>
      <ns0:c r="Q125" s="47">
        <ns0:f t="shared" si="79"/>
        <ns0:v>79.11</ns0:v>
      </ns0:c>
      <ns0:c r="R125" s="47">
        <ns0:f t="shared" si="79"/>
        <ns0:v>17.38</ns0:v>
      </ns0:c>
      <ns0:c r="S125" s="47">
        <ns0:f t="shared" si="79"/>
        <ns0:v>23.85</ns0:v>
      </ns0:c>
      <ns0:c r="T125" s="47">
        <ns0:f t="shared" si="79"/>
        <ns0:v>90.83</ns0:v>
      </ns0:c>
      <ns0:c r="U125" s="47">
        <ns0:f t="shared" si="79"/>
        <ns0:v>142.12</ns0:v>
      </ns0:c>
      <ns0:c r="V125" s="47">
        <ns0:f t="shared" si="79"/>
        <ns0:v>27.57</ns0:v>
      </ns0:c>
      <ns0:c r="W125" s="47">
        <ns0:f t="shared" si="79"/>
        <ns0:v>27.9</ns0:v>
      </ns0:c>
      <ns0:c r="X125" s="47">
        <ns0:f t="shared" si="79"/>
        <ns0:v>30.34</ns0:v>
      </ns0:c>
      <ns0:c r="Y125" s="47">
        <ns0:f t="shared" si="79"/>
        <ns0:v>47.77</ns0:v>
      </ns0:c>
      <ns0:c r="Z125" s="47">
        <ns0:f t="shared" si="79"/>
        <ns0:v>44.67</ns0:v>
      </ns0:c>
      <ns0:c r="AA125" s="47">
        <ns0:f t="shared" si="79"/>
        <ns0:v>37.77</ns0:v>
      </ns0:c>
      <ns0:c r="AB125" s="47">
        <ns0:f t="shared" si="79"/>
        <ns0:v>36.86</ns0:v>
      </ns0:c>
      <ns0:c r="AC125" s="47">
        <ns0:f t="shared" si="79"/>
        <ns0:v>23.95</ns0:v>
      </ns0:c>
    </ns0:row>
    <ns0:row r="126" spans="1:29">
      <ns0:c r="A126" s="32"/>
      <ns0:c r="B126" s="33"/>
      <ns0:c r="C126" s="36" t="s">
        <ns0:v>52</ns0:v>
      </ns0:c>
      <ns0:c r="D126" s="37"/>
      <ns0:c r="E126" s="26">
        <ns0:f t="shared" ref="E126:E130" si="80">SUM(F126:AC126)</ns0:f>
        <ns0:v>25.5394620000001</ns0:v>
      </ns0:c>
      <ns0:c r="F126" s="48">
        <ns0:f t="shared" ref="F126:AC126" si="81">-F122*F125</ns0:f>
        <ns0:v>-9.835084</ns0:v>
      </ns0:c>
      <ns0:c r="G126" s="48">
        <ns0:f t="shared" si="81"/>
        <ns0:v>-0.135359999999994</ns0:v>
      </ns0:c>
      <ns0:c r="H126" s="48">
        <ns0:f t="shared" si="81"/>
        <ns0:v>9.95554</ns0:v>
      </ns0:c>
      <ns0:c r="I126" s="48">
        <ns0:f t="shared" si="81"/>
        <ns0:v>6.71646</ns0:v>
      </ns0:c>
      <ns0:c r="J126" s="48">
        <ns0:f t="shared" si="81"/>
        <ns0:v>10.091763</ns0:v>
      </ns0:c>
      <ns0:c r="K126" s="48">
        <ns0:f t="shared" si="81"/>
        <ns0:v>9.741796</ns0:v>
      </ns0:c>
      <ns0:c r="L126" s="48">
        <ns0:f t="shared" si="81"/>
        <ns0:v>11.000856</ns0:v>
      </ns0:c>
      <ns0:c r="M126" s="48">
        <ns0:f t="shared" si="81"/>
        <ns0:v>15.7768</ns0:v>
      </ns0:c>
      <ns0:c r="N126" s="48">
        <ns0:f t="shared" si="81"/>
        <ns0:v>5.871936</ns0:v>
      </ns0:c>
      <ns0:c r="O126" s="48">
        <ns0:f t="shared" si="81"/>
        <ns0:v>9.12860200000001</ns0:v>
      </ns0:c>
      <ns0:c r="P126" s="48">
        <ns0:f t="shared" si="81"/>
        <ns0:v>11.344899</ns0:v>
      </ns0:c>
      <ns0:c r="Q126" s="48">
        <ns0:f t="shared" si="81"/>
        <ns0:v>6.550308</ns0:v>
      </ns0:c>
      <ns0:c r="R126" s="48">
        <ns0:f t="shared" si="81"/>
        <ns0:v>6.202922</ns0:v>
      </ns0:c>
      <ns0:c r="S126" s="48">
        <ns0:f t="shared" si="81"/>
        <ns0:v>4.567275</ns0:v>
      </ns0:c>
      <ns0:c r="T126" s="48">
        <ns0:f t="shared" si="81"/>
        <ns0:v>14.205812</ns0:v>
      </ns0:c>
      <ns0:c r="U126" s="48">
        <ns0:f t="shared" si="81"/>
        <ns0:v>7.34760400000004</ns0:v>
      </ns0:c>
      <ns0:c r="V126" s="48">
        <ns0:f t="shared" si="81"/>
        <ns0:v>-1.43364</ns0:v>
      </ns0:c>
      <ns0:c r="W126" s="48">
        <ns0:f t="shared" si="81"/>
        <ns0:v>-17.28405</ns0:v>
      </ns0:c>
      <ns0:c r="X126" s="48">
        <ns0:f t="shared" si="81"/>
        <ns0:v>-11.835634</ns0:v>
      </ns0:c>
      <ns0:c r="Y126" s="48">
        <ns0:f t="shared" si="81"/>
        <ns0:v>-12.186127</ns0:v>
      </ns0:c>
      <ns0:c r="Z126" s="48">
        <ns0:f t="shared" si="81"/>
        <ns0:v>-18.412974</ns0:v>
      </ns0:c>
      <ns0:c r="AA126" s="48">
        <ns0:f t="shared" si="81"/>
        <ns0:v>-11.848449</ns0:v>
      </ns0:c>
      <ns0:c r="AB126" s="48">
        <ns0:f t="shared" si="81"/>
        <ns0:v>-12.727758</ns0:v>
      </ns0:c>
      <ns0:c r="AC126" s="48">
        <ns0:f t="shared" si="81"/>
        <ns0:v>-7.264035</ns0:v>
      </ns0:c>
    </ns0:row>
    <ns0:row r="127" spans="1:29">
      <ns0:c r="A127" s="32"/>
      <ns0:c r="B127" s="33"/>
      <ns0:c r="C127" s="38" t="s">
        <ns0:v>53</ns0:v>
      </ns0:c>
      <ns0:c r="D127" s="37"/>
      <ns0:c r="E127" s="26">
        <ns0:f t="shared" si="80"/>
        <ns0:v>17.5356380000001</ns0:v>
      </ns0:c>
      <ns0:c r="F127" s="48">
        <ns0:f t="shared" ref="F127:AC127" si="82">IF(F126&gt;0,ABS(MIN(F121*0.2,ABS(F122))*F125),F126)</ns0:f>
        <ns0:v>-9.835084</ns0:v>
      </ns0:c>
      <ns0:c r="G127" s="48">
        <ns0:f t="shared" si="82"/>
        <ns0:v>-0.135359999999994</ns0:v>
      </ns0:c>
      <ns0:c r="H127" s="48">
        <ns0:f t="shared" si="82"/>
        <ns0:v>9.95554</ns0:v>
      </ns0:c>
      <ns0:c r="I127" s="48">
        <ns0:f t="shared" si="82"/>
        <ns0:v>6.549618</ns0:v>
      </ns0:c>
      <ns0:c r="J127" s="48">
        <ns0:f t="shared" si="82"/>
        <ns0:v>9.4504866</ns0:v>
      </ns0:c>
      <ns0:c r="K127" s="48">
        <ns0:f t="shared" si="82"/>
        <ns0:v>7.5585352</ns0:v>
      </ns0:c>
      <ns0:c r="L127" s="48">
        <ns0:f t="shared" si="82"/>
        <ns0:v>9.1798512</ns0:v>
      </ns0:c>
      <ns0:c r="M127" s="48">
        <ns0:f t="shared" si="82"/>
        <ns0:v>12.58536</ns0:v>
      </ns0:c>
      <ns0:c r="N127" s="48">
        <ns0:f t="shared" si="82"/>
        <ns0:v>5.871936</ns0:v>
      </ns0:c>
      <ns0:c r="O127" s="48">
        <ns0:f t="shared" si="82"/>
        <ns0:v>9.12860200000001</ns0:v>
      </ns0:c>
      <ns0:c r="P127" s="48">
        <ns0:f t="shared" si="82"/>
        <ns0:v>11.344899</ns0:v>
      </ns0:c>
      <ns0:c r="Q127" s="48">
        <ns0:f t="shared" si="82"/>
        <ns0:v>6.550308</ns0:v>
      </ns0:c>
      <ns0:c r="R127" s="48">
        <ns0:f t="shared" si="82"/>
        <ns0:v>6.202922</ns0:v>
      </ns0:c>
      <ns0:c r="S127" s="48">
        <ns0:f t="shared" si="82"/>
        <ns0:v>4.567275</ns0:v>
      </ns0:c>
      <ns0:c r="T127" s="48">
        <ns0:f t="shared" si="82"/>
        <ns0:v>14.205812</ns0:v>
      </ns0:c>
      <ns0:c r="U127" s="48">
        <ns0:f t="shared" si="82"/>
        <ns0:v>7.34760400000004</ns0:v>
      </ns0:c>
      <ns0:c r="V127" s="48">
        <ns0:f t="shared" si="82"/>
        <ns0:v>-1.43364</ns0:v>
      </ns0:c>
      <ns0:c r="W127" s="48">
        <ns0:f t="shared" si="82"/>
        <ns0:v>-17.28405</ns0:v>
      </ns0:c>
      <ns0:c r="X127" s="48">
        <ns0:f t="shared" si="82"/>
        <ns0:v>-11.835634</ns0:v>
      </ns0:c>
      <ns0:c r="Y127" s="48">
        <ns0:f t="shared" si="82"/>
        <ns0:v>-12.186127</ns0:v>
      </ns0:c>
      <ns0:c r="Z127" s="48">
        <ns0:f t="shared" si="82"/>
        <ns0:v>-18.412974</ns0:v>
      </ns0:c>
      <ns0:c r="AA127" s="48">
        <ns0:f t="shared" si="82"/>
        <ns0:v>-11.848449</ns0:v>
      </ns0:c>
      <ns0:c r="AB127" s="48">
        <ns0:f t="shared" si="82"/>
        <ns0:v>-12.727758</ns0:v>
      </ns0:c>
      <ns0:c r="AC127" s="48">
        <ns0:f t="shared" si="82"/>
        <ns0:v>-7.264035</ns0:v>
      </ns0:c>
    </ns0:row>
    <ns0:row r="128" spans="1:29">
      <ns0:c r="A128" s="32"/>
      <ns0:c r="B128" s="33"/>
      <ns0:c r="C128" s="39" t="s">
        <ns0:v>50</ns0:v>
      </ns0:c>
      <ns0:c r="D128" s="37"/>
      <ns0:c r="E128" s="44">
        <ns0:f t="shared" ref="E128:AC128" si="83">E126-E127</ns0:f>
        <ns0:v>8.00382399999998</ns0:v>
      </ns0:c>
      <ns0:c r="F128" s="26">
        <ns0:f t="shared" si="83"/>
        <ns0:v>0</ns0:v>
      </ns0:c>
      <ns0:c r="G128" s="26">
        <ns0:f t="shared" si="83"/>
        <ns0:v>0</ns0:v>
      </ns0:c>
      <ns0:c r="H128" s="26">
        <ns0:f t="shared" si="83"/>
        <ns0:v>0</ns0:v>
      </ns0:c>
      <ns0:c r="I128" s="26">
        <ns0:f t="shared" si="83"/>
        <ns0:v>0.166841999999996</ns0:v>
      </ns0:c>
      <ns0:c r="J128" s="26">
        <ns0:f t="shared" si="83"/>
        <ns0:v>0.641276399999999</ns0:v>
      </ns0:c>
      <ns0:c r="K128" s="26">
        <ns0:f t="shared" si="83"/>
        <ns0:v>2.1832608</ns0:v>
      </ns0:c>
      <ns0:c r="L128" s="26">
        <ns0:f t="shared" si="83"/>
        <ns0:v>1.8210048</ns0:v>
      </ns0:c>
      <ns0:c r="M128" s="26">
        <ns0:f t="shared" si="83"/>
        <ns0:v>3.19144</ns0:v>
      </ns0:c>
      <ns0:c r="N128" s="26">
        <ns0:f t="shared" si="83"/>
        <ns0:v>0</ns0:v>
      </ns0:c>
      <ns0:c r="O128" s="26">
        <ns0:f t="shared" si="83"/>
        <ns0:v>0</ns0:v>
      </ns0:c>
      <ns0:c r="P128" s="26">
        <ns0:f t="shared" si="83"/>
        <ns0:v>0</ns0:v>
      </ns0:c>
      <ns0:c r="Q128" s="26">
        <ns0:f t="shared" si="83"/>
        <ns0:v>0</ns0:v>
      </ns0:c>
      <ns0:c r="R128" s="26">
        <ns0:f t="shared" si="83"/>
        <ns0:v>0</ns0:v>
      </ns0:c>
      <ns0:c r="S128" s="26">
        <ns0:f t="shared" si="83"/>
        <ns0:v>0</ns0:v>
      </ns0:c>
      <ns0:c r="T128" s="26">
        <ns0:f t="shared" si="83"/>
        <ns0:v>0</ns0:v>
      </ns0:c>
      <ns0:c r="U128" s="26">
        <ns0:f t="shared" si="83"/>
        <ns0:v>0</ns0:v>
      </ns0:c>
      <ns0:c r="V128" s="26">
        <ns0:f t="shared" si="83"/>
        <ns0:v>0</ns0:v>
      </ns0:c>
      <ns0:c r="W128" s="26">
        <ns0:f t="shared" si="83"/>
        <ns0:v>0</ns0:v>
      </ns0:c>
      <ns0:c r="X128" s="26">
        <ns0:f t="shared" si="83"/>
        <ns0:v>0</ns0:v>
      </ns0:c>
      <ns0:c r="Y128" s="26">
        <ns0:f t="shared" si="83"/>
        <ns0:v>0</ns0:v>
      </ns0:c>
      <ns0:c r="Z128" s="26">
        <ns0:f t="shared" si="83"/>
        <ns0:v>0</ns0:v>
      </ns0:c>
      <ns0:c r="AA128" s="26">
        <ns0:f t="shared" si="83"/>
        <ns0:v>0</ns0:v>
      </ns0:c>
      <ns0:c r="AB128" s="26">
        <ns0:f t="shared" si="83"/>
        <ns0:v>0</ns0:v>
      </ns0:c>
      <ns0:c r="AC128" s="26">
        <ns0:f t="shared" si="83"/>
        <ns0:v>0</ns0:v>
      </ns0:c>
    </ns0:row>
    <ns0:row r="129" spans="1:29">
      <ns0:c r="A129" s="29">
        <ns0:v>46006</ns0:v>
      </ns0:c>
      <ns0:c r="B129" s="30">
        <ns0:f>E136</ns0:f>
        <ns0:v>491.524199</ns0:v>
      </ns0:c>
      <ns0:c r="C129" s="31" t="s">
        <ns0:v>47</ns0:v>
      </ns0:c>
      <ns0:c r="D129" s="31" t="s">
        <ns0:v>48</ns0:v>
      </ns0:c>
      <ns0:c r="E129" s="42">
        <ns0:f t="shared" si="80"/>
        <ns0:v>50.247</ns0:v>
      </ns0:c>
      <ns0:c r="F129" s="47">
        <ns0:v>1.318</ns0:v>
      </ns0:c>
      <ns0:c r="G129" s="47">
        <ns0:v>1.103</ns0:v>
      </ns0:c>
      <ns0:c r="H129" s="47">
        <ns0:v>1.09</ns0:v>
      </ns0:c>
      <ns0:c r="I129" s="47">
        <ns0:v>1.046</ns0:v>
      </ns0:c>
      <ns0:c r="J129" s="47">
        <ns0:v>1.018</ns0:v>
      </ns0:c>
      <ns0:c r="K129" s="47">
        <ns0:v>1.028</ns0:v>
      </ns0:c>
      <ns0:c r="L129" s="47">
        <ns0:v>0.924</ns0:v>
      </ns0:c>
      <ns0:c r="M129" s="47">
        <ns0:v>1.426</ns0:v>
      </ns0:c>
      <ns0:c r="N129" s="47">
        <ns0:v>2.859</ns0:v>
      </ns0:c>
      <ns0:c r="O129" s="47">
        <ns0:v>3.24</ns0:v>
      </ns0:c>
      <ns0:c r="P129" s="47">
        <ns0:v>2.371</ns0:v>
      </ns0:c>
      <ns0:c r="Q129" s="47">
        <ns0:v>2.298</ns0:v>
      </ns0:c>
      <ns0:c r="R129" s="47">
        <ns0:v>1.966</ns0:v>
      </ns0:c>
      <ns0:c r="S129" s="47">
        <ns0:v>2.325</ns0:v>
      </ns0:c>
      <ns0:c r="T129" s="47">
        <ns0:v>2.713</ns0:v>
      </ns0:c>
      <ns0:c r="U129" s="47">
        <ns0:v>2.608</ns0:v>
      </ns0:c>
      <ns0:c r="V129" s="47">
        <ns0:v>3.452</ns0:v>
      </ns0:c>
      <ns0:c r="W129" s="47">
        <ns0:v>3.7</ns0:v>
      </ns0:c>
      <ns0:c r="X129" s="47">
        <ns0:v>3.652</ns0:v>
      </ns0:c>
      <ns0:c r="Y129" s="47">
        <ns0:v>2.759</ns0:v>
      </ns0:c>
      <ns0:c r="Z129" s="47">
        <ns0:v>2.408</ns0:v>
      </ns0:c>
      <ns0:c r="AA129" s="47">
        <ns0:v>2.036</ns0:v>
      </ns0:c>
      <ns0:c r="AB129" s="47">
        <ns0:v>1.57</ns0:v>
      </ns0:c>
      <ns0:c r="AC129" s="47">
        <ns0:v>1.337</ns0:v>
      </ns0:c>
    </ns0:row>
    <ns0:row r="130" spans="1:29">
      <ns0:c r="A130" s="32"/>
      <ns0:c r="B130" s="33"/>
      <ns0:c r="C130" s="32"/>
      <ns0:c r="D130" s="6" t="s">
        <ns0:v>49</ns0:v>
      </ns0:c>
      <ns0:c r="E130" s="42">
        <ns0:f t="shared" si="80"/>
        <ns0:v>59.9772</ns0:v>
      </ns0:c>
      <ns0:c r="F130" s="47">
        <ns0:v>1.1308</ns0:v>
      </ns0:c>
      <ns0:c r="G130" s="47">
        <ns0:v>1.2561</ns0:v>
      </ns0:c>
      <ns0:c r="H130" s="47">
        <ns0:v>1.2381</ns0:v>
      </ns0:c>
      <ns0:c r="I130" s="47">
        <ns0:v>1.1965</ns0:v>
      </ns0:c>
      <ns0:c r="J130" s="47">
        <ns0:v>1.1396</ns0:v>
      </ns0:c>
      <ns0:c r="K130" s="47">
        <ns0:v>1.1342</ns0:v>
      </ns0:c>
      <ns0:c r="L130" s="47">
        <ns0:v>1.1108</ns0:v>
      </ns0:c>
      <ns0:c r="M130" s="47">
        <ns0:v>1.6247</ns0:v>
      </ns0:c>
      <ns0:c r="N130" s="47">
        <ns0:v>3.5588</ns0:v>
      </ns0:c>
      <ns0:c r="O130" s="47">
        <ns0:v>3.8807</ns0:v>
      </ns0:c>
      <ns0:c r="P130" s="47">
        <ns0:v>3.2952</ns0:v>
      </ns0:c>
      <ns0:c r="Q130" s="47">
        <ns0:v>3.1977</ns0:v>
      </ns0:c>
      <ns0:c r="R130" s="47">
        <ns0:v>2.7299</ns0:v>
      </ns0:c>
      <ns0:c r="S130" s="47">
        <ns0:v>3.2712</ns0:v>
      </ns0:c>
      <ns0:c r="T130" s="47">
        <ns0:v>3.8964</ns0:v>
      </ns0:c>
      <ns0:c r="U130" s="47">
        <ns0:v>3.693</ns0:v>
      </ns0:c>
      <ns0:c r="V130" s="47">
        <ns0:v>3.8123</ns0:v>
      </ns0:c>
      <ns0:c r="W130" s="47">
        <ns0:v>3.5562</ns0:v>
      </ns0:c>
      <ns0:c r="X130" s="47">
        <ns0:v>3.2864</ns0:v>
      </ns0:c>
      <ns0:c r="Y130" s="47">
        <ns0:v>3.386</ns0:v>
      </ns0:c>
      <ns0:c r="Z130" s="47">
        <ns0:v>2.8095</ns0:v>
      </ns0:c>
      <ns0:c r="AA130" s="47">
        <ns0:v>2.3117</ns0:v>
      </ns0:c>
      <ns0:c r="AB130" s="47">
        <ns0:v>1.8959</ns0:v>
      </ns0:c>
      <ns0:c r="AC130" s="47">
        <ns0:v>1.5655</ns0:v>
      </ns0:c>
    </ns0:row>
    <ns0:row r="131" spans="1:29">
      <ns0:c r="A131" s="32"/>
      <ns0:c r="B131" s="33"/>
      <ns0:c r="C131" s="34"/>
      <ns0:c r="D131" s="31" t="s">
        <ns0:v>50</ns0:v>
      </ns0:c>
      <ns0:c r="E131" s="26">
        <ns0:f>E129-E130</ns0:f>
        <ns0:v>-9.7302</ns0:v>
      </ns0:c>
      <ns0:c r="F131" s="47">
        <ns0:f t="shared" ref="F131:AC131" si="84">(F129-F130)*1</ns0:f>
        <ns0:v>0.1872</ns0:v>
      </ns0:c>
      <ns0:c r="G131" s="47">
        <ns0:f t="shared" si="84"/>
        <ns0:v>-0.1531</ns0:v>
      </ns0:c>
      <ns0:c r="H131" s="47">
        <ns0:f t="shared" si="84"/>
        <ns0:v>-0.1481</ns0:v>
      </ns0:c>
      <ns0:c r="I131" s="47">
        <ns0:f t="shared" si="84"/>
        <ns0:v>-0.1505</ns0:v>
      </ns0:c>
      <ns0:c r="J131" s="47">
        <ns0:f t="shared" si="84"/>
        <ns0:v>-0.1216</ns0:v>
      </ns0:c>
      <ns0:c r="K131" s="47">
        <ns0:f t="shared" si="84"/>
        <ns0:v>-0.1062</ns0:v>
      </ns0:c>
      <ns0:c r="L131" s="47">
        <ns0:f t="shared" si="84"/>
        <ns0:v>-0.1868</ns0:v>
      </ns0:c>
      <ns0:c r="M131" s="47">
        <ns0:f t="shared" si="84"/>
        <ns0:v>-0.1987</ns0:v>
      </ns0:c>
      <ns0:c r="N131" s="47">
        <ns0:f t="shared" si="84"/>
        <ns0:v>-0.6998</ns0:v>
      </ns0:c>
      <ns0:c r="O131" s="47">
        <ns0:f t="shared" si="84"/>
        <ns0:v>-0.6407</ns0:v>
      </ns0:c>
      <ns0:c r="P131" s="47">
        <ns0:f t="shared" si="84"/>
        <ns0:v>-0.9242</ns0:v>
      </ns0:c>
      <ns0:c r="Q131" s="47">
        <ns0:f t="shared" si="84"/>
        <ns0:v>-0.8997</ns0:v>
      </ns0:c>
      <ns0:c r="R131" s="47">
        <ns0:f t="shared" si="84"/>
        <ns0:v>-0.7639</ns0:v>
      </ns0:c>
      <ns0:c r="S131" s="47">
        <ns0:f t="shared" si="84"/>
        <ns0:v>-0.9462</ns0:v>
      </ns0:c>
      <ns0:c r="T131" s="47">
        <ns0:f t="shared" si="84"/>
        <ns0:v>-1.1834</ns0:v>
      </ns0:c>
      <ns0:c r="U131" s="47">
        <ns0:f t="shared" si="84"/>
        <ns0:v>-1.085</ns0:v>
      </ns0:c>
      <ns0:c r="V131" s="47">
        <ns0:f t="shared" si="84"/>
        <ns0:v>-0.3603</ns0:v>
      </ns0:c>
      <ns0:c r="W131" s="47">
        <ns0:f t="shared" si="84"/>
        <ns0:v>0.1438</ns0:v>
      </ns0:c>
      <ns0:c r="X131" s="47">
        <ns0:f t="shared" si="84"/>
        <ns0:v>0.3656</ns0:v>
      </ns0:c>
      <ns0:c r="Y131" s="47">
        <ns0:f t="shared" si="84"/>
        <ns0:v>-0.627</ns0:v>
      </ns0:c>
      <ns0:c r="Z131" s="47">
        <ns0:f t="shared" si="84"/>
        <ns0:v>-0.4015</ns0:v>
      </ns0:c>
      <ns0:c r="AA131" s="47">
        <ns0:f t="shared" si="84"/>
        <ns0:v>-0.2757</ns0:v>
      </ns0:c>
      <ns0:c r="AB131" s="47">
        <ns0:f t="shared" si="84"/>
        <ns0:v>-0.3259</ns0:v>
      </ns0:c>
      <ns0:c r="AC131" s="47">
        <ns0:f t="shared" si="84"/>
        <ns0:v>-0.2285</ns0:v>
      </ns0:c>
    </ns0:row>
    <ns0:row r="132" spans="1:29">
      <ns0:c r="A132" s="32"/>
      <ns0:c r="B132" s="33"/>
      <ns0:c r="C132" s="35" t="s">
        <ns0:v>51</ns0:v>
      </ns0:c>
      <ns0:c r="D132" s="31" t="s">
        <ns0:v>48</ns0:v>
      </ns0:c>
      <ns0:c r="E132" s="31">
        <ns0:f>AVERAGE(F132:AC132)</ns0:f>
        <ns0:v>282.624166666667</ns0:v>
      </ns0:c>
      <ns0:c r="F132" s="47">
        <ns0:v>294.84</ns0:v>
      </ns0:c>
      <ns0:c r="G132" s="47">
        <ns0:v>290.04</ns0:v>
      </ns0:c>
      <ns0:c r="H132" s="47">
        <ns0:v>280.74</ns0:v>
      </ns0:c>
      <ns0:c r="I132" s="47">
        <ns0:v>276.79</ns0:v>
      </ns0:c>
      <ns0:c r="J132" s="47">
        <ns0:v>270.59</ns0:v>
      </ns0:c>
      <ns0:c r="K132" s="47">
        <ns0:v>271.66</ns0:v>
      </ns0:c>
      <ns0:c r="L132" s="47">
        <ns0:v>284.11</ns0:v>
      </ns0:c>
      <ns0:c r="M132" s="47">
        <ns0:v>297.68</ns0:v>
      </ns0:c>
      <ns0:c r="N132" s="47">
        <ns0:v>305.65</ns0:v>
      </ns0:c>
      <ns0:c r="O132" s="47">
        <ns0:v>290.3</ns0:v>
      </ns0:c>
      <ns0:c r="P132" s="47">
        <ns0:v>257.45</ns0:v>
      </ns0:c>
      <ns0:c r="Q132" s="47">
        <ns0:v>209.66</ns0:v>
      </ns0:c>
      <ns0:c r="R132" s="47">
        <ns0:v>120.21</ns0:v>
      </ns0:c>
      <ns0:c r="S132" s="47">
        <ns0:v>167.12</ns0:v>
      </ns0:c>
      <ns0:c r="T132" s="47">
        <ns0:v>187.86</ns0:v>
      </ns0:c>
      <ns0:c r="U132" s="47">
        <ns0:v>249.11</ns0:v>
      </ns0:c>
      <ns0:c r="V132" s="47">
        <ns0:v>298.41</ns0:v>
      </ns0:c>
      <ns0:c r="W132" s="47">
        <ns0:v>348.35</ns0:v>
      </ns0:c>
      <ns0:c r="X132" s="47">
        <ns0:v>379.23</ns0:v>
      </ns0:c>
      <ns0:c r="Y132" s="47">
        <ns0:v>367.74</ns0:v>
      </ns0:c>
      <ns0:c r="Z132" s="47">
        <ns0:v>358.12</ns0:v>
      </ns0:c>
      <ns0:c r="AA132" s="47">
        <ns0:v>355.32</ns0:v>
      </ns0:c>
      <ns0:c r="AB132" s="47">
        <ns0:v>323.6</ns0:v>
      </ns0:c>
      <ns0:c r="AC132" s="47">
        <ns0:v>298.4</ns0:v>
      </ns0:c>
    </ns0:row>
    <ns0:row r="133" spans="1:29">
      <ns0:c r="A133" s="32"/>
      <ns0:c r="B133" s="33"/>
      <ns0:c r="C133" s="32"/>
      <ns0:c r="D133" s="31" t="s">
        <ns0:v>49</ns0:v>
      </ns0:c>
      <ns0:c r="E133" s="31">
        <ns0:f>AVERAGE(F133:AC133)</ns0:f>
        <ns0:v>254.796666666667</ns0:v>
      </ns0:c>
      <ns0:c r="F133" s="47">
        <ns0:v>278.72</ns0:v>
      </ns0:c>
      <ns0:c r="G133" s="47">
        <ns0:v>279.44</ns0:v>
      </ns0:c>
      <ns0:c r="H133" s="47">
        <ns0:v>266.43</ns0:v>
      </ns0:c>
      <ns0:c r="I133" s="47">
        <ns0:v>260.1</ns0:v>
      </ns0:c>
      <ns0:c r="J133" s="47">
        <ns0:v>252.65</ns0:v>
      </ns0:c>
      <ns0:c r="K133" s="47">
        <ns0:v>262.52</ns0:v>
      </ns0:c>
      <ns0:c r="L133" s="47">
        <ns0:v>276.85</ns0:v>
      </ns0:c>
      <ns0:c r="M133" s="47">
        <ns0:v>286.87</ns0:v>
      </ns0:c>
      <ns0:c r="N133" s="47">
        <ns0:v>290.11</ns0:v>
      </ns0:c>
      <ns0:c r="O133" s="47">
        <ns0:v>234.55</ns0:v>
      </ns0:c>
      <ns0:c r="P133" s="47">
        <ns0:v>180.67</ns0:v>
      </ns0:c>
      <ns0:c r="Q133" s="47">
        <ns0:v>79.98</ns0:v>
      </ns0:c>
      <ns0:c r="R133" s="47">
        <ns0:v>-9.52</ns0:v>
      </ns0:c>
      <ns0:c r="S133" s="47">
        <ns0:v>68.81</ns0:v>
      </ns0:c>
      <ns0:c r="T133" s="47">
        <ns0:v>60.7</ns0:v>
      </ns0:c>
      <ns0:c r="U133" s="47">
        <ns0:v>107.2</ns0:v>
      </ns0:c>
      <ns0:c r="V133" s="47">
        <ns0:v>278.41</ns0:v>
      </ns0:c>
      <ns0:c r="W133" s="47">
        <ns0:v>352.49</ns0:v>
      </ns0:c>
      <ns0:c r="X133" s="47">
        <ns0:v>454.89</ns0:v>
      </ns0:c>
      <ns0:c r="Y133" s="47">
        <ns0:v>450.17</ns0:v>
      </ns0:c>
      <ns0:c r="Z133" s="47">
        <ns0:v>382.81</ns0:v>
      </ns0:c>
      <ns0:c r="AA133" s="47">
        <ns0:v>406.23</ns0:v>
      </ns0:c>
      <ns0:c r="AB133" s="47">
        <ns0:v>315.43</ns0:v>
      </ns0:c>
      <ns0:c r="AC133" s="47">
        <ns0:v>298.61</ns0:v>
      </ns0:c>
    </ns0:row>
    <ns0:row r="134" spans="1:29">
      <ns0:c r="A134" s="32"/>
      <ns0:c r="B134" s="33"/>
      <ns0:c r="C134" s="34"/>
      <ns0:c r="D134" s="31" t="s">
        <ns0:v>50</ns0:v>
      </ns0:c>
      <ns0:c r="E134" s="26">
        <ns0:f>E132-E133</ns0:f>
        <ns0:v>27.8275</ns0:v>
      </ns0:c>
      <ns0:c r="F134" s="47">
        <ns0:f t="shared" ref="F134:AC134" si="85">(F132-F133)*1</ns0:f>
        <ns0:v>16.1199999999999</ns0:v>
      </ns0:c>
      <ns0:c r="G134" s="47">
        <ns0:f t="shared" si="85"/>
        <ns0:v>10.6</ns0:v>
      </ns0:c>
      <ns0:c r="H134" s="47">
        <ns0:f t="shared" si="85"/>
        <ns0:v>14.31</ns0:v>
      </ns0:c>
      <ns0:c r="I134" s="47">
        <ns0:f t="shared" si="85"/>
        <ns0:v>16.69</ns0:v>
      </ns0:c>
      <ns0:c r="J134" s="47">
        <ns0:f t="shared" si="85"/>
        <ns0:v>17.94</ns0:v>
      </ns0:c>
      <ns0:c r="K134" s="47">
        <ns0:f t="shared" si="85"/>
        <ns0:v>9.14000000000004</ns0:v>
      </ns0:c>
      <ns0:c r="L134" s="47">
        <ns0:f t="shared" si="85"/>
        <ns0:v>7.25999999999999</ns0:v>
      </ns0:c>
      <ns0:c r="M134" s="47">
        <ns0:f t="shared" si="85"/>
        <ns0:v>10.81</ns0:v>
      </ns0:c>
      <ns0:c r="N134" s="47">
        <ns0:f t="shared" si="85"/>
        <ns0:v>15.54</ns0:v>
      </ns0:c>
      <ns0:c r="O134" s="47">
        <ns0:f t="shared" si="85"/>
        <ns0:v>55.75</ns0:v>
      </ns0:c>
      <ns0:c r="P134" s="47">
        <ns0:f t="shared" si="85"/>
        <ns0:v>76.78</ns0:v>
      </ns0:c>
      <ns0:c r="Q134" s="47">
        <ns0:f t="shared" si="85"/>
        <ns0:v>129.68</ns0:v>
      </ns0:c>
      <ns0:c r="R134" s="47">
        <ns0:f t="shared" si="85"/>
        <ns0:v>129.73</ns0:v>
      </ns0:c>
      <ns0:c r="S134" s="47">
        <ns0:f t="shared" si="85"/>
        <ns0:v>98.31</ns0:v>
      </ns0:c>
      <ns0:c r="T134" s="47">
        <ns0:f t="shared" si="85"/>
        <ns0:v>127.16</ns0:v>
      </ns0:c>
      <ns0:c r="U134" s="47">
        <ns0:f t="shared" si="85"/>
        <ns0:v>141.91</ns0:v>
      </ns0:c>
      <ns0:c r="V134" s="47">
        <ns0:f t="shared" si="85"/>
        <ns0:v>20</ns0:v>
      </ns0:c>
      <ns0:c r="W134" s="47">
        <ns0:f t="shared" si="85"/>
        <ns0:v>-4.13999999999999</ns0:v>
      </ns0:c>
      <ns0:c r="X134" s="47">
        <ns0:f t="shared" si="85"/>
        <ns0:v>-75.66</ns0:v>
      </ns0:c>
      <ns0:c r="Y134" s="47">
        <ns0:f t="shared" si="85"/>
        <ns0:v>-82.43</ns0:v>
      </ns0:c>
      <ns0:c r="Z134" s="47">
        <ns0:f t="shared" si="85"/>
        <ns0:v>-24.69</ns0:v>
      </ns0:c>
      <ns0:c r="AA134" s="47">
        <ns0:f t="shared" si="85"/>
        <ns0:v>-50.91</ns0:v>
      </ns0:c>
      <ns0:c r="AB134" s="47">
        <ns0:f t="shared" si="85"/>
        <ns0:v>8.17000000000002</ns0:v>
      </ns0:c>
      <ns0:c r="AC134" s="47">
        <ns0:f t="shared" si="85"/>
        <ns0:v>-0.210000000000036</ns0:v>
      </ns0:c>
    </ns0:row>
    <ns0:row r="135" spans="1:29">
      <ns0:c r="A135" s="32"/>
      <ns0:c r="B135" s="33"/>
      <ns0:c r="C135" s="36" t="s">
        <ns0:v>52</ns0:v>
      </ns0:c>
      <ns0:c r="D135" s="37"/>
      <ns0:c r="E135" s="26">
        <ns0:f t="shared" ref="E135:E139" si="86">SUM(F135:AC135)</ns0:f>
        <ns0:v>703.139605</ns0:v>
      </ns0:c>
      <ns0:c r="F135" s="48">
        <ns0:f t="shared" ref="F135:AC135" si="87">-F131*F134</ns0:f>
        <ns0:v>-3.01766399999998</ns0:v>
      </ns0:c>
      <ns0:c r="G135" s="48">
        <ns0:f t="shared" si="87"/>
        <ns0:v>1.62286</ns0:v>
      </ns0:c>
      <ns0:c r="H135" s="48">
        <ns0:f t="shared" si="87"/>
        <ns0:v>2.119311</ns0:v>
      </ns0:c>
      <ns0:c r="I135" s="48">
        <ns0:f t="shared" si="87"/>
        <ns0:v>2.511845</ns0:v>
      </ns0:c>
      <ns0:c r="J135" s="48">
        <ns0:f t="shared" si="87"/>
        <ns0:v>2.181504</ns0:v>
      </ns0:c>
      <ns0:c r="K135" s="48">
        <ns0:f t="shared" si="87"/>
        <ns0:v>0.970668000000005</ns0:v>
      </ns0:c>
      <ns0:c r="L135" s="48">
        <ns0:f t="shared" si="87"/>
        <ns0:v>1.356168</ns0:v>
      </ns0:c>
      <ns0:c r="M135" s="48">
        <ns0:f t="shared" si="87"/>
        <ns0:v>2.147947</ns0:v>
      </ns0:c>
      <ns0:c r="N135" s="48">
        <ns0:f t="shared" si="87"/>
        <ns0:v>10.874892</ns0:v>
      </ns0:c>
      <ns0:c r="O135" s="48">
        <ns0:f t="shared" si="87"/>
        <ns0:v>35.719025</ns0:v>
      </ns0:c>
      <ns0:c r="P135" s="48">
        <ns0:f t="shared" si="87"/>
        <ns0:v>70.960076</ns0:v>
      </ns0:c>
      <ns0:c r="Q135" s="48">
        <ns0:f t="shared" si="87"/>
        <ns0:v>116.673096</ns0:v>
      </ns0:c>
      <ns0:c r="R135" s="48">
        <ns0:f t="shared" si="87"/>
        <ns0:v>99.100747</ns0:v>
      </ns0:c>
      <ns0:c r="S135" s="48">
        <ns0:f t="shared" si="87"/>
        <ns0:v>93.020922</ns0:v>
      </ns0:c>
      <ns0:c r="T135" s="48">
        <ns0:f t="shared" si="87"/>
        <ns0:v>150.481144</ns0:v>
      </ns0:c>
      <ns0:c r="U135" s="48">
        <ns0:f t="shared" si="87"/>
        <ns0:v>153.97235</ns0:v>
      </ns0:c>
      <ns0:c r="V135" s="48">
        <ns0:f t="shared" si="87"/>
        <ns0:v>7.206</ns0:v>
      </ns0:c>
      <ns0:c r="W135" s="48">
        <ns0:f t="shared" si="87"/>
        <ns0:v>0.595331999999999</ns0:v>
      </ns0:c>
      <ns0:c r="X135" s="48">
        <ns0:f t="shared" si="87"/>
        <ns0:v>27.661296</ns0:v>
      </ns0:c>
      <ns0:c r="Y135" s="48">
        <ns0:f t="shared" si="87"/>
        <ns0:v>-51.68361</ns0:v>
      </ns0:c>
      <ns0:c r="Z135" s="48">
        <ns0:f t="shared" si="87"/>
        <ns0:v>-9.913035</ns0:v>
      </ns0:c>
      <ns0:c r="AA135" s="48">
        <ns0:f t="shared" si="87"/>
        <ns0:v>-14.035887</ns0:v>
      </ns0:c>
      <ns0:c r="AB135" s="48">
        <ns0:f t="shared" si="87"/>
        <ns0:v>2.66260300000001</ns0:v>
      </ns0:c>
      <ns0:c r="AC135" s="48">
        <ns0:f t="shared" si="87"/>
        <ns0:v>-0.0479850000000082</ns0:v>
      </ns0:c>
    </ns0:row>
    <ns0:row r="136" spans="1:29">
      <ns0:c r="A136" s="32"/>
      <ns0:c r="B136" s="33"/>
      <ns0:c r="C136" s="38" t="s">
        <ns0:v>53</ns0:v>
      </ns0:c>
      <ns0:c r="D136" s="37"/>
      <ns0:c r="E136" s="26">
        <ns0:f t="shared" si="86"/>
        <ns0:v>491.524199</ns0:v>
      </ns0:c>
      <ns0:c r="F136" s="48">
        <ns0:f t="shared" ref="F136:AC136" si="88">IF(F135&gt;0,ABS(MIN(F130*0.2,ABS(F131))*F134),F135)</ns0:f>
        <ns0:v>-3.01766399999998</ns0:v>
      </ns0:c>
      <ns0:c r="G136" s="48">
        <ns0:f t="shared" si="88"/>
        <ns0:v>1.62286</ns0:v>
      </ns0:c>
      <ns0:c r="H136" s="48">
        <ns0:f t="shared" si="88"/>
        <ns0:v>2.119311</ns0:v>
      </ns0:c>
      <ns0:c r="I136" s="48">
        <ns0:f t="shared" si="88"/>
        <ns0:v>2.511845</ns0:v>
      </ns0:c>
      <ns0:c r="J136" s="48">
        <ns0:f t="shared" si="88"/>
        <ns0:v>2.181504</ns0:v>
      </ns0:c>
      <ns0:c r="K136" s="48">
        <ns0:f t="shared" si="88"/>
        <ns0:v>0.970668000000005</ns0:v>
      </ns0:c>
      <ns0:c r="L136" s="48">
        <ns0:f t="shared" si="88"/>
        <ns0:v>1.356168</ns0:v>
      </ns0:c>
      <ns0:c r="M136" s="48">
        <ns0:f t="shared" si="88"/>
        <ns0:v>2.147947</ns0:v>
      </ns0:c>
      <ns0:c r="N136" s="48">
        <ns0:f t="shared" si="88"/>
        <ns0:v>10.874892</ns0:v>
      </ns0:c>
      <ns0:c r="O136" s="48">
        <ns0:f t="shared" si="88"/>
        <ns0:v>35.719025</ns0:v>
      </ns0:c>
      <ns0:c r="P136" s="48">
        <ns0:f t="shared" si="88"/>
        <ns0:v>50.6010912</ns0:v>
      </ns0:c>
      <ns0:c r="Q136" s="48">
        <ns0:f t="shared" si="88"/>
        <ns0:v>82.9355472</ns0:v>
      </ns0:c>
      <ns0:c r="R136" s="48">
        <ns0:f t="shared" si="88"/>
        <ns0:v>70.8299854</ns0:v>
      </ns0:c>
      <ns0:c r="S136" s="48">
        <ns0:f t="shared" si="88"/>
        <ns0:v>64.3183344</ns0:v>
      </ns0:c>
      <ns0:c r="T136" s="48">
        <ns0:f t="shared" si="88"/>
        <ns0:v>99.0932448</ns0:v>
      </ns0:c>
      <ns0:c r="U136" s="48">
        <ns0:f t="shared" si="88"/>
        <ns0:v>104.814726</ns0:v>
      </ns0:c>
      <ns0:c r="V136" s="48">
        <ns0:f t="shared" si="88"/>
        <ns0:v>7.206</ns0:v>
      </ns0:c>
      <ns0:c r="W136" s="48">
        <ns0:f t="shared" si="88"/>
        <ns0:v>0.595331999999999</ns0:v>
      </ns0:c>
      <ns0:c r="X136" s="48">
        <ns0:f t="shared" si="88"/>
        <ns0:v>27.661296</ns0:v>
      </ns0:c>
      <ns0:c r="Y136" s="48">
        <ns0:f t="shared" si="88"/>
        <ns0:v>-51.68361</ns0:v>
      </ns0:c>
      <ns0:c r="Z136" s="48">
        <ns0:f t="shared" si="88"/>
        <ns0:v>-9.913035</ns0:v>
      </ns0:c>
      <ns0:c r="AA136" s="48">
        <ns0:f t="shared" si="88"/>
        <ns0:v>-14.035887</ns0:v>
      </ns0:c>
      <ns0:c r="AB136" s="48">
        <ns0:f t="shared" si="88"/>
        <ns0:v>2.66260300000001</ns0:v>
      </ns0:c>
      <ns0:c r="AC136" s="48">
        <ns0:f t="shared" si="88"/>
        <ns0:v>-0.0479850000000082</ns0:v>
      </ns0:c>
    </ns0:row>
    <ns0:row r="137" spans="1:29">
      <ns0:c r="A137" s="32"/>
      <ns0:c r="B137" s="33"/>
      <ns0:c r="C137" s="39" t="s">
        <ns0:v>50</ns0:v>
      </ns0:c>
      <ns0:c r="D137" s="37"/>
      <ns0:c r="E137" s="44">
        <ns0:f t="shared" ref="E137:AC137" si="89">E135-E136</ns0:f>
        <ns0:v>211.615406</ns0:v>
      </ns0:c>
      <ns0:c r="F137" s="26">
        <ns0:f t="shared" si="89"/>
        <ns0:v>0</ns0:v>
      </ns0:c>
      <ns0:c r="G137" s="26">
        <ns0:f t="shared" si="89"/>
        <ns0:v>0</ns0:v>
      </ns0:c>
      <ns0:c r="H137" s="26">
        <ns0:f t="shared" si="89"/>
        <ns0:v>0</ns0:v>
      </ns0:c>
      <ns0:c r="I137" s="26">
        <ns0:f t="shared" si="89"/>
        <ns0:v>0</ns0:v>
      </ns0:c>
      <ns0:c r="J137" s="26">
        <ns0:f t="shared" si="89"/>
        <ns0:v>0</ns0:v>
      </ns0:c>
      <ns0:c r="K137" s="26">
        <ns0:f t="shared" si="89"/>
        <ns0:v>0</ns0:v>
      </ns0:c>
      <ns0:c r="L137" s="26">
        <ns0:f t="shared" si="89"/>
        <ns0:v>0</ns0:v>
      </ns0:c>
      <ns0:c r="M137" s="26">
        <ns0:f t="shared" si="89"/>
        <ns0:v>0</ns0:v>
      </ns0:c>
      <ns0:c r="N137" s="26">
        <ns0:f t="shared" si="89"/>
        <ns0:v>0</ns0:v>
      </ns0:c>
      <ns0:c r="O137" s="26">
        <ns0:f t="shared" si="89"/>
        <ns0:v>0</ns0:v>
      </ns0:c>
      <ns0:c r="P137" s="26">
        <ns0:f t="shared" si="89"/>
        <ns0:v>20.3589848</ns0:v>
      </ns0:c>
      <ns0:c r="Q137" s="26">
        <ns0:f t="shared" si="89"/>
        <ns0:v>33.7375488</ns0:v>
      </ns0:c>
      <ns0:c r="R137" s="26">
        <ns0:f t="shared" si="89"/>
        <ns0:v>28.2707616</ns0:v>
      </ns0:c>
      <ns0:c r="S137" s="26">
        <ns0:f t="shared" si="89"/>
        <ns0:v>28.7025876</ns0:v>
      </ns0:c>
      <ns0:c r="T137" s="26">
        <ns0:f t="shared" si="89"/>
        <ns0:v>51.3878992</ns0:v>
      </ns0:c>
      <ns0:c r="U137" s="26">
        <ns0:f t="shared" si="89"/>
        <ns0:v>49.157624</ns0:v>
      </ns0:c>
      <ns0:c r="V137" s="26">
        <ns0:f t="shared" si="89"/>
        <ns0:v>0</ns0:v>
      </ns0:c>
      <ns0:c r="W137" s="26">
        <ns0:f t="shared" si="89"/>
        <ns0:v>0</ns0:v>
      </ns0:c>
      <ns0:c r="X137" s="26">
        <ns0:f t="shared" si="89"/>
        <ns0:v>0</ns0:v>
      </ns0:c>
      <ns0:c r="Y137" s="26">
        <ns0:f t="shared" si="89"/>
        <ns0:v>0</ns0:v>
      </ns0:c>
      <ns0:c r="Z137" s="26">
        <ns0:f t="shared" si="89"/>
        <ns0:v>0</ns0:v>
      </ns0:c>
      <ns0:c r="AA137" s="26">
        <ns0:f t="shared" si="89"/>
        <ns0:v>0</ns0:v>
      </ns0:c>
      <ns0:c r="AB137" s="26">
        <ns0:f t="shared" si="89"/>
        <ns0:v>0</ns0:v>
      </ns0:c>
      <ns0:c r="AC137" s="26">
        <ns0:f t="shared" si="89"/>
        <ns0:v>0</ns0:v>
      </ns0:c>
    </ns0:row>
    <ns0:row r="138" spans="1:29">
      <ns0:c r="A138" s="29">
        <ns0:v>46007</ns0:v>
      </ns0:c>
      <ns0:c r="B138" s="30">
        <ns0:f>E145</ns0:f>
        <ns0:v>283.1133656</ns0:v>
      </ns0:c>
      <ns0:c r="C138" s="31" t="s">
        <ns0:v>47</ns0:v>
      </ns0:c>
      <ns0:c r="D138" s="31" t="s">
        <ns0:v>48</ns0:v>
      </ns0:c>
      <ns0:c r="E138" s="42">
        <ns0:f t="shared" si="86"/>
        <ns0:v>52.964</ns0:v>
      </ns0:c>
      <ns0:c r="F138" s="47">
        <ns0:v>1.398</ns0:v>
      </ns0:c>
      <ns0:c r="G138" s="47">
        <ns0:v>1.293</ns0:v>
      </ns0:c>
      <ns0:c r="H138" s="47">
        <ns0:v>1.253</ns0:v>
      </ns0:c>
      <ns0:c r="I138" s="47">
        <ns0:v>1.223</ns0:v>
      </ns0:c>
      <ns0:c r="J138" s="47">
        <ns0:v>1.233</ns0:v>
      </ns0:c>
      <ns0:c r="K138" s="47">
        <ns0:v>1.253</ns0:v>
      </ns0:c>
      <ns0:c r="L138" s="47">
        <ns0:v>1.069</ns0:v>
      </ns0:c>
      <ns0:c r="M138" s="47">
        <ns0:v>1.536</ns0:v>
      </ns0:c>
      <ns0:c r="N138" s="47">
        <ns0:v>3.09</ns0:v>
      </ns0:c>
      <ns0:c r="O138" s="47">
        <ns0:v>3.285</ns0:v>
      </ns0:c>
      <ns0:c r="P138" s="47">
        <ns0:v>2.569</ns0:v>
      </ns0:c>
      <ns0:c r="Q138" s="47">
        <ns0:v>2.425</ns0:v>
      </ns0:c>
      <ns0:c r="R138" s="47">
        <ns0:v>1.936</ns0:v>
      </ns0:c>
      <ns0:c r="S138" s="47">
        <ns0:v>2.32</ns0:v>
      </ns0:c>
      <ns0:c r="T138" s="47">
        <ns0:v>2.784</ns0:v>
      </ns0:c>
      <ns0:c r="U138" s="47">
        <ns0:v>2.675</ns0:v>
      </ns0:c>
      <ns0:c r="V138" s="47">
        <ns0:v>3.47</ns0:v>
      </ns0:c>
      <ns0:c r="W138" s="47">
        <ns0:v>3.741</ns0:v>
      </ns0:c>
      <ns0:c r="X138" s="47">
        <ns0:v>3.648</ns0:v>
      </ns0:c>
      <ns0:c r="Y138" s="47">
        <ns0:v>3.406</ns0:v>
      </ns0:c>
      <ns0:c r="Z138" s="47">
        <ns0:v>2.422</ns0:v>
      </ns0:c>
      <ns0:c r="AA138" s="47">
        <ns0:v>2.002</ns0:v>
      </ns0:c>
      <ns0:c r="AB138" s="47">
        <ns0:v>1.576</ns0:v>
      </ns0:c>
      <ns0:c r="AC138" s="47">
        <ns0:v>1.357</ns0:v>
      </ns0:c>
    </ns0:row>
    <ns0:row r="139" spans="1:29">
      <ns0:c r="A139" s="32"/>
      <ns0:c r="B139" s="33"/>
      <ns0:c r="C139" s="32"/>
      <ns0:c r="D139" s="6" t="s">
        <ns0:v>49</ns0:v>
      </ns0:c>
      <ns0:c r="E139" s="42">
        <ns0:f t="shared" si="86"/>
        <ns0:v>63.7332</ns0:v>
      </ns0:c>
      <ns0:c r="F139" s="47">
        <ns0:v>1.5793</ns0:v>
      </ns0:c>
      <ns0:c r="G139" s="47">
        <ns0:v>1.5397</ns0:v>
      </ns0:c>
      <ns0:c r="H139" s="47">
        <ns0:v>1.4509</ns0:v>
      </ns0:c>
      <ns0:c r="I139" s="47">
        <ns0:v>1.4609</ns0:v>
      </ns0:c>
      <ns0:c r="J139" s="47">
        <ns0:v>1.4252</ns0:v>
      </ns0:c>
      <ns0:c r="K139" s="47">
        <ns0:v>1.4746</ns0:v>
      </ns0:c>
      <ns0:c r="L139" s="47">
        <ns0:v>1.4335</ns0:v>
      </ns0:c>
      <ns0:c r="M139" s="47">
        <ns0:v>1.9513</ns0:v>
      </ns0:c>
      <ns0:c r="N139" s="47">
        <ns0:v>3.8755</ns0:v>
      </ns0:c>
      <ns0:c r="O139" s="47">
        <ns0:v>4.0091</ns0:v>
      </ns0:c>
      <ns0:c r="P139" s="47">
        <ns0:v>3.3842</ns0:v>
      </ns0:c>
      <ns0:c r="Q139" s="47">
        <ns0:v>3.2806</ns0:v>
      </ns0:c>
      <ns0:c r="R139" s="47">
        <ns0:v>2.738</ns0:v>
      </ns0:c>
      <ns0:c r="S139" s="47">
        <ns0:v>3.2293</ns0:v>
      </ns0:c>
      <ns0:c r="T139" s="47">
        <ns0:v>3.8041</ns0:v>
      </ns0:c>
      <ns0:c r="U139" s="47">
        <ns0:v>3.7353</ns0:v>
      </ns0:c>
      <ns0:c r="V139" s="47">
        <ns0:v>3.8959</ns0:v>
      </ns0:c>
      <ns0:c r="W139" s="47">
        <ns0:v>3.6179</ns0:v>
      </ns0:c>
      <ns0:c r="X139" s="47">
        <ns0:v>3.2504</ns0:v>
      </ns0:c>
      <ns0:c r="Y139" s="47">
        <ns0:v>3.4123</ns0:v>
      </ns0:c>
      <ns0:c r="Z139" s="47">
        <ns0:v>3.0077</ns0:v>
      </ns0:c>
      <ns0:c r="AA139" s="47">
        <ns0:v>2.5158</ns0:v>
      </ns0:c>
      <ns0:c r="AB139" s="47">
        <ns0:v>2.0067</ns0:v>
      </ns0:c>
      <ns0:c r="AC139" s="47">
        <ns0:v>1.655</ns0:v>
      </ns0:c>
    </ns0:row>
    <ns0:row r="140" spans="1:29">
      <ns0:c r="A140" s="32"/>
      <ns0:c r="B140" s="33"/>
      <ns0:c r="C140" s="34"/>
      <ns0:c r="D140" s="31" t="s">
        <ns0:v>50</ns0:v>
      </ns0:c>
      <ns0:c r="E140" s="26">
        <ns0:f>E138-E139</ns0:f>
        <ns0:v>-10.7692</ns0:v>
      </ns0:c>
      <ns0:c r="F140" s="47">
        <ns0:f t="shared" ref="F140:AC140" si="90">(F138-F139)*1</ns0:f>
        <ns0:v>-0.1813</ns0:v>
      </ns0:c>
      <ns0:c r="G140" s="47">
        <ns0:f t="shared" si="90"/>
        <ns0:v>-0.2467</ns0:v>
      </ns0:c>
      <ns0:c r="H140" s="47">
        <ns0:f t="shared" si="90"/>
        <ns0:v>-0.1979</ns0:v>
      </ns0:c>
      <ns0:c r="I140" s="47">
        <ns0:f t="shared" si="90"/>
        <ns0:v>-0.2379</ns0:v>
      </ns0:c>
      <ns0:c r="J140" s="47">
        <ns0:f t="shared" si="90"/>
        <ns0:v>-0.1922</ns0:v>
      </ns0:c>
      <ns0:c r="K140" s="47">
        <ns0:f t="shared" si="90"/>
        <ns0:v>-0.2216</ns0:v>
      </ns0:c>
      <ns0:c r="L140" s="47">
        <ns0:f t="shared" si="90"/>
        <ns0:v>-0.3645</ns0:v>
      </ns0:c>
      <ns0:c r="M140" s="47">
        <ns0:f t="shared" si="90"/>
        <ns0:v>-0.4153</ns0:v>
      </ns0:c>
      <ns0:c r="N140" s="47">
        <ns0:f t="shared" si="90"/>
        <ns0:v>-0.7855</ns0:v>
      </ns0:c>
      <ns0:c r="O140" s="47">
        <ns0:f t="shared" si="90"/>
        <ns0:v>-0.7241</ns0:v>
      </ns0:c>
      <ns0:c r="P140" s="47">
        <ns0:f t="shared" si="90"/>
        <ns0:v>-0.8152</ns0:v>
      </ns0:c>
      <ns0:c r="Q140" s="47">
        <ns0:f t="shared" si="90"/>
        <ns0:v>-0.8556</ns0:v>
      </ns0:c>
      <ns0:c r="R140" s="47">
        <ns0:f t="shared" si="90"/>
        <ns0:v>-0.802</ns0:v>
      </ns0:c>
      <ns0:c r="S140" s="47">
        <ns0:f t="shared" si="90"/>
        <ns0:v>-0.9093</ns0:v>
      </ns0:c>
      <ns0:c r="T140" s="47">
        <ns0:f t="shared" si="90"/>
        <ns0:v>-1.0201</ns0:v>
      </ns0:c>
      <ns0:c r="U140" s="47">
        <ns0:f t="shared" si="90"/>
        <ns0:v>-1.0603</ns0:v>
      </ns0:c>
      <ns0:c r="V140" s="47">
        <ns0:f t="shared" si="90"/>
        <ns0:v>-0.4259</ns0:v>
      </ns0:c>
      <ns0:c r="W140" s="47">
        <ns0:f t="shared" si="90"/>
        <ns0:v>0.1231</ns0:v>
      </ns0:c>
      <ns0:c r="X140" s="47">
        <ns0:f t="shared" si="90"/>
        <ns0:v>0.3976</ns0:v>
      </ns0:c>
      <ns0:c r="Y140" s="47">
        <ns0:f t="shared" si="90"/>
        <ns0:v>-0.00629999999999997</ns0:v>
      </ns0:c>
      <ns0:c r="Z140" s="47">
        <ns0:f t="shared" si="90"/>
        <ns0:v>-0.5857</ns0:v>
      </ns0:c>
      <ns0:c r="AA140" s="47">
        <ns0:f t="shared" si="90"/>
        <ns0:v>-0.5138</ns0:v>
      </ns0:c>
      <ns0:c r="AB140" s="47">
        <ns0:f t="shared" si="90"/>
        <ns0:v>-0.4307</ns0:v>
      </ns0:c>
      <ns0:c r="AC140" s="47">
        <ns0:f t="shared" si="90"/>
        <ns0:v>-0.298</ns0:v>
      </ns0:c>
    </ns0:row>
    <ns0:row r="141" spans="1:29">
      <ns0:c r="A141" s="32"/>
      <ns0:c r="B141" s="33"/>
      <ns0:c r="C141" s="35" t="s">
        <ns0:v>51</ns0:v>
      </ns0:c>
      <ns0:c r="D141" s="31" t="s">
        <ns0:v>48</ns0:v>
      </ns0:c>
      <ns0:c r="E141" s="31">
        <ns0:f>AVERAGE(F141:AC141)</ns0:f>
        <ns0:v>350.066666666667</ns0:v>
      </ns0:c>
      <ns0:c r="F141" s="47">
        <ns0:v>323.32</ns0:v>
      </ns0:c>
      <ns0:c r="G141" s="47">
        <ns0:v>316.57</ns0:v>
      </ns0:c>
      <ns0:c r="H141" s="47">
        <ns0:v>314.51</ns0:v>
      </ns0:c>
      <ns0:c r="I141" s="47">
        <ns0:v>311.14</ns0:v>
      </ns0:c>
      <ns0:c r="J141" s="47">
        <ns0:v>305.65</ns0:v>
      </ns0:c>
      <ns0:c r="K141" s="47">
        <ns0:v>302.84</ns0:v>
      </ns0:c>
      <ns0:c r="L141" s="47">
        <ns0:v>319.99</ns0:v>
      </ns0:c>
      <ns0:c r="M141" s="47">
        <ns0:v>339.16</ns0:v>
      </ns0:c>
      <ns0:c r="N141" s="47">
        <ns0:v>358.21</ns0:v>
      </ns0:c>
      <ns0:c r="O141" s="47">
        <ns0:v>343.02</ns0:v>
      </ns0:c>
      <ns0:c r="P141" s="47">
        <ns0:v>299.17</ns0:v>
      </ns0:c>
      <ns0:c r="Q141" s="47">
        <ns0:v>278.3</ns0:v>
      </ns0:c>
      <ns0:c r="R141" s="47">
        <ns0:v>255.89</ns0:v>
      </ns0:c>
      <ns0:c r="S141" s="47">
        <ns0:v>267.85</ns0:v>
      </ns0:c>
      <ns0:c r="T141" s="47">
        <ns0:v>274.31</ns0:v>
      </ns0:c>
      <ns0:c r="U141" s="47">
        <ns0:v>297.12</ns0:v>
      </ns0:c>
      <ns0:c r="V141" s="47">
        <ns0:v>357.38</ns0:v>
      </ns0:c>
      <ns0:c r="W141" s="47">
        <ns0:v>431.01</ns0:v>
      </ns0:c>
      <ns0:c r="X141" s="47">
        <ns0:v>492.96</ns0:v>
      </ns0:c>
      <ns0:c r="Y141" s="47">
        <ns0:v>529.36</ns0:v>
      </ns0:c>
      <ns0:c r="Z141" s="47">
        <ns0:v>485.9</ns0:v>
      </ns0:c>
      <ns0:c r="AA141" s="47">
        <ns0:v>453.6</ns0:v>
      </ns0:c>
      <ns0:c r="AB141" s="47">
        <ns0:v>406.3</ns0:v>
      </ns0:c>
      <ns0:c r="AC141" s="47">
        <ns0:v>338.04</ns0:v>
      </ns0:c>
    </ns0:row>
    <ns0:row r="142" spans="1:29">
      <ns0:c r="A142" s="32"/>
      <ns0:c r="B142" s="33"/>
      <ns0:c r="C142" s="32"/>
      <ns0:c r="D142" s="31" t="s">
        <ns0:v>49</ns0:v>
      </ns0:c>
      <ns0:c r="E142" s="31">
        <ns0:f>AVERAGE(F142:AC142)</ns0:f>
        <ns0:v>342.124166666667</ns0:v>
      </ns0:c>
      <ns0:c r="F142" s="47">
        <ns0:v>327.09</ns0:v>
      </ns0:c>
      <ns0:c r="G142" s="47">
        <ns0:v>308.01</ns0:v>
      </ns0:c>
      <ns0:c r="H142" s="47">
        <ns0:v>305.42</ns0:v>
      </ns0:c>
      <ns0:c r="I142" s="47">
        <ns0:v>307.35</ns0:v>
      </ns0:c>
      <ns0:c r="J142" s="47">
        <ns0:v>303.81</ns0:v>
      </ns0:c>
      <ns0:c r="K142" s="47">
        <ns0:v>300.06</ns0:v>
      </ns0:c>
      <ns0:c r="L142" s="47">
        <ns0:v>320.7</ns0:v>
      </ns0:c>
      <ns0:c r="M142" s="47">
        <ns0:v>337.61</ns0:v>
      </ns0:c>
      <ns0:c r="N142" s="47">
        <ns0:v>367.13</ns0:v>
      </ns0:c>
      <ns0:c r="O142" s="47">
        <ns0:v>311.03</ns0:v>
      </ns0:c>
      <ns0:c r="P142" s="47">
        <ns0:v>278.73</ns0:v>
      </ns0:c>
      <ns0:c r="Q142" s="47">
        <ns0:v>234.49</ns0:v>
      </ns0:c>
      <ns0:c r="R142" s="47">
        <ns0:v>200.99</ns0:v>
      </ns0:c>
      <ns0:c r="S142" s="47">
        <ns0:v>250</ns0:v>
      </ns0:c>
      <ns0:c r="T142" s="47">
        <ns0:v>240.35</ns0:v>
      </ns0:c>
      <ns0:c r="U142" s="47">
        <ns0:v>271.56</ns0:v>
      </ns0:c>
      <ns0:c r="V142" s="47">
        <ns0:v>310.82</ns0:v>
      </ns0:c>
      <ns0:c r="W142" s="47">
        <ns0:v>497.94</ns0:v>
      </ns0:c>
      <ns0:c r="X142" s="47">
        <ns0:v>633.66</ns0:v>
      </ns0:c>
      <ns0:c r="Y142" s="47">
        <ns0:v>514.98</ns0:v>
      </ns0:c>
      <ns0:c r="Z142" s="47">
        <ns0:v>436.35</ns0:v>
      </ns0:c>
      <ns0:c r="AA142" s="47">
        <ns0:v>426.64</ns0:v>
      </ns0:c>
      <ns0:c r="AB142" s="47">
        <ns0:v>403.09</ns0:v>
      </ns0:c>
      <ns0:c r="AC142" s="47">
        <ns0:v>323.17</ns0:v>
      </ns0:c>
    </ns0:row>
    <ns0:row r="143" spans="1:29">
      <ns0:c r="A143" s="32"/>
      <ns0:c r="B143" s="33"/>
      <ns0:c r="C143" s="34"/>
      <ns0:c r="D143" s="31" t="s">
        <ns0:v>50</ns0:v>
      </ns0:c>
      <ns0:c r="E143" s="26">
        <ns0:f>E141-E142</ns0:f>
        <ns0:v>7.9425</ns0:v>
      </ns0:c>
      <ns0:c r="F143" s="47">
        <ns0:f t="shared" ref="F143:AC143" si="91">(F141-F142)*1</ns0:f>
        <ns0:v>-3.76999999999998</ns0:v>
      </ns0:c>
      <ns0:c r="G143" s="47">
        <ns0:f t="shared" si="91"/>
        <ns0:v>8.56</ns0:v>
      </ns0:c>
      <ns0:c r="H143" s="47">
        <ns0:f t="shared" si="91"/>
        <ns0:v>9.08999999999997</ns0:v>
      </ns0:c>
      <ns0:c r="I143" s="47">
        <ns0:f t="shared" si="91"/>
        <ns0:v>3.78999999999996</ns0:v>
      </ns0:c>
      <ns0:c r="J143" s="47">
        <ns0:f t="shared" si="91"/>
        <ns0:v>1.83999999999997</ns0:v>
      </ns0:c>
      <ns0:c r="K143" s="47">
        <ns0:f t="shared" si="91"/>
        <ns0:v>2.77999999999997</ns0:v>
      </ns0:c>
      <ns0:c r="L143" s="47">
        <ns0:f t="shared" si="91"/>
        <ns0:v>-0.70999999999998</ns0:v>
      </ns0:c>
      <ns0:c r="M143" s="47">
        <ns0:f t="shared" si="91"/>
        <ns0:v>1.55000000000001</ns0:v>
      </ns0:c>
      <ns0:c r="N143" s="47">
        <ns0:f t="shared" si="91"/>
        <ns0:v>-8.92000000000002</ns0:v>
      </ns0:c>
      <ns0:c r="O143" s="47">
        <ns0:f t="shared" si="91"/>
        <ns0:v>31.99</ns0:v>
      </ns0:c>
      <ns0:c r="P143" s="47">
        <ns0:f t="shared" si="91"/>
        <ns0:v>20.44</ns0:v>
      </ns0:c>
      <ns0:c r="Q143" s="47">
        <ns0:f t="shared" si="91"/>
        <ns0:v>43.81</ns0:v>
      </ns0:c>
      <ns0:c r="R143" s="47">
        <ns0:f t="shared" si="91"/>
        <ns0:v>54.9</ns0:v>
      </ns0:c>
      <ns0:c r="S143" s="47">
        <ns0:f t="shared" si="91"/>
        <ns0:v>17.85</ns0:v>
      </ns0:c>
      <ns0:c r="T143" s="47">
        <ns0:f t="shared" si="91"/>
        <ns0:v>33.96</ns0:v>
      </ns0:c>
      <ns0:c r="U143" s="47">
        <ns0:f t="shared" si="91"/>
        <ns0:v>25.56</ns0:v>
      </ns0:c>
      <ns0:c r="V143" s="47">
        <ns0:f t="shared" si="91"/>
        <ns0:v>46.56</ns0:v>
      </ns0:c>
      <ns0:c r="W143" s="47">
        <ns0:f t="shared" si="91"/>
        <ns0:v>-66.93</ns0:v>
      </ns0:c>
      <ns0:c r="X143" s="47">
        <ns0:f t="shared" si="91"/>
        <ns0:v>-140.7</ns0:v>
      </ns0:c>
      <ns0:c r="Y143" s="47">
        <ns0:f t="shared" si="91"/>
        <ns0:v>14.38</ns0:v>
      </ns0:c>
      <ns0:c r="Z143" s="47">
        <ns0:f t="shared" si="91"/>
        <ns0:v>49.55</ns0:v>
      </ns0:c>
      <ns0:c r="AA143" s="47">
        <ns0:f t="shared" si="91"/>
        <ns0:v>26.96</ns0:v>
      </ns0:c>
      <ns0:c r="AB143" s="47">
        <ns0:f t="shared" si="91"/>
        <ns0:v>3.21000000000004</ns0:v>
      </ns0:c>
      <ns0:c r="AC143" s="47">
        <ns0:f t="shared" si="91"/>
        <ns0:v>14.87</ns0:v>
      </ns0:c>
    </ns0:row>
    <ns0:row r="144" spans="1:29">
      <ns0:c r="A144" s="32"/>
      <ns0:c r="B144" s="33"/>
      <ns0:c r="C144" s="36" t="s">
        <ns0:v>52</ns0:v>
      </ns0:c>
      <ns0:c r="D144" s="37"/>
      <ns0:c r="E144" s="26">
        <ns0:f t="shared" ref="E144:E148" si="92">SUM(F144:AC144)</ns0:f>
        <ns0:v>330.581102</ns0:v>
      </ns0:c>
      <ns0:c r="F144" s="48">
        <ns0:f t="shared" ref="F144:AC144" si="93">-F140*F143</ns0:f>
        <ns0:v>-0.683500999999996</ns0:v>
      </ns0:c>
      <ns0:c r="G144" s="48">
        <ns0:f t="shared" si="93"/>
        <ns0:v>2.111752</ns0:v>
      </ns0:c>
      <ns0:c r="H144" s="48">
        <ns0:f t="shared" si="93"/>
        <ns0:v>1.798911</ns0:v>
      </ns0:c>
      <ns0:c r="I144" s="48">
        <ns0:f t="shared" si="93"/>
        <ns0:v>0.90164099999999</ns0:v>
      </ns0:c>
      <ns0:c r="J144" s="48">
        <ns0:f t="shared" si="93"/>
        <ns0:v>0.353647999999994</ns0:v>
      </ns0:c>
      <ns0:c r="K144" s="48">
        <ns0:f t="shared" si="93"/>
        <ns0:v>0.616047999999993</ns0:v>
      </ns0:c>
      <ns0:c r="L144" s="48">
        <ns0:f t="shared" si="93"/>
        <ns0:v>-0.258794999999993</ns0:v>
      </ns0:c>
      <ns0:c r="M144" s="48">
        <ns0:f t="shared" si="93"/>
        <ns0:v>0.643715000000004</ns0:v>
      </ns0:c>
      <ns0:c r="N144" s="48">
        <ns0:f t="shared" si="93"/>
        <ns0:v>-7.00666000000002</ns0:v>
      </ns0:c>
      <ns0:c r="O144" s="48">
        <ns0:f t="shared" si="93"/>
        <ns0:v>23.163959</ns0:v>
      </ns0:c>
      <ns0:c r="P144" s="48">
        <ns0:f t="shared" si="93"/>
        <ns0:v>16.662688</ns0:v>
      </ns0:c>
      <ns0:c r="Q144" s="48">
        <ns0:f t="shared" si="93"/>
        <ns0:v>37.483836</ns0:v>
      </ns0:c>
      <ns0:c r="R144" s="48">
        <ns0:f t="shared" si="93"/>
        <ns0:v>44.0298</ns0:v>
      </ns0:c>
      <ns0:c r="S144" s="48">
        <ns0:f t="shared" si="93"/>
        <ns0:v>16.231005</ns0:v>
      </ns0:c>
      <ns0:c r="T144" s="48">
        <ns0:f t="shared" si="93"/>
        <ns0:v>34.642596</ns0:v>
      </ns0:c>
      <ns0:c r="U144" s="48">
        <ns0:f t="shared" si="93"/>
        <ns0:v>27.101268</ns0:v>
      </ns0:c>
      <ns0:c r="V144" s="48">
        <ns0:f t="shared" si="93"/>
        <ns0:v>19.829904</ns0:v>
      </ns0:c>
      <ns0:c r="W144" s="48">
        <ns0:f t="shared" si="93"/>
        <ns0:v>8.239083</ns0:v>
      </ns0:c>
      <ns0:c r="X144" s="48">
        <ns0:f t="shared" si="93"/>
        <ns0:v>55.94232</ns0:v>
      </ns0:c>
      <ns0:c r="Y144" s="48">
        <ns0:f t="shared" si="93"/>
        <ns0:v>0.0905939999999996</ns0:v>
      </ns0:c>
      <ns0:c r="Z144" s="48">
        <ns0:f t="shared" si="93"/>
        <ns0:v>29.021435</ns0:v>
      </ns0:c>
      <ns0:c r="AA144" s="48">
        <ns0:f t="shared" si="93"/>
        <ns0:v>13.852048</ns0:v>
      </ns0:c>
      <ns0:c r="AB144" s="48">
        <ns0:f t="shared" si="93"/>
        <ns0:v>1.38254700000002</ns0:v>
      </ns0:c>
      <ns0:c r="AC144" s="48">
        <ns0:f t="shared" si="93"/>
        <ns0:v>4.43126</ns0:v>
      </ns0:c>
    </ns0:row>
    <ns0:row r="145" spans="1:29">
      <ns0:c r="A145" s="32"/>
      <ns0:c r="B145" s="33"/>
      <ns0:c r="C145" s="38" t="s">
        <ns0:v>53</ns0:v>
      </ns0:c>
      <ns0:c r="D145" s="37"/>
      <ns0:c r="E145" s="26">
        <ns0:f t="shared" si="92"/>
        <ns0:v>283.1133656</ns0:v>
      </ns0:c>
      <ns0:c r="F145" s="48">
        <ns0:f t="shared" ref="F145:AC145" si="94">IF(F144&gt;0,ABS(MIN(F139*0.2,ABS(F140))*F143),F144)</ns0:f>
        <ns0:v>-0.683500999999996</ns0:v>
      </ns0:c>
      <ns0:c r="G145" s="48">
        <ns0:f t="shared" si="94"/>
        <ns0:v>2.111752</ns0:v>
      </ns0:c>
      <ns0:c r="H145" s="48">
        <ns0:f t="shared" si="94"/>
        <ns0:v>1.798911</ns0:v>
      </ns0:c>
      <ns0:c r="I145" s="48">
        <ns0:f t="shared" si="94"/>
        <ns0:v>0.90164099999999</ns0:v>
      </ns0:c>
      <ns0:c r="J145" s="48">
        <ns0:f t="shared" si="94"/>
        <ns0:v>0.353647999999994</ns0:v>
      </ns0:c>
      <ns0:c r="K145" s="48">
        <ns0:f t="shared" si="94"/>
        <ns0:v>0.616047999999993</ns0:v>
      </ns0:c>
      <ns0:c r="L145" s="48">
        <ns0:f t="shared" si="94"/>
        <ns0:v>-0.258794999999993</ns0:v>
      </ns0:c>
      <ns0:c r="M145" s="48">
        <ns0:f t="shared" si="94"/>
        <ns0:v>0.604903000000004</ns0:v>
      </ns0:c>
      <ns0:c r="N145" s="48">
        <ns0:f t="shared" si="94"/>
        <ns0:v>-7.00666000000002</ns0:v>
      </ns0:c>
      <ns0:c r="O145" s="48">
        <ns0:f t="shared" si="94"/>
        <ns0:v>23.163959</ns0:v>
      </ns0:c>
      <ns0:c r="P145" s="48">
        <ns0:f t="shared" si="94"/>
        <ns0:v>13.8346096</ns0:v>
      </ns0:c>
      <ns0:c r="Q145" s="48">
        <ns0:f t="shared" si="94"/>
        <ns0:v>28.7446172</ns0:v>
      </ns0:c>
      <ns0:c r="R145" s="48">
        <ns0:f t="shared" si="94"/>
        <ns0:v>30.06324</ns0:v>
      </ns0:c>
      <ns0:c r="S145" s="48">
        <ns0:f t="shared" si="94"/>
        <ns0:v>11.528601</ns0:v>
      </ns0:c>
      <ns0:c r="T145" s="48">
        <ns0:f t="shared" si="94"/>
        <ns0:v>25.8374472</ns0:v>
      </ns0:c>
      <ns0:c r="U145" s="48">
        <ns0:f t="shared" si="94"/>
        <ns0:v>19.0948536</ns0:v>
      </ns0:c>
      <ns0:c r="V145" s="48">
        <ns0:f t="shared" si="94"/>
        <ns0:v>19.829904</ns0:v>
      </ns0:c>
      <ns0:c r="W145" s="48">
        <ns0:f t="shared" si="94"/>
        <ns0:v>8.239083</ns0:v>
      </ns0:c>
      <ns0:c r="X145" s="48">
        <ns0:f t="shared" si="94"/>
        <ns0:v>55.94232</ns0:v>
      </ns0:c>
      <ns0:c r="Y145" s="48">
        <ns0:f t="shared" si="94"/>
        <ns0:v>0.0905939999999996</ns0:v>
      </ns0:c>
      <ns0:c r="Z145" s="48">
        <ns0:f t="shared" si="94"/>
        <ns0:v>29.021435</ns0:v>
      </ns0:c>
      <ns0:c r="AA145" s="48">
        <ns0:f t="shared" si="94"/>
        <ns0:v>13.5651936</ns0:v>
      </ns0:c>
      <ns0:c r="AB145" s="48">
        <ns0:f t="shared" si="94"/>
        <ns0:v>1.28830140000002</ns0:v>
      </ns0:c>
      <ns0:c r="AC145" s="48">
        <ns0:f t="shared" si="94"/>
        <ns0:v>4.43126</ns0:v>
      </ns0:c>
    </ns0:row>
    <ns0:row r="146" spans="1:29">
      <ns0:c r="A146" s="32"/>
      <ns0:c r="B146" s="33"/>
      <ns0:c r="C146" s="39" t="s">
        <ns0:v>50</ns0:v>
      </ns0:c>
      <ns0:c r="D146" s="37"/>
      <ns0:c r="E146" s="44">
        <ns0:f t="shared" ref="E146:AC146" si="95">E144-E145</ns0:f>
        <ns0:v>47.4677364000001</ns0:v>
      </ns0:c>
      <ns0:c r="F146" s="26">
        <ns0:f t="shared" si="95"/>
        <ns0:v>0</ns0:v>
      </ns0:c>
      <ns0:c r="G146" s="26">
        <ns0:f t="shared" si="95"/>
        <ns0:v>0</ns0:v>
      </ns0:c>
      <ns0:c r="H146" s="26">
        <ns0:f t="shared" si="95"/>
        <ns0:v>0</ns0:v>
      </ns0:c>
      <ns0:c r="I146" s="26">
        <ns0:f t="shared" si="95"/>
        <ns0:v>0</ns0:v>
      </ns0:c>
      <ns0:c r="J146" s="26">
        <ns0:f t="shared" si="95"/>
        <ns0:v>0</ns0:v>
      </ns0:c>
      <ns0:c r="K146" s="26">
        <ns0:f t="shared" si="95"/>
        <ns0:v>0</ns0:v>
      </ns0:c>
      <ns0:c r="L146" s="26">
        <ns0:f t="shared" si="95"/>
        <ns0:v>0</ns0:v>
      </ns0:c>
      <ns0:c r="M146" s="26">
        <ns0:f t="shared" si="95"/>
        <ns0:v>0.0388120000000002</ns0:v>
      </ns0:c>
      <ns0:c r="N146" s="26">
        <ns0:f t="shared" si="95"/>
        <ns0:v>0</ns0:v>
      </ns0:c>
      <ns0:c r="O146" s="26">
        <ns0:f t="shared" si="95"/>
        <ns0:v>0</ns0:v>
      </ns0:c>
      <ns0:c r="P146" s="26">
        <ns0:f t="shared" si="95"/>
        <ns0:v>2.8280784</ns0:v>
      </ns0:c>
      <ns0:c r="Q146" s="26">
        <ns0:f t="shared" si="95"/>
        <ns0:v>8.73921880000001</ns0:v>
      </ns0:c>
      <ns0:c r="R146" s="26">
        <ns0:f t="shared" si="95"/>
        <ns0:v>13.96656</ns0:v>
      </ns0:c>
      <ns0:c r="S146" s="26">
        <ns0:f t="shared" si="95"/>
        <ns0:v>4.702404</ns0:v>
      </ns0:c>
      <ns0:c r="T146" s="26">
        <ns0:f t="shared" si="95"/>
        <ns0:v>8.80514880000001</ns0:v>
      </ns0:c>
      <ns0:c r="U146" s="26">
        <ns0:f t="shared" si="95"/>
        <ns0:v>8.0064144</ns0:v>
      </ns0:c>
      <ns0:c r="V146" s="26">
        <ns0:f t="shared" si="95"/>
        <ns0:v>0</ns0:v>
      </ns0:c>
      <ns0:c r="W146" s="26">
        <ns0:f t="shared" si="95"/>
        <ns0:v>0</ns0:v>
      </ns0:c>
      <ns0:c r="X146" s="26">
        <ns0:f t="shared" si="95"/>
        <ns0:v>0</ns0:v>
      </ns0:c>
      <ns0:c r="Y146" s="26">
        <ns0:f t="shared" si="95"/>
        <ns0:v>0</ns0:v>
      </ns0:c>
      <ns0:c r="Z146" s="26">
        <ns0:f t="shared" si="95"/>
        <ns0:v>0</ns0:v>
      </ns0:c>
      <ns0:c r="AA146" s="26">
        <ns0:f t="shared" si="95"/>
        <ns0:v>0.286854400000005</ns0:v>
      </ns0:c>
      <ns0:c r="AB146" s="26">
        <ns0:f t="shared" si="95"/>
        <ns0:v>0.0942456000000007</ns0:v>
      </ns0:c>
      <ns0:c r="AC146" s="26">
        <ns0:f t="shared" si="95"/>
        <ns0:v>0</ns0:v>
      </ns0:c>
    </ns0:row>
    <ns0:row r="147" spans="1:29">
      <ns0:c r="A147" s="29">
        <ns0:v>46008</ns0:v>
      </ns0:c>
      <ns0:c r="B147" s="30">
        <ns0:f>E154</ns0:f>
        <ns0:v>190.6826374</ns0:v>
      </ns0:c>
      <ns0:c r="C147" s="31" t="s">
        <ns0:v>47</ns0:v>
      </ns0:c>
      <ns0:c r="D147" s="31" t="s">
        <ns0:v>48</ns0:v>
      </ns0:c>
      <ns0:c r="E147" s="42">
        <ns0:f t="shared" si="92"/>
        <ns0:v>46.88</ns0:v>
      </ns0:c>
      <ns0:c r="F147" s="43">
        <ns0:v>1.278</ns0:v>
      </ns0:c>
      <ns0:c r="G147" s="43">
        <ns0:v>1.17</ns0:v>
      </ns0:c>
      <ns0:c r="H147" s="43">
        <ns0:v>1.157</ns0:v>
      </ns0:c>
      <ns0:c r="I147" s="43">
        <ns0:v>1.003</ns0:v>
      </ns0:c>
      <ns0:c r="J147" s="43">
        <ns0:v>1.026</ns0:v>
      </ns0:c>
      <ns0:c r="K147" s="43">
        <ns0:v>1.069</ns0:v>
      </ns0:c>
      <ns0:c r="L147" s="43">
        <ns0:v>1.021</ns0:v>
      </ns0:c>
      <ns0:c r="M147" s="43">
        <ns0:v>1.49</ns0:v>
      </ns0:c>
      <ns0:c r="N147" s="43">
        <ns0:v>2.796</ns0:v>
      </ns0:c>
      <ns0:c r="O147" s="43">
        <ns0:v>2.991</ns0:v>
      </ns0:c>
      <ns0:c r="P147" s="43">
        <ns0:v>2.283</ns0:v>
      </ns0:c>
      <ns0:c r="Q147" s="43">
        <ns0:v>2.245</ns0:v>
      </ns0:c>
      <ns0:c r="R147" s="43">
        <ns0:v>1.769</ns0:v>
      </ns0:c>
      <ns0:c r="S147" s="43">
        <ns0:v>2.098</ns0:v>
      </ns0:c>
      <ns0:c r="T147" s="43">
        <ns0:v>2.516</ns0:v>
      </ns0:c>
      <ns0:c r="U147" s="43">
        <ns0:v>2.454</ns0:v>
      </ns0:c>
      <ns0:c r="V147" s="43">
        <ns0:v>2.865</ns0:v>
      </ns0:c>
      <ns0:c r="W147" s="43">
        <ns0:v>3.258</ns0:v>
      </ns0:c>
      <ns0:c r="X147" s="43">
        <ns0:v>2.847</ns0:v>
      </ns0:c>
      <ns0:c r="Y147" s="43">
        <ns0:v>3</ns0:v>
      </ns0:c>
      <ns0:c r="Z147" s="43">
        <ns0:v>2.112</ns0:v>
      </ns0:c>
      <ns0:c r="AA147" s="43">
        <ns0:v>1.788</ns0:v>
      </ns0:c>
      <ns0:c r="AB147" s="43">
        <ns0:v>1.454</ns0:v>
      </ns0:c>
      <ns0:c r="AC147" s="43">
        <ns0:v>1.19</ns0:v>
      </ns0:c>
    </ns0:row>
    <ns0:row r="148" spans="1:29">
      <ns0:c r="A148" s="32"/>
      <ns0:c r="B148" s="33"/>
      <ns0:c r="C148" s="32"/>
      <ns0:c r="D148" s="6" t="s">
        <ns0:v>49</ns0:v>
      </ns0:c>
      <ns0:c r="E148" s="42">
        <ns0:f t="shared" si="92"/>
        <ns0:v>67.101</ns0:v>
      </ns0:c>
      <ns0:c r="F148" s="43">
        <ns0:v>1.6909</ns0:v>
      </ns0:c>
      <ns0:c r="G148" s="43">
        <ns0:v>1.7109</ns0:v>
      </ns0:c>
      <ns0:c r="H148" s="43">
        <ns0:v>1.7308</ns0:v>
      </ns0:c>
      <ns0:c r="I148" s="43">
        <ns0:v>1.7888</ns0:v>
      </ns0:c>
      <ns0:c r="J148" s="43">
        <ns0:v>1.7353</ns0:v>
      </ns0:c>
      <ns0:c r="K148" s="43">
        <ns0:v>1.6373</ns0:v>
      </ns0:c>
      <ns0:c r="L148" s="43">
        <ns0:v>1.527</ns0:v>
      </ns0:c>
      <ns0:c r="M148" s="43">
        <ns0:v>1.9531</ns0:v>
      </ns0:c>
      <ns0:c r="N148" s="43">
        <ns0:v>4.0147</ns0:v>
      </ns0:c>
      <ns0:c r="O148" s="43">
        <ns0:v>4.1669</ns0:v>
      </ns0:c>
      <ns0:c r="P148" s="43">
        <ns0:v>3.5606</ns0:v>
      </ns0:c>
      <ns0:c r="Q148" s="43">
        <ns0:v>3.4377</ns0:v>
      </ns0:c>
      <ns0:c r="R148" s="43">
        <ns0:v>2.799</ns0:v>
      </ns0:c>
      <ns0:c r="S148" s="43">
        <ns0:v>3.3643</ns0:v>
      </ns0:c>
      <ns0:c r="T148" s="43">
        <ns0:v>3.8725</ns0:v>
      </ns0:c>
      <ns0:c r="U148" s="43">
        <ns0:v>3.7113</ns0:v>
      </ns0:c>
      <ns0:c r="V148" s="43">
        <ns0:v>3.946</ns0:v>
      </ns0:c>
      <ns0:c r="W148" s="43">
        <ns0:v>3.7151</ns0:v>
      </ns0:c>
      <ns0:c r="X148" s="43">
        <ns0:v>3.506</ns0:v>
      </ns0:c>
      <ns0:c r="Y148" s="43">
        <ns0:v>3.5549</ns0:v>
      </ns0:c>
      <ns0:c r="Z148" s="43">
        <ns0:v>3.1656</ns0:v>
      </ns0:c>
      <ns0:c r="AA148" s="43">
        <ns0:v>2.5897</ns0:v>
      </ns0:c>
      <ns0:c r="AB148" s="43">
        <ns0:v>2.0592</ns0:v>
      </ns0:c>
      <ns0:c r="AC148" s="43">
        <ns0:v>1.8634</ns0:v>
      </ns0:c>
    </ns0:row>
    <ns0:row r="149" spans="1:29">
      <ns0:c r="A149" s="32"/>
      <ns0:c r="B149" s="33"/>
      <ns0:c r="C149" s="34"/>
      <ns0:c r="D149" s="31" t="s">
        <ns0:v>50</ns0:v>
      </ns0:c>
      <ns0:c r="E149" s="26">
        <ns0:f>E147-E148</ns0:f>
        <ns0:v>-20.221</ns0:v>
      </ns0:c>
      <ns0:c r="F149" s="43">
        <ns0:f t="shared" ref="F149:AC149" si="96">(F147-F148)*1</ns0:f>
        <ns0:v>-0.4129</ns0:v>
      </ns0:c>
      <ns0:c r="G149" s="43">
        <ns0:f t="shared" si="96"/>
        <ns0:v>-0.5409</ns0:v>
      </ns0:c>
      <ns0:c r="H149" s="43">
        <ns0:f t="shared" si="96"/>
        <ns0:v>-0.5738</ns0:v>
      </ns0:c>
      <ns0:c r="I149" s="43">
        <ns0:f t="shared" si="96"/>
        <ns0:v>-0.7858</ns0:v>
      </ns0:c>
      <ns0:c r="J149" s="43">
        <ns0:f t="shared" si="96"/>
        <ns0:v>-0.7093</ns0:v>
      </ns0:c>
      <ns0:c r="K149" s="43">
        <ns0:f t="shared" si="96"/>
        <ns0:v>-0.5683</ns0:v>
      </ns0:c>
      <ns0:c r="L149" s="43">
        <ns0:f t="shared" si="96"/>
        <ns0:v>-0.506</ns0:v>
      </ns0:c>
      <ns0:c r="M149" s="43">
        <ns0:f t="shared" si="96"/>
        <ns0:v>-0.4631</ns0:v>
      </ns0:c>
      <ns0:c r="N149" s="43">
        <ns0:f t="shared" si="96"/>
        <ns0:v>-1.2187</ns0:v>
      </ns0:c>
      <ns0:c r="O149" s="43">
        <ns0:f t="shared" si="96"/>
        <ns0:v>-1.1759</ns0:v>
      </ns0:c>
      <ns0:c r="P149" s="43">
        <ns0:f t="shared" si="96"/>
        <ns0:v>-1.2776</ns0:v>
      </ns0:c>
      <ns0:c r="Q149" s="43">
        <ns0:f t="shared" si="96"/>
        <ns0:v>-1.1927</ns0:v>
      </ns0:c>
      <ns0:c r="R149" s="43">
        <ns0:f t="shared" si="96"/>
        <ns0:v>-1.03</ns0:v>
      </ns0:c>
      <ns0:c r="S149" s="43">
        <ns0:f t="shared" si="96"/>
        <ns0:v>-1.2663</ns0:v>
      </ns0:c>
      <ns0:c r="T149" s="43">
        <ns0:f t="shared" si="96"/>
        <ns0:v>-1.3565</ns0:v>
      </ns0:c>
      <ns0:c r="U149" s="43">
        <ns0:f t="shared" si="96"/>
        <ns0:v>-1.2573</ns0:v>
      </ns0:c>
      <ns0:c r="V149" s="43">
        <ns0:f t="shared" si="96"/>
        <ns0:v>-1.081</ns0:v>
      </ns0:c>
      <ns0:c r="W149" s="43">
        <ns0:f t="shared" si="96"/>
        <ns0:v>-0.4571</ns0:v>
      </ns0:c>
      <ns0:c r="X149" s="43">
        <ns0:f t="shared" si="96"/>
        <ns0:v>-0.659</ns0:v>
      </ns0:c>
      <ns0:c r="Y149" s="43">
        <ns0:f t="shared" si="96"/>
        <ns0:v>-0.5549</ns0:v>
      </ns0:c>
      <ns0:c r="Z149" s="43">
        <ns0:f t="shared" si="96"/>
        <ns0:v>-1.0536</ns0:v>
      </ns0:c>
      <ns0:c r="AA149" s="43">
        <ns0:f t="shared" si="96"/>
        <ns0:v>-0.8017</ns0:v>
      </ns0:c>
      <ns0:c r="AB149" s="43">
        <ns0:f t="shared" si="96"/>
        <ns0:v>-0.6052</ns0:v>
      </ns0:c>
      <ns0:c r="AC149" s="43">
        <ns0:f t="shared" si="96"/>
        <ns0:v>-0.6734</ns0:v>
      </ns0:c>
    </ns0:row>
    <ns0:row r="150" spans="1:29">
      <ns0:c r="A150" s="32"/>
      <ns0:c r="B150" s="33"/>
      <ns0:c r="C150" s="35" t="s">
        <ns0:v>51</ns0:v>
      </ns0:c>
      <ns0:c r="D150" s="31" t="s">
        <ns0:v>48</ns0:v>
      </ns0:c>
      <ns0:c r="E150" s="31">
        <ns0:f>AVERAGE(F150:AC150)</ns0:f>
        <ns0:v>308.664166666667</ns0:v>
      </ns0:c>
      <ns0:c r="F150" s="43">
        <ns0:v>355.02</ns0:v>
      </ns0:c>
      <ns0:c r="G150" s="43">
        <ns0:v>320.18</ns0:v>
      </ns0:c>
      <ns0:c r="H150" s="43">
        <ns0:v>314.85</ns0:v>
      </ns0:c>
      <ns0:c r="I150" s="43">
        <ns0:v>304.46</ns0:v>
      </ns0:c>
      <ns0:c r="J150" s="43">
        <ns0:v>297.65</ns0:v>
      </ns0:c>
      <ns0:c r="K150" s="43">
        <ns0:v>295.5</ns0:v>
      </ns0:c>
      <ns0:c r="L150" s="43">
        <ns0:v>306.26</ns0:v>
      </ns0:c>
      <ns0:c r="M150" s="43">
        <ns0:v>316.26</ns0:v>
      </ns0:c>
      <ns0:c r="N150" s="43">
        <ns0:v>342.22</ns0:v>
      </ns0:c>
      <ns0:c r="O150" s="43">
        <ns0:v>320.47</ns0:v>
      </ns0:c>
      <ns0:c r="P150" s="43">
        <ns0:v>276.82</ns0:v>
      </ns0:c>
      <ns0:c r="Q150" s="43">
        <ns0:v>235.68</ns0:v>
      </ns0:c>
      <ns0:c r="R150" s="43">
        <ns0:v>163.19</ns0:v>
      </ns0:c>
      <ns0:c r="S150" s="43">
        <ns0:v>207.7</ns0:v>
      </ns0:c>
      <ns0:c r="T150" s="43">
        <ns0:v>201.99</ns0:v>
      </ns0:c>
      <ns0:c r="U150" s="43">
        <ns0:v>258.08</ns0:v>
      </ns0:c>
      <ns0:c r="V150" s="43">
        <ns0:v>315.83</ns0:v>
      </ns0:c>
      <ns0:c r="W150" s="43">
        <ns0:v>364.59</ns0:v>
      </ns0:c>
      <ns0:c r="X150" s="43">
        <ns0:v>417.77</ns0:v>
      </ns0:c>
      <ns0:c r="Y150" s="43">
        <ns0:v>427.62</ns0:v>
      </ns0:c>
      <ns0:c r="Z150" s="43">
        <ns0:v>402.18</ns0:v>
      </ns0:c>
      <ns0:c r="AA150" s="43">
        <ns0:v>363.63</ns0:v>
      </ns0:c>
      <ns0:c r="AB150" s="43">
        <ns0:v>317.28</ns0:v>
      </ns0:c>
      <ns0:c r="AC150" s="43">
        <ns0:v>282.71</ns0:v>
      </ns0:c>
    </ns0:row>
    <ns0:row r="151" spans="1:29">
      <ns0:c r="A151" s="32"/>
      <ns0:c r="B151" s="33"/>
      <ns0:c r="C151" s="32"/>
      <ns0:c r="D151" s="31" t="s">
        <ns0:v>49</ns0:v>
      </ns0:c>
      <ns0:c r="E151" s="31">
        <ns0:f>AVERAGE(F151:AC151)</ns0:f>
        <ns0:v>302.605</ns0:v>
      </ns0:c>
      <ns0:c r="F151" s="43">
        <ns0:v>422.92</ns0:v>
      </ns0:c>
      <ns0:c r="G151" s="43">
        <ns0:v>328.73</ns0:v>
      </ns0:c>
      <ns0:c r="H151" s="43">
        <ns0:v>317.85</ns0:v>
      </ns0:c>
      <ns0:c r="I151" s="43">
        <ns0:v>300.05</ns0:v>
      </ns0:c>
      <ns0:c r="J151" s="43">
        <ns0:v>292.2</ns0:v>
      </ns0:c>
      <ns0:c r="K151" s="43">
        <ns0:v>292.9</ns0:v>
      </ns0:c>
      <ns0:c r="L151" s="43">
        <ns0:v>312.11</ns0:v>
      </ns0:c>
      <ns0:c r="M151" s="43">
        <ns0:v>335.1</ns0:v>
      </ns0:c>
      <ns0:c r="N151" s="43">
        <ns0:v>364.75</ns0:v>
      </ns0:c>
      <ns0:c r="O151" s="43">
        <ns0:v>291.35</ns0:v>
      </ns0:c>
      <ns0:c r="P151" s="43">
        <ns0:v>202.42</ns0:v>
      </ns0:c>
      <ns0:c r="Q151" s="43">
        <ns0:v>120.79</ns0:v>
      </ns0:c>
      <ns0:c r="R151" s="43">
        <ns0:v>-26.97</ns0:v>
      </ns0:c>
      <ns0:c r="S151" s="43">
        <ns0:v>23.93</ns0:v>
      </ns0:c>
      <ns0:c r="T151" s="43">
        <ns0:v>-4.51</ns0:v>
      </ns0:c>
      <ns0:c r="U151" s="43">
        <ns0:v>166.89</ns0:v>
      </ns0:c>
      <ns0:c r="V151" s="43">
        <ns0:v>335.65</ns0:v>
      </ns0:c>
      <ns0:c r="W151" s="43">
        <ns0:v>745.94</ns0:v>
      </ns0:c>
      <ns0:c r="X151" s="43">
        <ns0:v>668.31</ns0:v>
      </ns0:c>
      <ns0:c r="Y151" s="43">
        <ns0:v>410.89</ns0:v>
      </ns0:c>
      <ns0:c r="Z151" s="43">
        <ns0:v>408.28</ns0:v>
      </ns0:c>
      <ns0:c r="AA151" s="43">
        <ns0:v>356.84</ns0:v>
      </ns0:c>
      <ns0:c r="AB151" s="43">
        <ns0:v>321.82</ns0:v>
      </ns0:c>
      <ns0:c r="AC151" s="43">
        <ns0:v>274.28</ns0:v>
      </ns0:c>
    </ns0:row>
    <ns0:row r="152" spans="1:29">
      <ns0:c r="A152" s="32"/>
      <ns0:c r="B152" s="33"/>
      <ns0:c r="C152" s="34"/>
      <ns0:c r="D152" s="31" t="s">
        <ns0:v>50</ns0:v>
      </ns0:c>
      <ns0:c r="E152" s="26">
        <ns0:f>E150-E151</ns0:f>
        <ns0:v>6.05916666666673</ns0:v>
      </ns0:c>
      <ns0:c r="F152" s="43">
        <ns0:f t="shared" ref="F152:AC152" si="97">(F150-F151)*1</ns0:f>
        <ns0:v>-67.9</ns0:v>
      </ns0:c>
      <ns0:c r="G152" s="43">
        <ns0:f t="shared" si="97"/>
        <ns0:v>-8.55000000000001</ns0:v>
      </ns0:c>
      <ns0:c r="H152" s="43">
        <ns0:f t="shared" si="97"/>
        <ns0:v>-3</ns0:v>
      </ns0:c>
      <ns0:c r="I152" s="43">
        <ns0:f t="shared" si="97"/>
        <ns0:v>4.40999999999997</ns0:v>
      </ns0:c>
      <ns0:c r="J152" s="43">
        <ns0:f t="shared" si="97"/>
        <ns0:v>5.44999999999999</ns0:v>
      </ns0:c>
      <ns0:c r="K152" s="43">
        <ns0:f t="shared" si="97"/>
        <ns0:v>2.60000000000002</ns0:v>
      </ns0:c>
      <ns0:c r="L152" s="43">
        <ns0:f t="shared" si="97"/>
        <ns0:v>-5.85000000000002</ns0:v>
      </ns0:c>
      <ns0:c r="M152" s="43">
        <ns0:f t="shared" si="97"/>
        <ns0:v>-18.84</ns0:v>
      </ns0:c>
      <ns0:c r="N152" s="43">
        <ns0:f t="shared" si="97"/>
        <ns0:v>-22.53</ns0:v>
      </ns0:c>
      <ns0:c r="O152" s="43">
        <ns0:f t="shared" si="97"/>
        <ns0:v>29.12</ns0:v>
      </ns0:c>
      <ns0:c r="P152" s="43">
        <ns0:f t="shared" si="97"/>
        <ns0:v>74.4</ns0:v>
      </ns0:c>
      <ns0:c r="Q152" s="43">
        <ns0:f t="shared" si="97"/>
        <ns0:v>114.89</ns0:v>
      </ns0:c>
      <ns0:c r="R152" s="43">
        <ns0:f t="shared" si="97"/>
        <ns0:v>190.16</ns0:v>
      </ns0:c>
      <ns0:c r="S152" s="43">
        <ns0:f t="shared" si="97"/>
        <ns0:v>183.77</ns0:v>
      </ns0:c>
      <ns0:c r="T152" s="43">
        <ns0:f t="shared" si="97"/>
        <ns0:v>206.5</ns0:v>
      </ns0:c>
      <ns0:c r="U152" s="43">
        <ns0:f t="shared" si="97"/>
        <ns0:v>91.19</ns0:v>
      </ns0:c>
      <ns0:c r="V152" s="43">
        <ns0:f t="shared" si="97"/>
        <ns0:v>-19.82</ns0:v>
      </ns0:c>
      <ns0:c r="W152" s="43">
        <ns0:f t="shared" si="97"/>
        <ns0:v>-381.35</ns0:v>
      </ns0:c>
      <ns0:c r="X152" s="43">
        <ns0:f t="shared" si="97"/>
        <ns0:v>-250.54</ns0:v>
      </ns0:c>
      <ns0:c r="Y152" s="43">
        <ns0:f t="shared" si="97"/>
        <ns0:v>16.73</ns0:v>
      </ns0:c>
      <ns0:c r="Z152" s="43">
        <ns0:f t="shared" si="97"/>
        <ns0:v>-6.09999999999997</ns0:v>
      </ns0:c>
      <ns0:c r="AA152" s="43">
        <ns0:f t="shared" si="97"/>
        <ns0:v>6.79000000000002</ns0:v>
      </ns0:c>
      <ns0:c r="AB152" s="43">
        <ns0:f t="shared" si="97"/>
        <ns0:v>-4.54000000000002</ns0:v>
      </ns0:c>
      <ns0:c r="AC152" s="43">
        <ns0:f t="shared" si="97"/>
        <ns0:v>8.43000000000001</ns0:v>
      </ns0:c>
    </ns0:row>
    <ns0:row r="153" spans="1:29">
      <ns0:c r="A153" s="32"/>
      <ns0:c r="B153" s="33"/>
      <ns0:c r="C153" s="36" t="s">
        <ns0:v>52</ns0:v>
      </ns0:c>
      <ns0:c r="D153" s="37"/>
      <ns0:c r="E153" s="26">
        <ns0:f t="shared" ref="E153:E157" si="98">SUM(F153:AC153)</ns0:f>
        <ns0:v>675.335411</ns0:v>
      </ns0:c>
      <ns0:c r="F153" s="48">
        <ns0:f t="shared" ref="F153:AC153" si="99">-F149*F152</ns0:f>
        <ns0:v>-28.03591</ns0:v>
      </ns0:c>
      <ns0:c r="G153" s="48">
        <ns0:f t="shared" si="99"/>
        <ns0:v>-4.62469500000001</ns0:v>
      </ns0:c>
      <ns0:c r="H153" s="48">
        <ns0:f t="shared" si="99"/>
        <ns0:v>-1.7214</ns0:v>
      </ns0:c>
      <ns0:c r="I153" s="48">
        <ns0:f t="shared" si="99"/>
        <ns0:v>3.46537799999998</ns0:v>
      </ns0:c>
      <ns0:c r="J153" s="48">
        <ns0:f t="shared" si="99"/>
        <ns0:v>3.86568499999999</ns0:v>
      </ns0:c>
      <ns0:c r="K153" s="48">
        <ns0:f t="shared" si="99"/>
        <ns0:v>1.47758000000001</ns0:v>
      </ns0:c>
      <ns0:c r="L153" s="48">
        <ns0:f t="shared" si="99"/>
        <ns0:v>-2.96010000000001</ns0:v>
      </ns0:c>
      <ns0:c r="M153" s="48">
        <ns0:f t="shared" si="99"/>
        <ns0:v>-8.724804</ns0:v>
      </ns0:c>
      <ns0:c r="N153" s="48">
        <ns0:f t="shared" si="99"/>
        <ns0:v>-27.457311</ns0:v>
      </ns0:c>
      <ns0:c r="O153" s="48">
        <ns0:f t="shared" si="99"/>
        <ns0:v>34.242208</ns0:v>
      </ns0:c>
      <ns0:c r="P153" s="48">
        <ns0:f t="shared" si="99"/>
        <ns0:v>95.05344</ns0:v>
      </ns0:c>
      <ns0:c r="Q153" s="48">
        <ns0:f t="shared" si="99"/>
        <ns0:v>137.029303</ns0:v>
      </ns0:c>
      <ns0:c r="R153" s="48">
        <ns0:f t="shared" si="99"/>
        <ns0:v>195.8648</ns0:v>
      </ns0:c>
      <ns0:c r="S153" s="48">
        <ns0:f t="shared" si="99"/>
        <ns0:v>232.707951</ns0:v>
      </ns0:c>
      <ns0:c r="T153" s="48">
        <ns0:f t="shared" si="99"/>
        <ns0:v>280.11725</ns0:v>
      </ns0:c>
      <ns0:c r="U153" s="48">
        <ns0:f t="shared" si="99"/>
        <ns0:v>114.653187</ns0:v>
      </ns0:c>
      <ns0:c r="V153" s="48">
        <ns0:f t="shared" si="99"/>
        <ns0:v>-21.42542</ns0:v>
      </ns0:c>
      <ns0:c r="W153" s="48">
        <ns0:f t="shared" si="99"/>
        <ns0:v>-174.315085</ns0:v>
      </ns0:c>
      <ns0:c r="X153" s="48">
        <ns0:f t="shared" si="99"/>
        <ns0:v>-165.10586</ns0:v>
      </ns0:c>
      <ns0:c r="Y153" s="48">
        <ns0:f t="shared" si="99"/>
        <ns0:v>9.283477</ns0:v>
      </ns0:c>
      <ns0:c r="Z153" s="48">
        <ns0:f t="shared" si="99"/>
        <ns0:v>-6.42695999999997</ns0:v>
      </ns0:c>
      <ns0:c r="AA153" s="48">
        <ns0:f t="shared" si="99"/>
        <ns0:v>5.44354300000002</ns0:v>
      </ns0:c>
      <ns0:c r="AB153" s="48">
        <ns0:f t="shared" si="99"/>
        <ns0:v>-2.74760800000001</ns0:v>
      </ns0:c>
      <ns0:c r="AC153" s="48">
        <ns0:f t="shared" si="99"/>
        <ns0:v>5.67676200000001</ns0:v>
      </ns0:c>
    </ns0:row>
    <ns0:row r="154" spans="1:29">
      <ns0:c r="A154" s="32"/>
      <ns0:c r="B154" s="33"/>
      <ns0:c r="C154" s="38" t="s">
        <ns0:v>53</ns0:v>
      </ns0:c>
      <ns0:c r="D154" s="37"/>
      <ns0:c r="E154" s="26">
        <ns0:f t="shared" si="98"/>
        <ns0:v>190.6826374</ns0:v>
      </ns0:c>
      <ns0:c r="F154" s="48">
        <ns0:f t="shared" ref="F154:AC154" si="100">IF(F153&gt;0,ABS(MIN(F148*0.2,ABS(F149))*F152),F153)</ns0:f>
        <ns0:v>-28.03591</ns0:v>
      </ns0:c>
      <ns0:c r="G154" s="48">
        <ns0:f t="shared" si="100"/>
        <ns0:v>-4.62469500000001</ns0:v>
      </ns0:c>
      <ns0:c r="H154" s="48">
        <ns0:f t="shared" si="100"/>
        <ns0:v>-1.7214</ns0:v>
      </ns0:c>
      <ns0:c r="I154" s="48">
        <ns0:f t="shared" si="100"/>
        <ns0:v>1.57772159999999</ns0:v>
      </ns0:c>
      <ns0:c r="J154" s="48">
        <ns0:f t="shared" si="100"/>
        <ns0:v>1.891477</ns0:v>
      </ns0:c>
      <ns0:c r="K154" s="48">
        <ns0:f t="shared" si="100"/>
        <ns0:v>0.851396000000007</ns0:v>
      </ns0:c>
      <ns0:c r="L154" s="48">
        <ns0:f t="shared" si="100"/>
        <ns0:v>-2.96010000000001</ns0:v>
      </ns0:c>
      <ns0:c r="M154" s="48">
        <ns0:f t="shared" si="100"/>
        <ns0:v>-8.724804</ns0:v>
      </ns0:c>
      <ns0:c r="N154" s="48">
        <ns0:f t="shared" si="100"/>
        <ns0:v>-27.457311</ns0:v>
      </ns0:c>
      <ns0:c r="O154" s="48">
        <ns0:f t="shared" si="100"/>
        <ns0:v>24.2680256</ns0:v>
      </ns0:c>
      <ns0:c r="P154" s="48">
        <ns0:f t="shared" si="100"/>
        <ns0:v>52.981728</ns0:v>
      </ns0:c>
      <ns0:c r="Q154" s="48">
        <ns0:f t="shared" si="100"/>
        <ns0:v>78.9914706</ns0:v>
      </ns0:c>
      <ns0:c r="R154" s="48">
        <ns0:f t="shared" si="100"/>
        <ns0:v>106.451568</ns0:v>
      </ns0:c>
      <ns0:c r="S154" s="48">
        <ns0:f t="shared" si="100"/>
        <ns0:v>123.6514822</ns0:v>
      </ns0:c>
      <ns0:c r="T154" s="48">
        <ns0:f t="shared" si="100"/>
        <ns0:v>159.93425</ns0:v>
      </ns0:c>
      <ns0:c r="U154" s="48">
        <ns0:f t="shared" si="100"/>
        <ns0:v>67.6866894</ns0:v>
      </ns0:c>
      <ns0:c r="V154" s="48">
        <ns0:f t="shared" si="100"/>
        <ns0:v>-21.42542</ns0:v>
      </ns0:c>
      <ns0:c r="W154" s="48">
        <ns0:f t="shared" si="100"/>
        <ns0:v>-174.315085</ns0:v>
      </ns0:c>
      <ns0:c r="X154" s="48">
        <ns0:f t="shared" si="100"/>
        <ns0:v>-165.10586</ns0:v>
      </ns0:c>
      <ns0:c r="Y154" s="48">
        <ns0:f t="shared" si="100"/>
        <ns0:v>9.283477</ns0:v>
      </ns0:c>
      <ns0:c r="Z154" s="48">
        <ns0:f t="shared" si="100"/>
        <ns0:v>-6.42695999999997</ns0:v>
      </ns0:c>
      <ns0:c r="AA154" s="48">
        <ns0:f t="shared" si="100"/>
        <ns0:v>3.51681260000001</ns0:v>
      </ns0:c>
      <ns0:c r="AB154" s="48">
        <ns0:f t="shared" si="100"/>
        <ns0:v>-2.74760800000001</ns0:v>
      </ns0:c>
      <ns0:c r="AC154" s="48">
        <ns0:f t="shared" si="100"/>
        <ns0:v>3.1416924</ns0:v>
      </ns0:c>
    </ns0:row>
    <ns0:row r="155" spans="1:29">
      <ns0:c r="A155" s="32"/>
      <ns0:c r="B155" s="33"/>
      <ns0:c r="C155" s="39" t="s">
        <ns0:v>50</ns0:v>
      </ns0:c>
      <ns0:c r="D155" s="37"/>
      <ns0:c r="E155" s="44">
        <ns0:f t="shared" ref="E155:AC155" si="101">E153-E154</ns0:f>
        <ns0:v>484.6527736</ns0:v>
      </ns0:c>
      <ns0:c r="F155" s="26">
        <ns0:f t="shared" si="101"/>
        <ns0:v>0</ns0:v>
      </ns0:c>
      <ns0:c r="G155" s="26">
        <ns0:f t="shared" si="101"/>
        <ns0:v>0</ns0:v>
      </ns0:c>
      <ns0:c r="H155" s="26">
        <ns0:f t="shared" si="101"/>
        <ns0:v>0</ns0:v>
      </ns0:c>
      <ns0:c r="I155" s="26">
        <ns0:f t="shared" si="101"/>
        <ns0:v>1.88765639999999</ns0:v>
      </ns0:c>
      <ns0:c r="J155" s="26">
        <ns0:f t="shared" si="101"/>
        <ns0:v>1.974208</ns0:v>
      </ns0:c>
      <ns0:c r="K155" s="26">
        <ns0:f t="shared" si="101"/>
        <ns0:v>0.626184000000005</ns0:v>
      </ns0:c>
      <ns0:c r="L155" s="26">
        <ns0:f t="shared" si="101"/>
        <ns0:v>0</ns0:v>
      </ns0:c>
      <ns0:c r="M155" s="26">
        <ns0:f t="shared" si="101"/>
        <ns0:v>0</ns0:v>
      </ns0:c>
      <ns0:c r="N155" s="26">
        <ns0:f t="shared" si="101"/>
        <ns0:v>0</ns0:v>
      </ns0:c>
      <ns0:c r="O155" s="26">
        <ns0:f t="shared" si="101"/>
        <ns0:v>9.9741824</ns0:v>
      </ns0:c>
      <ns0:c r="P155" s="26">
        <ns0:f t="shared" si="101"/>
        <ns0:v>42.071712</ns0:v>
      </ns0:c>
      <ns0:c r="Q155" s="26">
        <ns0:f t="shared" si="101"/>
        <ns0:v>58.0378324</ns0:v>
      </ns0:c>
      <ns0:c r="R155" s="26">
        <ns0:f t="shared" si="101"/>
        <ns0:v>89.413232</ns0:v>
      </ns0:c>
      <ns0:c r="S155" s="26">
        <ns0:f t="shared" si="101"/>
        <ns0:v>109.0564688</ns0:v>
      </ns0:c>
      <ns0:c r="T155" s="26">
        <ns0:f t="shared" si="101"/>
        <ns0:v>120.183</ns0:v>
      </ns0:c>
      <ns0:c r="U155" s="26">
        <ns0:f t="shared" si="101"/>
        <ns0:v>46.9664976</ns0:v>
      </ns0:c>
      <ns0:c r="V155" s="26">
        <ns0:f t="shared" si="101"/>
        <ns0:v>0</ns0:v>
      </ns0:c>
      <ns0:c r="W155" s="26">
        <ns0:f t="shared" si="101"/>
        <ns0:v>0</ns0:v>
      </ns0:c>
      <ns0:c r="X155" s="26">
        <ns0:f t="shared" si="101"/>
        <ns0:v>0</ns0:v>
      </ns0:c>
      <ns0:c r="Y155" s="26">
        <ns0:f t="shared" si="101"/>
        <ns0:v>0</ns0:v>
      </ns0:c>
      <ns0:c r="Z155" s="26">
        <ns0:f t="shared" si="101"/>
        <ns0:v>0</ns0:v>
      </ns0:c>
      <ns0:c r="AA155" s="26">
        <ns0:f t="shared" si="101"/>
        <ns0:v>1.92673040000001</ns0:v>
      </ns0:c>
      <ns0:c r="AB155" s="26">
        <ns0:f t="shared" si="101"/>
        <ns0:v>0</ns0:v>
      </ns0:c>
      <ns0:c r="AC155" s="26">
        <ns0:f t="shared" si="101"/>
        <ns0:v>2.5350696</ns0:v>
      </ns0:c>
    </ns0:row>
    <ns0:row r="156" spans="1:29">
      <ns0:c r="A156" s="29">
        <ns0:v>46009</ns0:v>
      </ns0:c>
      <ns0:c r="B156" s="30">
        <ns0:f>E163</ns0:f>
        <ns0:v>-18.4499819999999</ns0:v>
      </ns0:c>
      <ns0:c r="C156" s="31" t="s">
        <ns0:v>47</ns0:v>
      </ns0:c>
      <ns0:c r="D156" s="31" t="s">
        <ns0:v>48</ns0:v>
      </ns0:c>
      <ns0:c r="E156" s="42">
        <ns0:f t="shared" si="98"/>
        <ns0:v>63.46</ns0:v>
      </ns0:c>
      <ns0:c r="F156" s="43">
        <ns0:v>1.45</ns0:v>
      </ns0:c>
      <ns0:c r="G156" s="43">
        <ns0:v>1.513</ns0:v>
      </ns0:c>
      <ns0:c r="H156" s="43">
        <ns0:v>1.434</ns0:v>
      </ns0:c>
      <ns0:c r="I156" s="43">
        <ns0:v>1.483</ns0:v>
      </ns0:c>
      <ns0:c r="J156" s="43">
        <ns0:v>1.441</ns0:v>
      </ns0:c>
      <ns0:c r="K156" s="43">
        <ns0:v>1.278</ns0:v>
      </ns0:c>
      <ns0:c r="L156" s="43">
        <ns0:v>1.246</ns0:v>
      </ns0:c>
      <ns0:c r="M156" s="43">
        <ns0:v>1.735</ns0:v>
      </ns0:c>
      <ns0:c r="N156" s="43">
        <ns0:v>4.373</ns0:v>
      </ns0:c>
      <ns0:c r="O156" s="43">
        <ns0:v>5.227</ns0:v>
      </ns0:c>
      <ns0:c r="P156" s="43">
        <ns0:v>4.122</ns0:v>
      </ns0:c>
      <ns0:c r="Q156" s="43">
        <ns0:v>3.102</ns0:v>
      </ns0:c>
      <ns0:c r="R156" s="43">
        <ns0:v>2.224</ns0:v>
      </ns0:c>
      <ns0:c r="S156" s="43">
        <ns0:v>2.64</ns0:v>
      </ns0:c>
      <ns0:c r="T156" s="43">
        <ns0:v>3.205</ns0:v>
      </ns0:c>
      <ns0:c r="U156" s="43">
        <ns0:v>3.434</ns0:v>
      </ns0:c>
      <ns0:c r="V156" s="43">
        <ns0:v>4.457</ns0:v>
      </ns0:c>
      <ns0:c r="W156" s="43">
        <ns0:v>4.19</ns0:v>
      </ns0:c>
      <ns0:c r="X156" s="43">
        <ns0:v>3.719</ns0:v>
      </ns0:c>
      <ns0:c r="Y156" s="43">
        <ns0:v>3.146</ns0:v>
      </ns0:c>
      <ns0:c r="Z156" s="43">
        <ns0:v>2.727</ns0:v>
      </ns0:c>
      <ns0:c r="AA156" s="43">
        <ns0:v>2.222</ns0:v>
      </ns0:c>
      <ns0:c r="AB156" s="43">
        <ns0:v>1.562</ns0:v>
      </ns0:c>
      <ns0:c r="AC156" s="43">
        <ns0:v>1.53</ns0:v>
      </ns0:c>
    </ns0:row>
    <ns0:row r="157" spans="1:29">
      <ns0:c r="A157" s="32"/>
      <ns0:c r="B157" s="33"/>
      <ns0:c r="C157" s="32"/>
      <ns0:c r="D157" s="6" t="s">
        <ns0:v>49</ns0:v>
      </ns0:c>
      <ns0:c r="E157" s="42">
        <ns0:f t="shared" si="98"/>
        <ns0:v>68.2237</ns0:v>
      </ns0:c>
      <ns0:c r="F157" s="43">
        <ns0:v>1.8796</ns0:v>
      </ns0:c>
      <ns0:c r="G157" s="43">
        <ns0:v>1.9074</ns0:v>
      </ns0:c>
      <ns0:c r="H157" s="43">
        <ns0:v>1.879</ns0:v>
      </ns0:c>
      <ns0:c r="I157" s="43">
        <ns0:v>1.8632</ns0:v>
      </ns0:c>
      <ns0:c r="J157" s="43">
        <ns0:v>1.8232</ns0:v>
      </ns0:c>
      <ns0:c r="K157" s="43">
        <ns0:v>1.8105</ns0:v>
      </ns0:c>
      <ns0:c r="L157" s="43">
        <ns0:v>1.7297</ns0:v>
      </ns0:c>
      <ns0:c r="M157" s="43">
        <ns0:v>2.1007</ns0:v>
      </ns0:c>
      <ns0:c r="N157" s="43">
        <ns0:v>3.9442</ns0:v>
      </ns0:c>
      <ns0:c r="O157" s="43">
        <ns0:v>4.0941</ns0:v>
      </ns0:c>
      <ns0:c r="P157" s="43">
        <ns0:v>3.4234</ns0:v>
      </ns0:c>
      <ns0:c r="Q157" s="43">
        <ns0:v>3.2998</ns0:v>
      </ns0:c>
      <ns0:c r="R157" s="43">
        <ns0:v>2.7068</ns0:v>
      </ns0:c>
      <ns0:c r="S157" s="43">
        <ns0:v>3.3488</ns0:v>
      </ns0:c>
      <ns0:c r="T157" s="43">
        <ns0:v>4.0085</ns0:v>
      </ns0:c>
      <ns0:c r="U157" s="43">
        <ns0:v>3.8214</ns0:v>
      </ns0:c>
      <ns0:c r="V157" s="43">
        <ns0:v>3.9916</ns0:v>
      </ns0:c>
      <ns0:c r="W157" s="43">
        <ns0:v>3.832</ns0:v>
      </ns0:c>
      <ns0:c r="X157" s="43">
        <ns0:v>3.4581</ns0:v>
      </ns0:c>
      <ns0:c r="Y157" s="43">
        <ns0:v>3.7546</ns0:v>
      </ns0:c>
      <ns0:c r="Z157" s="43">
        <ns0:v>3.2017</ns0:v>
      </ns0:c>
      <ns0:c r="AA157" s="43">
        <ns0:v>2.5682</ns0:v>
      </ns0:c>
      <ns0:c r="AB157" s="43">
        <ns0:v>1.9114</ns0:v>
      </ns0:c>
      <ns0:c r="AC157" s="43">
        <ns0:v>1.8658</ns0:v>
      </ns0:c>
    </ns0:row>
    <ns0:row r="158" spans="1:29">
      <ns0:c r="A158" s="32"/>
      <ns0:c r="B158" s="33"/>
      <ns0:c r="C158" s="34"/>
      <ns0:c r="D158" s="31" t="s">
        <ns0:v>50</ns0:v>
      </ns0:c>
      <ns0:c r="E158" s="26">
        <ns0:f>E156-E157</ns0:f>
        <ns0:v>-4.7637</ns0:v>
      </ns0:c>
      <ns0:c r="F158" s="43">
        <ns0:f t="shared" ref="F158:AC158" si="102">(F156-F157)*1</ns0:f>
        <ns0:v>-0.4296</ns0:v>
      </ns0:c>
      <ns0:c r="G158" s="43">
        <ns0:f t="shared" si="102"/>
        <ns0:v>-0.3944</ns0:v>
      </ns0:c>
      <ns0:c r="H158" s="43">
        <ns0:f t="shared" si="102"/>
        <ns0:v>-0.445</ns0:v>
      </ns0:c>
      <ns0:c r="I158" s="43">
        <ns0:f t="shared" si="102"/>
        <ns0:v>-0.3802</ns0:v>
      </ns0:c>
      <ns0:c r="J158" s="43">
        <ns0:f t="shared" si="102"/>
        <ns0:v>-0.3822</ns0:v>
      </ns0:c>
      <ns0:c r="K158" s="43">
        <ns0:f t="shared" si="102"/>
        <ns0:v>-0.5325</ns0:v>
      </ns0:c>
      <ns0:c r="L158" s="43">
        <ns0:f t="shared" si="102"/>
        <ns0:v>-0.4837</ns0:v>
      </ns0:c>
      <ns0:c r="M158" s="43">
        <ns0:f t="shared" si="102"/>
        <ns0:v>-0.3657</ns0:v>
      </ns0:c>
      <ns0:c r="N158" s="43">
        <ns0:f t="shared" si="102"/>
        <ns0:v>0.4288</ns0:v>
      </ns0:c>
      <ns0:c r="O158" s="43">
        <ns0:f t="shared" si="102"/>
        <ns0:v>1.1329</ns0:v>
      </ns0:c>
      <ns0:c r="P158" s="43">
        <ns0:f t="shared" si="102"/>
        <ns0:v>0.6986</ns0:v>
      </ns0:c>
      <ns0:c r="Q158" s="43">
        <ns0:f t="shared" si="102"/>
        <ns0:v>-0.1978</ns0:v>
      </ns0:c>
      <ns0:c r="R158" s="43">
        <ns0:f t="shared" si="102"/>
        <ns0:v>-0.4828</ns0:v>
      </ns0:c>
      <ns0:c r="S158" s="43">
        <ns0:f t="shared" si="102"/>
        <ns0:v>-0.7088</ns0:v>
      </ns0:c>
      <ns0:c r="T158" s="43">
        <ns0:f t="shared" si="102"/>
        <ns0:v>-0.8035</ns0:v>
      </ns0:c>
      <ns0:c r="U158" s="43">
        <ns0:f t="shared" si="102"/>
        <ns0:v>-0.3874</ns0:v>
      </ns0:c>
      <ns0:c r="V158" s="43">
        <ns0:f t="shared" si="102"/>
        <ns0:v>0.4654</ns0:v>
      </ns0:c>
      <ns0:c r="W158" s="43">
        <ns0:f t="shared" si="102"/>
        <ns0:v>0.358000000000001</ns0:v>
      </ns0:c>
      <ns0:c r="X158" s="43">
        <ns0:f t="shared" si="102"/>
        <ns0:v>0.2609</ns0:v>
      </ns0:c>
      <ns0:c r="Y158" s="43">
        <ns0:f t="shared" si="102"/>
        <ns0:v>-0.6086</ns0:v>
      </ns0:c>
      <ns0:c r="Z158" s="43">
        <ns0:f t="shared" si="102"/>
        <ns0:v>-0.4747</ns0:v>
      </ns0:c>
      <ns0:c r="AA158" s="43">
        <ns0:f t="shared" si="102"/>
        <ns0:v>-0.3462</ns0:v>
      </ns0:c>
      <ns0:c r="AB158" s="43">
        <ns0:f t="shared" si="102"/>
        <ns0:v>-0.3494</ns0:v>
      </ns0:c>
      <ns0:c r="AC158" s="43">
        <ns0:f t="shared" si="102"/>
        <ns0:v>-0.3358</ns0:v>
      </ns0:c>
    </ns0:row>
    <ns0:row r="159" spans="1:29">
      <ns0:c r="A159" s="32"/>
      <ns0:c r="B159" s="33"/>
      <ns0:c r="C159" s="35" t="s">
        <ns0:v>51</ns0:v>
      </ns0:c>
      <ns0:c r="D159" s="31" t="s">
        <ns0:v>48</ns0:v>
      </ns0:c>
      <ns0:c r="E159" s="31">
        <ns0:f>AVERAGE(F159:AC159)</ns0:f>
        <ns0:v>283.8625</ns0:v>
      </ns0:c>
      <ns0:c r="F159" s="43">
        <ns0:v>309.09</ns0:v>
      </ns0:c>
      <ns0:c r="G159" s="43">
        <ns0:v>304.8</ns0:v>
      </ns0:c>
      <ns0:c r="H159" s="43">
        <ns0:v>304.24</ns0:v>
      </ns0:c>
      <ns0:c r="I159" s="43">
        <ns0:v>297.34</ns0:v>
      </ns0:c>
      <ns0:c r="J159" s="43">
        <ns0:v>287.85</ns0:v>
      </ns0:c>
      <ns0:c r="K159" s="43">
        <ns0:v>285.47</ns0:v>
      </ns0:c>
      <ns0:c r="L159" s="43">
        <ns0:v>298.53</ns0:v>
      </ns0:c>
      <ns0:c r="M159" s="43">
        <ns0:v>305.19</ns0:v>
      </ns0:c>
      <ns0:c r="N159" s="43">
        <ns0:v>337.68</ns0:v>
      </ns0:c>
      <ns0:c r="O159" s="43">
        <ns0:v>316.17</ns0:v>
      </ns0:c>
      <ns0:c r="P159" s="43">
        <ns0:v>265.9</ns0:v>
      </ns0:c>
      <ns0:c r="Q159" s="43">
        <ns0:v>89.67</ns0:v>
      </ns0:c>
      <ns0:c r="R159" s="43">
        <ns0:v>-16</ns0:v>
      </ns0:c>
      <ns0:c r="S159" s="43">
        <ns0:v>60.86</ns0:v>
      </ns0:c>
      <ns0:c r="T159" s="43">
        <ns0:v>60.37</ns0:v>
      </ns0:c>
      <ns0:c r="U159" s="43">
        <ns0:v>223</ns0:v>
      </ns0:c>
      <ns0:c r="V159" s="43">
        <ns0:v>310.11</ns0:v>
      </ns0:c>
      <ns0:c r="W159" s="43">
        <ns0:v>369.05</ns0:v>
      </ns0:c>
      <ns0:c r="X159" s="43">
        <ns0:v>452.18</ns0:v>
      </ns0:c>
      <ns0:c r="Y159" s="43">
        <ns0:v>477.29</ns0:v>
      </ns0:c>
      <ns0:c r="Z159" s="43">
        <ns0:v>429.52</ns0:v>
      </ns0:c>
      <ns0:c r="AA159" s="43">
        <ns0:v>401.58</ns0:v>
      </ns0:c>
      <ns0:c r="AB159" s="43">
        <ns0:v>345.01</ns0:v>
      </ns0:c>
      <ns0:c r="AC159" s="43">
        <ns0:v>297.8</ns0:v>
      </ns0:c>
    </ns0:row>
    <ns0:row r="160" spans="1:29">
      <ns0:c r="A160" s="32"/>
      <ns0:c r="B160" s="33"/>
      <ns0:c r="C160" s="32"/>
      <ns0:c r="D160" s="31" t="s">
        <ns0:v>49</ns0:v>
      </ns0:c>
      <ns0:c r="E160" s="31">
        <ns0:f>AVERAGE(F160:AC160)</ns0:f>
        <ns0:v>267.039583333333</ns0:v>
      </ns0:c>
      <ns0:c r="F160" s="43">
        <ns0:v>434.08</ns0:v>
      </ns0:c>
      <ns0:c r="G160" s="43">
        <ns0:v>465.45</ns0:v>
      </ns0:c>
      <ns0:c r="H160" s="43">
        <ns0:v>369.87</ns0:v>
      </ns0:c>
      <ns0:c r="I160" s="43">
        <ns0:v>333.84</ns0:v>
      </ns0:c>
      <ns0:c r="J160" s="43">
        <ns0:v>283.58</ns0:v>
      </ns0:c>
      <ns0:c r="K160" s="43">
        <ns0:v>312.35</ns0:v>
      </ns0:c>
      <ns0:c r="L160" s="43">
        <ns0:v>365.78</ns0:v>
      </ns0:c>
      <ns0:c r="M160" s="43">
        <ns0:v>372.95</ns0:v>
      </ns0:c>
      <ns0:c r="N160" s="43">
        <ns0:v>373.44</ns0:v>
      </ns0:c>
      <ns0:c r="O160" s="43">
        <ns0:v>289.04</ns0:v>
      </ns0:c>
      <ns0:c r="P160" s="43">
        <ns0:v>140.86</ns0:v>
      </ns0:c>
      <ns0:c r="Q160" s="43">
        <ns0:v>8.07</ns0:v>
      </ns0:c>
      <ns0:c r="R160" s="43">
        <ns0:v>-28.42</ns0:v>
      </ns0:c>
      <ns0:c r="S160" s="43">
        <ns0:v>-11.46</ns0:v>
      </ns0:c>
      <ns0:c r="T160" s="43">
        <ns0:v>-0.63</ns0:v>
      </ns0:c>
      <ns0:c r="U160" s="43">
        <ns0:v>48.57</ns0:v>
      </ns0:c>
      <ns0:c r="V160" s="43">
        <ns0:v>287.33</ns0:v>
      </ns0:c>
      <ns0:c r="W160" s="43">
        <ns0:v>346.39</ns0:v>
      </ns0:c>
      <ns0:c r="X160" s="43">
        <ns0:v>396.97</ns0:v>
      </ns0:c>
      <ns0:c r="Y160" s="43">
        <ns0:v>340.62</ns0:v>
      </ns0:c>
      <ns0:c r="Z160" s="43">
        <ns0:v>349.49</ns0:v>
      </ns0:c>
      <ns0:c r="AA160" s="43">
        <ns0:v>323.31</ns0:v>
      </ns0:c>
      <ns0:c r="AB160" s="43">
        <ns0:v>312.41</ns0:v>
      </ns0:c>
      <ns0:c r="AC160" s="43">
        <ns0:v>295.06</ns0:v>
      </ns0:c>
    </ns0:row>
    <ns0:row r="161" spans="1:29">
      <ns0:c r="A161" s="32"/>
      <ns0:c r="B161" s="33"/>
      <ns0:c r="C161" s="34"/>
      <ns0:c r="D161" s="31" t="s">
        <ns0:v>50</ns0:v>
      </ns0:c>
      <ns0:c r="E161" s="26">
        <ns0:f>E159-E160</ns0:f>
        <ns0:v>16.8229166666667</ns0:v>
      </ns0:c>
      <ns0:c r="F161" s="43">
        <ns0:f t="shared" ref="F161:AC161" si="103">(F159-F160)*1</ns0:f>
        <ns0:v>-124.99</ns0:v>
      </ns0:c>
      <ns0:c r="G161" s="43">
        <ns0:f t="shared" si="103"/>
        <ns0:v>-160.65</ns0:v>
      </ns0:c>
      <ns0:c r="H161" s="43">
        <ns0:f t="shared" si="103"/>
        <ns0:v>-65.63</ns0:v>
      </ns0:c>
      <ns0:c r="I161" s="43">
        <ns0:f t="shared" si="103"/>
        <ns0:v>-36.5</ns0:v>
      </ns0:c>
      <ns0:c r="J161" s="43">
        <ns0:f t="shared" si="103"/>
        <ns0:v>4.27000000000004</ns0:v>
      </ns0:c>
      <ns0:c r="K161" s="43">
        <ns0:f t="shared" si="103"/>
        <ns0:v>-26.88</ns0:v>
      </ns0:c>
      <ns0:c r="L161" s="43">
        <ns0:f t="shared" si="103"/>
        <ns0:v>-67.25</ns0:v>
      </ns0:c>
      <ns0:c r="M161" s="43">
        <ns0:f t="shared" si="103"/>
        <ns0:v>-67.76</ns0:v>
      </ns0:c>
      <ns0:c r="N161" s="43">
        <ns0:f t="shared" si="103"/>
        <ns0:v>-35.76</ns0:v>
      </ns0:c>
      <ns0:c r="O161" s="43">
        <ns0:f t="shared" si="103"/>
        <ns0:v>27.13</ns0:v>
      </ns0:c>
      <ns0:c r="P161" s="43">
        <ns0:f t="shared" si="103"/>
        <ns0:v>125.04</ns0:v>
      </ns0:c>
      <ns0:c r="Q161" s="43">
        <ns0:f t="shared" si="103"/>
        <ns0:v>81.6</ns0:v>
      </ns0:c>
      <ns0:c r="R161" s="43">
        <ns0:f t="shared" si="103"/>
        <ns0:v>12.42</ns0:v>
      </ns0:c>
      <ns0:c r="S161" s="43">
        <ns0:f t="shared" si="103"/>
        <ns0:v>72.32</ns0:v>
      </ns0:c>
      <ns0:c r="T161" s="43">
        <ns0:f t="shared" si="103"/>
        <ns0:v>61</ns0:v>
      </ns0:c>
      <ns0:c r="U161" s="43">
        <ns0:f t="shared" si="103"/>
        <ns0:v>174.43</ns0:v>
      </ns0:c>
      <ns0:c r="V161" s="43">
        <ns0:f t="shared" si="103"/>
        <ns0:v>22.78</ns0:v>
      </ns0:c>
      <ns0:c r="W161" s="43">
        <ns0:f t="shared" si="103"/>
        <ns0:v>22.66</ns0:v>
      </ns0:c>
      <ns0:c r="X161" s="43">
        <ns0:f t="shared" si="103"/>
        <ns0:v>55.21</ns0:v>
      </ns0:c>
      <ns0:c r="Y161" s="43">
        <ns0:f t="shared" si="103"/>
        <ns0:v>136.67</ns0:v>
      </ns0:c>
      <ns0:c r="Z161" s="43">
        <ns0:f t="shared" si="103"/>
        <ns0:v>80.03</ns0:v>
      </ns0:c>
      <ns0:c r="AA161" s="43">
        <ns0:f t="shared" si="103"/>
        <ns0:v>78.27</ns0:v>
      </ns0:c>
      <ns0:c r="AB161" s="43">
        <ns0:f t="shared" si="103"/>
        <ns0:v>32.6</ns0:v>
      </ns0:c>
      <ns0:c r="AC161" s="43">
        <ns0:f t="shared" si="103"/>
        <ns0:v>2.74000000000001</ns0:v>
      </ns0:c>
    </ns0:row>
    <ns0:row r="162" spans="1:29">
      <ns0:c r="A162" s="32"/>
      <ns0:c r="B162" s="33"/>
      <ns0:c r="C162" s="36" t="s">
        <ns0:v>52</ns0:v>
      </ns0:c>
      <ns0:c r="D162" s="37"/>
      <ns0:c r="E162" s="26">
        <ns0:f t="shared" ref="E162:E166" si="104">SUM(F162:AC162)</ns0:f>
        <ns0:v>-15.4418279999999</ns0:v>
      </ns0:c>
      <ns0:c r="F162" s="43">
        <ns0:f t="shared" ref="F162:AC162" si="105">(-F158*F161)*1</ns0:f>
        <ns0:v>-53.695704</ns0:v>
      </ns0:c>
      <ns0:c r="G162" s="43">
        <ns0:f t="shared" si="105"/>
        <ns0:v>-63.36036</ns0:v>
      </ns0:c>
      <ns0:c r="H162" s="43">
        <ns0:f t="shared" si="105"/>
        <ns0:v>-29.20535</ns0:v>
      </ns0:c>
      <ns0:c r="I162" s="43">
        <ns0:f t="shared" si="105"/>
        <ns0:v>-13.8773</ns0:v>
      </ns0:c>
      <ns0:c r="J162" s="43">
        <ns0:f t="shared" si="105"/>
        <ns0:v>1.63199400000001</ns0:v>
      </ns0:c>
      <ns0:c r="K162" s="43">
        <ns0:f t="shared" si="105"/>
        <ns0:v>-14.3136</ns0:v>
      </ns0:c>
      <ns0:c r="L162" s="43">
        <ns0:f t="shared" si="105"/>
        <ns0:v>-32.528825</ns0:v>
      </ns0:c>
      <ns0:c r="M162" s="43">
        <ns0:f t="shared" si="105"/>
        <ns0:v>-24.779832</ns0:v>
      </ns0:c>
      <ns0:c r="N162" s="43">
        <ns0:f t="shared" si="105"/>
        <ns0:v>15.333888</ns0:v>
      </ns0:c>
      <ns0:c r="O162" s="43">
        <ns0:f t="shared" si="105"/>
        <ns0:v>-30.735577</ns0:v>
      </ns0:c>
      <ns0:c r="P162" s="43">
        <ns0:f t="shared" si="105"/>
        <ns0:v>-87.352944</ns0:v>
      </ns0:c>
      <ns0:c r="Q162" s="43">
        <ns0:f t="shared" si="105"/>
        <ns0:v>16.14048</ns0:v>
      </ns0:c>
      <ns0:c r="R162" s="43">
        <ns0:f t="shared" si="105"/>
        <ns0:v>5.996376</ns0:v>
      </ns0:c>
      <ns0:c r="S162" s="43">
        <ns0:f t="shared" si="105"/>
        <ns0:v>51.260416</ns0:v>
      </ns0:c>
      <ns0:c r="T162" s="43">
        <ns0:f t="shared" si="105"/>
        <ns0:v>49.0135</ns0:v>
      </ns0:c>
      <ns0:c r="U162" s="43">
        <ns0:f t="shared" si="105"/>
        <ns0:v>67.574182</ns0:v>
      </ns0:c>
      <ns0:c r="V162" s="43">
        <ns0:f t="shared" si="105"/>
        <ns0:v>-10.601812</ns0:v>
      </ns0:c>
      <ns0:c r="W162" s="43">
        <ns0:f t="shared" si="105"/>
        <ns0:v>-8.11228000000001</ns0:v>
      </ns0:c>
      <ns0:c r="X162" s="43">
        <ns0:f t="shared" si="105"/>
        <ns0:v>-14.404289</ns0:v>
      </ns0:c>
      <ns0:c r="Y162" s="43">
        <ns0:f t="shared" si="105"/>
        <ns0:v>83.177362</ns0:v>
      </ns0:c>
      <ns0:c r="Z162" s="43">
        <ns0:f t="shared" si="105"/>
        <ns0:v>37.990241</ns0:v>
      </ns0:c>
      <ns0:c r="AA162" s="43">
        <ns0:f t="shared" si="105"/>
        <ns0:v>27.097074</ns0:v>
      </ns0:c>
      <ns0:c r="AB162" s="43">
        <ns0:f t="shared" si="105"/>
        <ns0:v>11.39044</ns0:v>
      </ns0:c>
      <ns0:c r="AC162" s="43">
        <ns0:f t="shared" si="105"/>
        <ns0:v>0.920092000000003</ns0:v>
      </ns0:c>
    </ns0:row>
    <ns0:row r="163" spans="1:29">
      <ns0:c r="A163" s="32"/>
      <ns0:c r="B163" s="33"/>
      <ns0:c r="C163" s="38" t="s">
        <ns0:v>53</ns0:v>
      </ns0:c>
      <ns0:c r="D163" s="37"/>
      <ns0:c r="E163" s="26">
        <ns0:f t="shared" si="104"/>
        <ns0:v>-18.4499819999999</ns0:v>
      </ns0:c>
      <ns0:c r="F163" s="43">
        <ns0:f t="shared" ref="F163:AC163" si="106">(IF(F162&gt;0,ABS(MIN(F157*0.2,ABS(F158))*F161),F162))*1</ns0:f>
        <ns0:v>-53.695704</ns0:v>
      </ns0:c>
      <ns0:c r="G163" s="43">
        <ns0:f t="shared" si="106"/>
        <ns0:v>-63.36036</ns0:v>
      </ns0:c>
      <ns0:c r="H163" s="43">
        <ns0:f t="shared" si="106"/>
        <ns0:v>-29.20535</ns0:v>
      </ns0:c>
      <ns0:c r="I163" s="43">
        <ns0:f t="shared" si="106"/>
        <ns0:v>-13.8773</ns0:v>
      </ns0:c>
      <ns0:c r="J163" s="43">
        <ns0:f t="shared" si="106"/>
        <ns0:v>1.55701280000001</ns0:v>
      </ns0:c>
      <ns0:c r="K163" s="43">
        <ns0:f t="shared" si="106"/>
        <ns0:v>-14.3136</ns0:v>
      </ns0:c>
      <ns0:c r="L163" s="43">
        <ns0:f t="shared" si="106"/>
        <ns0:v>-32.528825</ns0:v>
      </ns0:c>
      <ns0:c r="M163" s="43">
        <ns0:f t="shared" si="106"/>
        <ns0:v>-24.779832</ns0:v>
      </ns0:c>
      <ns0:c r="N163" s="43">
        <ns0:f t="shared" si="106"/>
        <ns0:v>15.333888</ns0:v>
      </ns0:c>
      <ns0:c r="O163" s="43">
        <ns0:f t="shared" si="106"/>
        <ns0:v>-30.735577</ns0:v>
      </ns0:c>
      <ns0:c r="P163" s="43">
        <ns0:f t="shared" si="106"/>
        <ns0:v>-87.352944</ns0:v>
      </ns0:c>
      <ns0:c r="Q163" s="43">
        <ns0:f t="shared" si="106"/>
        <ns0:v>16.14048</ns0:v>
      </ns0:c>
      <ns0:c r="R163" s="43">
        <ns0:f t="shared" si="106"/>
        <ns0:v>5.996376</ns0:v>
      </ns0:c>
      <ns0:c r="S163" s="43">
        <ns0:f t="shared" si="106"/>
        <ns0:v>48.4370432</ns0:v>
      </ns0:c>
      <ns0:c r="T163" s="43">
        <ns0:f t="shared" si="106"/>
        <ns0:v>48.9037</ns0:v>
      </ns0:c>
      <ns0:c r="U163" s="43">
        <ns0:f t="shared" si="106"/>
        <ns0:v>67.574182</ns0:v>
      </ns0:c>
      <ns0:c r="V163" s="43">
        <ns0:f t="shared" si="106"/>
        <ns0:v>-10.601812</ns0:v>
      </ns0:c>
      <ns0:c r="W163" s="43">
        <ns0:f t="shared" si="106"/>
        <ns0:v>-8.11228000000001</ns0:v>
      </ns0:c>
      <ns0:c r="X163" s="43">
        <ns0:f t="shared" si="106"/>
        <ns0:v>-14.404289</ns0:v>
      </ns0:c>
      <ns0:c r="Y163" s="43">
        <ns0:f t="shared" si="106"/>
        <ns0:v>83.177362</ns0:v>
      </ns0:c>
      <ns0:c r="Z163" s="43">
        <ns0:f t="shared" si="106"/>
        <ns0:v>37.990241</ns0:v>
      </ns0:c>
      <ns0:c r="AA163" s="43">
        <ns0:f t="shared" si="106"/>
        <ns0:v>27.097074</ns0:v>
      </ns0:c>
      <ns0:c r="AB163" s="43">
        <ns0:f t="shared" si="106"/>
        <ns0:v>11.39044</ns0:v>
      </ns0:c>
      <ns0:c r="AC163" s="43">
        <ns0:f t="shared" si="106"/>
        <ns0:v>0.920092000000003</ns0:v>
      </ns0:c>
    </ns0:row>
    <ns0:row r="164" spans="1:29">
      <ns0:c r="A164" s="32"/>
      <ns0:c r="B164" s="33"/>
      <ns0:c r="C164" s="39" t="s">
        <ns0:v>50</ns0:v>
      </ns0:c>
      <ns0:c r="D164" s="37"/>
      <ns0:c r="E164" s="44">
        <ns0:f>E162-E163</ns0:f>
        <ns0:v>3.00815399999999</ns0:v>
      </ns0:c>
      <ns0:c r="F164" s="26">
        <ns0:f t="shared" ref="F164:AC164" si="107">(F162-F163)*1</ns0:f>
        <ns0:v>0</ns0:v>
      </ns0:c>
      <ns0:c r="G164" s="26">
        <ns0:f t="shared" si="107"/>
        <ns0:v>0</ns0:v>
      </ns0:c>
      <ns0:c r="H164" s="26">
        <ns0:f t="shared" si="107"/>
        <ns0:v>0</ns0:v>
      </ns0:c>
      <ns0:c r="I164" s="26">
        <ns0:f t="shared" si="107"/>
        <ns0:v>0</ns0:v>
      </ns0:c>
      <ns0:c r="J164" s="26">
        <ns0:f t="shared" si="107"/>
        <ns0:v>0.0749812000000001</ns0:v>
      </ns0:c>
      <ns0:c r="K164" s="26">
        <ns0:f t="shared" si="107"/>
        <ns0:v>0</ns0:v>
      </ns0:c>
      <ns0:c r="L164" s="26">
        <ns0:f t="shared" si="107"/>
        <ns0:v>0</ns0:v>
      </ns0:c>
      <ns0:c r="M164" s="26">
        <ns0:f t="shared" si="107"/>
        <ns0:v>0</ns0:v>
      </ns0:c>
      <ns0:c r="N164" s="26">
        <ns0:f t="shared" si="107"/>
        <ns0:v>0</ns0:v>
      </ns0:c>
      <ns0:c r="O164" s="26">
        <ns0:f t="shared" si="107"/>
        <ns0:v>0</ns0:v>
      </ns0:c>
      <ns0:c r="P164" s="26">
        <ns0:f t="shared" si="107"/>
        <ns0:v>0</ns0:v>
      </ns0:c>
      <ns0:c r="Q164" s="26">
        <ns0:f t="shared" si="107"/>
        <ns0:v>0</ns0:v>
      </ns0:c>
      <ns0:c r="R164" s="26">
        <ns0:f t="shared" si="107"/>
        <ns0:v>0</ns0:v>
      </ns0:c>
      <ns0:c r="S164" s="26">
        <ns0:f t="shared" si="107"/>
        <ns0:v>2.82337279999999</ns0:v>
      </ns0:c>
      <ns0:c r="T164" s="26">
        <ns0:f t="shared" si="107"/>
        <ns0:v>0.109799999999979</ns0:v>
      </ns0:c>
      <ns0:c r="U164" s="26">
        <ns0:f t="shared" si="107"/>
        <ns0:v>0</ns0:v>
      </ns0:c>
      <ns0:c r="V164" s="26">
        <ns0:f t="shared" si="107"/>
        <ns0:v>0</ns0:v>
      </ns0:c>
      <ns0:c r="W164" s="26">
        <ns0:f t="shared" si="107"/>
        <ns0:v>0</ns0:v>
      </ns0:c>
      <ns0:c r="X164" s="26">
        <ns0:f t="shared" si="107"/>
        <ns0:v>0</ns0:v>
      </ns0:c>
      <ns0:c r="Y164" s="26">
        <ns0:f t="shared" si="107"/>
        <ns0:v>0</ns0:v>
      </ns0:c>
      <ns0:c r="Z164" s="26">
        <ns0:f t="shared" si="107"/>
        <ns0:v>0</ns0:v>
      </ns0:c>
      <ns0:c r="AA164" s="26">
        <ns0:f t="shared" si="107"/>
        <ns0:v>0</ns0:v>
      </ns0:c>
      <ns0:c r="AB164" s="26">
        <ns0:f t="shared" si="107"/>
        <ns0:v>0</ns0:v>
      </ns0:c>
      <ns0:c r="AC164" s="26">
        <ns0:f t="shared" si="107"/>
        <ns0:v>0</ns0:v>
      </ns0:c>
    </ns0:row>
    <ns0:row r="165" spans="1:29">
      <ns0:c r="A165" s="29">
        <ns0:v>46010</ns0:v>
      </ns0:c>
      <ns0:c r="B165" s="30">
        <ns0:f>E172</ns0:f>
        <ns0:v>312.344085</ns0:v>
      </ns0:c>
      <ns0:c r="C165" s="31" t="s">
        <ns0:v>47</ns0:v>
      </ns0:c>
      <ns0:c r="D165" s="31" t="s">
        <ns0:v>48</ns0:v>
      </ns0:c>
      <ns0:c r="E165" s="42">
        <ns0:f t="shared" si="104"/>
        <ns0:v>49.533</ns0:v>
      </ns0:c>
      <ns0:c r="F165" s="43">
        <ns0:v>1.305</ns0:v>
      </ns0:c>
      <ns0:c r="G165" s="43">
        <ns0:v>1.286</ns0:v>
      </ns0:c>
      <ns0:c r="H165" s="43">
        <ns0:v>1.283</ns0:v>
      </ns0:c>
      <ns0:c r="I165" s="43">
        <ns0:v>1.249</ns0:v>
      </ns0:c>
      <ns0:c r="J165" s="43">
        <ns0:v>1.257</ns0:v>
      </ns0:c>
      <ns0:c r="K165" s="43">
        <ns0:v>1.105</ns0:v>
      </ns0:c>
      <ns0:c r="L165" s="43">
        <ns0:v>1.081</ns0:v>
      </ns0:c>
      <ns0:c r="M165" s="43">
        <ns0:v>1.581</ns0:v>
      </ns0:c>
      <ns0:c r="N165" s="43">
        <ns0:v>3.056</ns0:v>
      </ns0:c>
      <ns0:c r="O165" s="43">
        <ns0:v>3.2</ns0:v>
      </ns0:c>
      <ns0:c r="P165" s="43">
        <ns0:v>2.511</ns0:v>
      </ns0:c>
      <ns0:c r="Q165" s="43">
        <ns0:v>2.362</ns0:v>
      </ns0:c>
      <ns0:c r="R165" s="43">
        <ns0:v>1.843</ns0:v>
      </ns0:c>
      <ns0:c r="S165" s="43">
        <ns0:v>2.161</ns0:v>
      </ns0:c>
      <ns0:c r="T165" s="43">
        <ns0:v>2.65</ns0:v>
      </ns0:c>
      <ns0:c r="U165" s="43">
        <ns0:v>3.012</ns0:v>
      </ns0:c>
      <ns0:c r="V165" s="43">
        <ns0:v>3.085</ns0:v>
      </ns0:c>
      <ns0:c r="W165" s="43">
        <ns0:v>2.944</ns0:v>
      </ns0:c>
      <ns0:c r="X165" s="43">
        <ns0:v>2.659</ns0:v>
      </ns0:c>
      <ns0:c r="Y165" s="43">
        <ns0:v>2.689</ns0:v>
      </ns0:c>
      <ns0:c r="Z165" s="43">
        <ns0:v>2.343</ns0:v>
      </ns0:c>
      <ns0:c r="AA165" s="43">
        <ns0:v>1.889</ns0:v>
      </ns0:c>
      <ns0:c r="AB165" s="43">
        <ns0:v>1.319</ns0:v>
      </ns0:c>
      <ns0:c r="AC165" s="43">
        <ns0:v>1.663</ns0:v>
      </ns0:c>
    </ns0:row>
    <ns0:row r="166" spans="1:29">
      <ns0:c r="A166" s="32"/>
      <ns0:c r="B166" s="33"/>
      <ns0:c r="C166" s="32"/>
      <ns0:c r="D166" s="6" t="s">
        <ns0:v>49</ns0:v>
      </ns0:c>
      <ns0:c r="E166" s="42">
        <ns0:f t="shared" si="104"/>
        <ns0:v>71.381</ns0:v>
      </ns0:c>
      <ns0:c r="F166" s="43">
        <ns0:v>1.886</ns0:v>
      </ns0:c>
      <ns0:c r="G166" s="43">
        <ns0:v>1.921</ns0:v>
      </ns0:c>
      <ns0:c r="H166" s="43">
        <ns0:v>1.915</ns0:v>
      </ns0:c>
      <ns0:c r="I166" s="43">
        <ns0:v>1.8169</ns0:v>
      </ns0:c>
      <ns0:c r="J166" s="43">
        <ns0:v>1.7748</ns0:v>
      </ns0:c>
      <ns0:c r="K166" s="43">
        <ns0:v>1.8623</ns0:v>
      </ns0:c>
      <ns0:c r="L166" s="43">
        <ns0:v>1.7454</ns0:v>
      </ns0:c>
      <ns0:c r="M166" s="43">
        <ns0:v>2.1454</ns0:v>
      </ns0:c>
      <ns0:c r="N166" s="43">
        <ns0:v>4.1406</ns0:v>
      </ns0:c>
      <ns0:c r="O166" s="43">
        <ns0:v>4.3079</ns0:v>
      </ns0:c>
      <ns0:c r="P166" s="43">
        <ns0:v>3.8378</ns0:v>
      </ns0:c>
      <ns0:c r="Q166" s="43">
        <ns0:v>3.8074</ns0:v>
      </ns0:c>
      <ns0:c r="R166" s="43">
        <ns0:v>2.9516</ns0:v>
      </ns0:c>
      <ns0:c r="S166" s="43">
        <ns0:v>3.5495</ns0:v>
      </ns0:c>
      <ns0:c r="T166" s="43">
        <ns0:v>4.24</ns0:v>
      </ns0:c>
      <ns0:c r="U166" s="43">
        <ns0:v>3.9499</ns0:v>
      </ns0:c>
      <ns0:c r="V166" s="43">
        <ns0:v>4.0738</ns0:v>
      </ns0:c>
      <ns0:c r="W166" s="43">
        <ns0:v>3.9214</ns0:v>
      </ns0:c>
      <ns0:c r="X166" s="43">
        <ns0:v>3.5182</ns0:v>
      </ns0:c>
      <ns0:c r="Y166" s="43">
        <ns0:v>3.8202</ns0:v>
      </ns0:c>
      <ns0:c r="Z166" s="43">
        <ns0:v>3.4038</ns0:v>
      </ns0:c>
      <ns0:c r="AA166" s="43">
        <ns0:v>2.8079</ns0:v>
      </ns0:c>
      <ns0:c r="AB166" s="43">
        <ns0:v>2.2022</ns0:v>
      </ns0:c>
      <ns0:c r="AC166" s="43">
        <ns0:v>1.782</ns0:v>
      </ns0:c>
    </ns0:row>
    <ns0:row r="167" spans="1:29">
      <ns0:c r="A167" s="32"/>
      <ns0:c r="B167" s="33"/>
      <ns0:c r="C167" s="34"/>
      <ns0:c r="D167" s="31" t="s">
        <ns0:v>50</ns0:v>
      </ns0:c>
      <ns0:c r="E167" s="26">
        <ns0:f>E165-E166</ns0:f>
        <ns0:v>-21.848</ns0:v>
      </ns0:c>
      <ns0:c r="F167" s="43">
        <ns0:f t="shared" ref="F167:AC167" si="108">(F165-F166)*1</ns0:f>
        <ns0:v>-0.581</ns0:v>
      </ns0:c>
      <ns0:c r="G167" s="43">
        <ns0:f t="shared" si="108"/>
        <ns0:v>-0.635</ns0:v>
      </ns0:c>
      <ns0:c r="H167" s="43">
        <ns0:f t="shared" si="108"/>
        <ns0:v>-0.632</ns0:v>
      </ns0:c>
      <ns0:c r="I167" s="43">
        <ns0:f t="shared" si="108"/>
        <ns0:v>-0.5679</ns0:v>
      </ns0:c>
      <ns0:c r="J167" s="43">
        <ns0:f t="shared" si="108"/>
        <ns0:v>-0.5178</ns0:v>
      </ns0:c>
      <ns0:c r="K167" s="43">
        <ns0:f t="shared" si="108"/>
        <ns0:v>-0.7573</ns0:v>
      </ns0:c>
      <ns0:c r="L167" s="43">
        <ns0:f t="shared" si="108"/>
        <ns0:v>-0.6644</ns0:v>
      </ns0:c>
      <ns0:c r="M167" s="43">
        <ns0:f t="shared" si="108"/>
        <ns0:v>-0.5644</ns0:v>
      </ns0:c>
      <ns0:c r="N167" s="43">
        <ns0:f t="shared" si="108"/>
        <ns0:v>-1.0846</ns0:v>
      </ns0:c>
      <ns0:c r="O167" s="43">
        <ns0:f t="shared" si="108"/>
        <ns0:v>-1.1079</ns0:v>
      </ns0:c>
      <ns0:c r="P167" s="43">
        <ns0:f t="shared" si="108"/>
        <ns0:v>-1.3268</ns0:v>
      </ns0:c>
      <ns0:c r="Q167" s="43">
        <ns0:f t="shared" si="108"/>
        <ns0:v>-1.4454</ns0:v>
      </ns0:c>
      <ns0:c r="R167" s="43">
        <ns0:f t="shared" si="108"/>
        <ns0:v>-1.1086</ns0:v>
      </ns0:c>
      <ns0:c r="S167" s="43">
        <ns0:f t="shared" si="108"/>
        <ns0:v>-1.3885</ns0:v>
      </ns0:c>
      <ns0:c r="T167" s="43">
        <ns0:f t="shared" si="108"/>
        <ns0:v>-1.59</ns0:v>
      </ns0:c>
      <ns0:c r="U167" s="43">
        <ns0:f t="shared" si="108"/>
        <ns0:v>-0.9379</ns0:v>
      </ns0:c>
      <ns0:c r="V167" s="43">
        <ns0:f t="shared" si="108"/>
        <ns0:v>-0.9888</ns0:v>
      </ns0:c>
      <ns0:c r="W167" s="43">
        <ns0:f t="shared" si="108"/>
        <ns0:v>-0.9774</ns0:v>
      </ns0:c>
      <ns0:c r="X167" s="43">
        <ns0:f t="shared" si="108"/>
        <ns0:v>-0.8592</ns0:v>
      </ns0:c>
      <ns0:c r="Y167" s="43">
        <ns0:f t="shared" si="108"/>
        <ns0:v>-1.1312</ns0:v>
      </ns0:c>
      <ns0:c r="Z167" s="43">
        <ns0:f t="shared" si="108"/>
        <ns0:v>-1.0608</ns0:v>
      </ns0:c>
      <ns0:c r="AA167" s="43">
        <ns0:f t="shared" si="108"/>
        <ns0:v>-0.9189</ns0:v>
      </ns0:c>
      <ns0:c r="AB167" s="43">
        <ns0:f t="shared" si="108"/>
        <ns0:v>-0.8832</ns0:v>
      </ns0:c>
      <ns0:c r="AC167" s="43">
        <ns0:f t="shared" si="108"/>
        <ns0:v>-0.119</ns0:v>
      </ns0:c>
    </ns0:row>
    <ns0:row r="168" spans="1:29">
      <ns0:c r="A168" s="32"/>
      <ns0:c r="B168" s="33"/>
      <ns0:c r="C168" s="35" t="s">
        <ns0:v>51</ns0:v>
      </ns0:c>
      <ns0:c r="D168" s="31" t="s">
        <ns0:v>48</ns0:v>
      </ns0:c>
      <ns0:c r="E168" s="31">
        <ns0:f>AVERAGE(F168:AC168)</ns0:f>
        <ns0:v>354.932083333333</ns0:v>
      </ns0:c>
      <ns0:c r="F168" s="43">
        <ns0:v>344.19</ns0:v>
      </ns0:c>
      <ns0:c r="G168" s="43">
        <ns0:v>333.32</ns0:v>
      </ns0:c>
      <ns0:c r="H168" s="43">
        <ns0:v>308.43</ns0:v>
      </ns0:c>
      <ns0:c r="I168" s="43">
        <ns0:v>321.89</ns0:v>
      </ns0:c>
      <ns0:c r="J168" s="43">
        <ns0:v>327.68</ns0:v>
      </ns0:c>
      <ns0:c r="K168" s="43">
        <ns0:v>323.42</ns0:v>
      </ns0:c>
      <ns0:c r="L168" s="43">
        <ns0:v>350.36</ns0:v>
      </ns0:c>
      <ns0:c r="M168" s="43">
        <ns0:v>372.22</ns0:v>
      </ns0:c>
      <ns0:c r="N168" s="43">
        <ns0:v>404.8</ns0:v>
      </ns0:c>
      <ns0:c r="O168" s="43">
        <ns0:v>352.34</ns0:v>
      </ns0:c>
      <ns0:c r="P168" s="43">
        <ns0:v>298.43</ns0:v>
      </ns0:c>
      <ns0:c r="Q168" s="43">
        <ns0:v>265.97</ns0:v>
      </ns0:c>
      <ns0:c r="R168" s="43">
        <ns0:v>191.74</ns0:v>
      </ns0:c>
      <ns0:c r="S168" s="43">
        <ns0:v>225.97</ns0:v>
      </ns0:c>
      <ns0:c r="T168" s="43">
        <ns0:v>280.1</ns0:v>
      </ns0:c>
      <ns0:c r="U168" s="43">
        <ns0:v>259.45</ns0:v>
      </ns0:c>
      <ns0:c r="V168" s="43">
        <ns0:v>346.35</ns0:v>
      </ns0:c>
      <ns0:c r="W168" s="43">
        <ns0:v>448.04</ns0:v>
      </ns0:c>
      <ns0:c r="X168" s="43">
        <ns0:v>526.63</ns0:v>
      </ns0:c>
      <ns0:c r="Y168" s="43">
        <ns0:v>505.02</ns0:v>
      </ns0:c>
      <ns0:c r="Z168" s="43">
        <ns0:v>491.5</ns0:v>
      </ns0:c>
      <ns0:c r="AA168" s="43">
        <ns0:v>486.22</ns0:v>
      </ns0:c>
      <ns0:c r="AB168" s="43">
        <ns0:v>408.12</ns0:v>
      </ns0:c>
      <ns0:c r="AC168" s="43">
        <ns0:v>346.18</ns0:v>
      </ns0:c>
    </ns0:row>
    <ns0:row r="169" spans="1:29">
      <ns0:c r="A169" s="32"/>
      <ns0:c r="B169" s="33"/>
      <ns0:c r="C169" s="32"/>
      <ns0:c r="D169" s="31" t="s">
        <ns0:v>49</ns0:v>
      </ns0:c>
      <ns0:c r="E169" s="31">
        <ns0:f>AVERAGE(F169:AC169)</ns0:f>
        <ns0:v>331.019166666667</ns0:v>
      </ns0:c>
      <ns0:c r="F169" s="43">
        <ns0:v>322.18</ns0:v>
      </ns0:c>
      <ns0:c r="G169" s="43">
        <ns0:v>309.22</ns0:v>
      </ns0:c>
      <ns0:c r="H169" s="43">
        <ns0:v>301.27</ns0:v>
      </ns0:c>
      <ns0:c r="I169" s="43">
        <ns0:v>296.59</ns0:v>
      </ns0:c>
      <ns0:c r="J169" s="43">
        <ns0:v>282.04</ns0:v>
      </ns0:c>
      <ns0:c r="K169" s="43">
        <ns0:v>298.91</ns0:v>
      </ns0:c>
      <ns0:c r="L169" s="43">
        <ns0:v>329.83</ns0:v>
      </ns0:c>
      <ns0:c r="M169" s="43">
        <ns0:v>361.18</ns0:v>
      </ns0:c>
      <ns0:c r="N169" s="43">
        <ns0:v>438.96</ns0:v>
      </ns0:c>
      <ns0:c r="O169" s="43">
        <ns0:v>365.13</ns0:v>
      </ns0:c>
      <ns0:c r="P169" s="43">
        <ns0:v>254.87</ns0:v>
      </ns0:c>
      <ns0:c r="Q169" s="43">
        <ns0:v>201.45</ns0:v>
      </ns0:c>
      <ns0:c r="R169" s="43">
        <ns0:v>115.91</ns0:v>
      </ns0:c>
      <ns0:c r="S169" s="43">
        <ns0:v>209.72</ns0:v>
      </ns0:c>
      <ns0:c r="T169" s="43">
        <ns0:v>219.84</ns0:v>
      </ns0:c>
      <ns0:c r="U169" s="43">
        <ns0:v>257.12</ns0:v>
      </ns0:c>
      <ns0:c r="V169" s="43">
        <ns0:v>325.94</ns0:v>
      </ns0:c>
      <ns0:c r="W169" s="43">
        <ns0:v>474.02</ns0:v>
      </ns0:c>
      <ns0:c r="X169" s="43">
        <ns0:v>523.05</ns0:v>
      </ns0:c>
      <ns0:c r="Y169" s="43">
        <ns0:v>479.85</ns0:v>
      </ns0:c>
      <ns0:c r="Z169" s="43">
        <ns0:v>427.3</ns0:v>
      </ns0:c>
      <ns0:c r="AA169" s="43">
        <ns0:v>408.07</ns0:v>
      </ns0:c>
      <ns0:c r="AB169" s="43">
        <ns0:v>398.83</ns0:v>
      </ns0:c>
      <ns0:c r="AC169" s="43">
        <ns0:v>343.18</ns0:v>
      </ns0:c>
    </ns0:row>
    <ns0:row r="170" spans="1:29">
      <ns0:c r="A170" s="32"/>
      <ns0:c r="B170" s="33"/>
      <ns0:c r="C170" s="34"/>
      <ns0:c r="D170" s="31" t="s">
        <ns0:v>50</ns0:v>
      </ns0:c>
      <ns0:c r="E170" s="26">
        <ns0:f>E168-E169</ns0:f>
        <ns0:v>23.9129166666667</ns0:v>
      </ns0:c>
      <ns0:c r="F170" s="43">
        <ns0:f t="shared" ref="F170:AC170" si="109">(F168-F169)*1</ns0:f>
        <ns0:v>22.01</ns0:v>
      </ns0:c>
      <ns0:c r="G170" s="43">
        <ns0:f t="shared" si="109"/>
        <ns0:v>24.1</ns0:v>
      </ns0:c>
      <ns0:c r="H170" s="43">
        <ns0:f t="shared" si="109"/>
        <ns0:v>7.16000000000003</ns0:v>
      </ns0:c>
      <ns0:c r="I170" s="43">
        <ns0:f t="shared" si="109"/>
        <ns0:v>25.3</ns0:v>
      </ns0:c>
      <ns0:c r="J170" s="43">
        <ns0:f t="shared" si="109"/>
        <ns0:v>45.64</ns0:v>
      </ns0:c>
      <ns0:c r="K170" s="43">
        <ns0:f t="shared" si="109"/>
        <ns0:v>24.51</ns0:v>
      </ns0:c>
      <ns0:c r="L170" s="43">
        <ns0:f t="shared" si="109"/>
        <ns0:v>20.53</ns0:v>
      </ns0:c>
      <ns0:c r="M170" s="43">
        <ns0:f t="shared" si="109"/>
        <ns0:v>11.04</ns0:v>
      </ns0:c>
      <ns0:c r="N170" s="43">
        <ns0:f t="shared" si="109"/>
        <ns0:v>-34.16</ns0:v>
      </ns0:c>
      <ns0:c r="O170" s="43">
        <ns0:f t="shared" si="109"/>
        <ns0:v>-12.79</ns0:v>
      </ns0:c>
      <ns0:c r="P170" s="43">
        <ns0:f t="shared" si="109"/>
        <ns0:v>43.56</ns0:v>
      </ns0:c>
      <ns0:c r="Q170" s="43">
        <ns0:f t="shared" si="109"/>
        <ns0:v>64.52</ns0:v>
      </ns0:c>
      <ns0:c r="R170" s="43">
        <ns0:f t="shared" si="109"/>
        <ns0:v>75.83</ns0:v>
      </ns0:c>
      <ns0:c r="S170" s="43">
        <ns0:f t="shared" si="109"/>
        <ns0:v>16.25</ns0:v>
      </ns0:c>
      <ns0:c r="T170" s="43">
        <ns0:f t="shared" si="109"/>
        <ns0:v>60.26</ns0:v>
      </ns0:c>
      <ns0:c r="U170" s="43">
        <ns0:f t="shared" si="109"/>
        <ns0:v>2.32999999999998</ns0:v>
      </ns0:c>
      <ns0:c r="V170" s="43">
        <ns0:f t="shared" si="109"/>
        <ns0:v>20.41</ns0:v>
      </ns0:c>
      <ns0:c r="W170" s="43">
        <ns0:f t="shared" si="109"/>
        <ns0:v>-25.98</ns0:v>
      </ns0:c>
      <ns0:c r="X170" s="43">
        <ns0:f t="shared" si="109"/>
        <ns0:v>3.58000000000004</ns0:v>
      </ns0:c>
      <ns0:c r="Y170" s="43">
        <ns0:f t="shared" si="109"/>
        <ns0:v>25.17</ns0:v>
      </ns0:c>
      <ns0:c r="Z170" s="43">
        <ns0:f t="shared" si="109"/>
        <ns0:v>64.2</ns0:v>
      </ns0:c>
      <ns0:c r="AA170" s="43">
        <ns0:f t="shared" si="109"/>
        <ns0:v>78.15</ns0:v>
      </ns0:c>
      <ns0:c r="AB170" s="43">
        <ns0:f t="shared" si="109"/>
        <ns0:v>9.29000000000002</ns0:v>
      </ns0:c>
      <ns0:c r="AC170" s="43">
        <ns0:f t="shared" si="109"/>
        <ns0:v>3</ns0:v>
      </ns0:c>
    </ns0:row>
    <ns0:row r="171" spans="1:29">
      <ns0:c r="A171" s="32"/>
      <ns0:c r="B171" s="33"/>
      <ns0:c r="C171" s="36" t="s">
        <ns0:v>52</ns0:v>
      </ns0:c>
      <ns0:c r="D171" s="37"/>
      <ns0:c r="E171" s="26">
        <ns0:f t="shared" ref="E171:E175" si="110">SUM(F171:AC171)</ns0:f>
        <ns0:v>588.322951</ns0:v>
      </ns0:c>
      <ns0:c r="F171" s="43">
        <ns0:f t="shared" ref="F171:AC171" si="111">(-F167*F170)*1</ns0:f>
        <ns0:v>12.78781</ns0:v>
      </ns0:c>
      <ns0:c r="G171" s="43">
        <ns0:f t="shared" si="111"/>
        <ns0:v>15.3035</ns0:v>
      </ns0:c>
      <ns0:c r="H171" s="43">
        <ns0:f t="shared" si="111"/>
        <ns0:v>4.52512000000002</ns0:v>
      </ns0:c>
      <ns0:c r="I171" s="43">
        <ns0:f t="shared" si="111"/>
        <ns0:v>14.36787</ns0:v>
      </ns0:c>
      <ns0:c r="J171" s="43">
        <ns0:f t="shared" si="111"/>
        <ns0:v>23.632392</ns0:v>
      </ns0:c>
      <ns0:c r="K171" s="43">
        <ns0:f t="shared" si="111"/>
        <ns0:v>18.561423</ns0:v>
      </ns0:c>
      <ns0:c r="L171" s="43">
        <ns0:f t="shared" si="111"/>
        <ns0:v>13.640132</ns0:v>
      </ns0:c>
      <ns0:c r="M171" s="43">
        <ns0:f t="shared" si="111"/>
        <ns0:v>6.230976</ns0:v>
      </ns0:c>
      <ns0:c r="N171" s="43">
        <ns0:f t="shared" si="111"/>
        <ns0:v>-37.049936</ns0:v>
      </ns0:c>
      <ns0:c r="O171" s="43">
        <ns0:f t="shared" si="111"/>
        <ns0:v>-14.170041</ns0:v>
      </ns0:c>
      <ns0:c r="P171" s="43">
        <ns0:f t="shared" si="111"/>
        <ns0:v>57.795408</ns0:v>
      </ns0:c>
      <ns0:c r="Q171" s="43">
        <ns0:f t="shared" si="111"/>
        <ns0:v>93.257208</ns0:v>
      </ns0:c>
      <ns0:c r="R171" s="43">
        <ns0:f t="shared" si="111"/>
        <ns0:v>84.065138</ns0:v>
      </ns0:c>
      <ns0:c r="S171" s="43">
        <ns0:f t="shared" si="111"/>
        <ns0:v>22.563125</ns0:v>
      </ns0:c>
      <ns0:c r="T171" s="43">
        <ns0:f t="shared" si="111"/>
        <ns0:v>95.8134</ns0:v>
      </ns0:c>
      <ns0:c r="U171" s="43">
        <ns0:f t="shared" si="111"/>
        <ns0:v>2.18530699999998</ns0:v>
      </ns0:c>
      <ns0:c r="V171" s="43">
        <ns0:f t="shared" si="111"/>
        <ns0:v>20.181408</ns0:v>
      </ns0:c>
      <ns0:c r="W171" s="43">
        <ns0:f t="shared" si="111"/>
        <ns0:v>-25.392852</ns0:v>
      </ns0:c>
      <ns0:c r="X171" s="43">
        <ns0:f t="shared" si="111"/>
        <ns0:v>3.07593600000004</ns0:v>
      </ns0:c>
      <ns0:c r="Y171" s="43">
        <ns0:f t="shared" si="111"/>
        <ns0:v>28.472304</ns0:v>
      </ns0:c>
      <ns0:c r="Z171" s="43">
        <ns0:f t="shared" si="111"/>
        <ns0:v>68.10336</ns0:v>
      </ns0:c>
      <ns0:c r="AA171" s="43">
        <ns0:f t="shared" si="111"/>
        <ns0:v>71.812035</ns0:v>
      </ns0:c>
      <ns0:c r="AB171" s="43">
        <ns0:f t="shared" si="111"/>
        <ns0:v>8.20492800000002</ns0:v>
      </ns0:c>
      <ns0:c r="AC171" s="43">
        <ns0:f t="shared" si="111"/>
        <ns0:v>0.357</ns0:v>
      </ns0:c>
    </ns0:row>
    <ns0:row r="172" spans="1:29">
      <ns0:c r="A172" s="32"/>
      <ns0:c r="B172" s="33"/>
      <ns0:c r="C172" s="38" t="s">
        <ns0:v>53</ns0:v>
      </ns0:c>
      <ns0:c r="D172" s="37"/>
      <ns0:c r="E172" s="26">
        <ns0:f t="shared" si="110"/>
        <ns0:v>312.344085</ns0:v>
      </ns0:c>
      <ns0:c r="F172" s="43">
        <ns0:f t="shared" ref="F172:AC172" si="112">(IF(F171&gt;0,ABS(MIN(F166*0.2,ABS(F167))*F170),F171))*1</ns0:f>
        <ns0:v>8.302172</ns0:v>
      </ns0:c>
      <ns0:c r="G172" s="43">
        <ns0:f t="shared" si="112"/>
        <ns0:v>9.25922</ns0:v>
      </ns0:c>
      <ns0:c r="H172" s="43">
        <ns0:f t="shared" si="112"/>
        <ns0:v>2.74228000000001</ns0:v>
      </ns0:c>
      <ns0:c r="I172" s="43">
        <ns0:f t="shared" si="112"/>
        <ns0:v>9.193514</ns0:v>
      </ns0:c>
      <ns0:c r="J172" s="43">
        <ns0:f t="shared" si="112"/>
        <ns0:v>16.2003744</ns0:v>
      </ns0:c>
      <ns0:c r="K172" s="43">
        <ns0:f t="shared" si="112"/>
        <ns0:v>9.1289946</ns0:v>
      </ns0:c>
      <ns0:c r="L172" s="43">
        <ns0:f t="shared" si="112"/>
        <ns0:v>7.1666124</ns0:v>
      </ns0:c>
      <ns0:c r="M172" s="43">
        <ns0:f t="shared" si="112"/>
        <ns0:v>4.7370432</ns0:v>
      </ns0:c>
      <ns0:c r="N172" s="43">
        <ns0:f t="shared" si="112"/>
        <ns0:v>-37.049936</ns0:v>
      </ns0:c>
      <ns0:c r="O172" s="43">
        <ns0:f t="shared" si="112"/>
        <ns0:v>-14.170041</ns0:v>
      </ns0:c>
      <ns0:c r="P172" s="43">
        <ns0:f t="shared" si="112"/>
        <ns0:v>33.4349136</ns0:v>
      </ns0:c>
      <ns0:c r="Q172" s="43">
        <ns0:f t="shared" si="112"/>
        <ns0:v>49.1306896</ns0:v>
      </ns0:c>
      <ns0:c r="R172" s="43">
        <ns0:f t="shared" si="112"/>
        <ns0:v>44.7639656</ns0:v>
      </ns0:c>
      <ns0:c r="S172" s="43">
        <ns0:f t="shared" si="112"/>
        <ns0:v>11.535875</ns0:v>
      </ns0:c>
      <ns0:c r="T172" s="43">
        <ns0:f t="shared" si="112"/>
        <ns0:v>51.10048</ns0:v>
      </ns0:c>
      <ns0:c r="U172" s="43">
        <ns0:f t="shared" si="112"/>
        <ns0:v>1.84065339999998</ns0:v>
      </ns0:c>
      <ns0:c r="V172" s="43">
        <ns0:f t="shared" si="112"/>
        <ns0:v>16.6292516</ns0:v>
      </ns0:c>
      <ns0:c r="W172" s="43">
        <ns0:f t="shared" si="112"/>
        <ns0:v>-25.392852</ns0:v>
      </ns0:c>
      <ns0:c r="X172" s="43">
        <ns0:f t="shared" si="112"/>
        <ns0:v>2.51903120000003</ns0:v>
      </ns0:c>
      <ns0:c r="Y172" s="43">
        <ns0:f t="shared" si="112"/>
        <ns0:v>19.2308868</ns0:v>
      </ns0:c>
      <ns0:c r="Z172" s="43">
        <ns0:f t="shared" si="112"/>
        <ns0:v>43.704792</ns0:v>
      </ns0:c>
      <ns0:c r="AA172" s="43">
        <ns0:f t="shared" si="112"/>
        <ns0:v>43.887477</ns0:v>
      </ns0:c>
      <ns0:c r="AB172" s="43">
        <ns0:f t="shared" si="112"/>
        <ns0:v>4.09168760000001</ns0:v>
      </ns0:c>
      <ns0:c r="AC172" s="43">
        <ns0:f t="shared" si="112"/>
        <ns0:v>0.357</ns0:v>
      </ns0:c>
    </ns0:row>
    <ns0:row r="173" spans="1:29">
      <ns0:c r="A173" s="32"/>
      <ns0:c r="B173" s="33"/>
      <ns0:c r="C173" s="39" t="s">
        <ns0:v>50</ns0:v>
      </ns0:c>
      <ns0:c r="D173" s="37"/>
      <ns0:c r="E173" s="44">
        <ns0:f>E171-E172</ns0:f>
        <ns0:v>275.978866</ns0:v>
      </ns0:c>
      <ns0:c r="F173" s="26">
        <ns0:f t="shared" ref="F173:AC173" si="113">(F171-F172)*1</ns0:f>
        <ns0:v>4.485638</ns0:v>
      </ns0:c>
      <ns0:c r="G173" s="26">
        <ns0:f t="shared" si="113"/>
        <ns0:v>6.04428</ns0:v>
      </ns0:c>
      <ns0:c r="H173" s="26">
        <ns0:f t="shared" si="113"/>
        <ns0:v>1.78284000000001</ns0:v>
      </ns0:c>
      <ns0:c r="I173" s="26">
        <ns0:f t="shared" si="113"/>
        <ns0:v>5.174356</ns0:v>
      </ns0:c>
      <ns0:c r="J173" s="26">
        <ns0:f t="shared" si="113"/>
        <ns0:v>7.4320176</ns0:v>
      </ns0:c>
      <ns0:c r="K173" s="26">
        <ns0:f t="shared" si="113"/>
        <ns0:v>9.4324284</ns0:v>
      </ns0:c>
      <ns0:c r="L173" s="26">
        <ns0:f t="shared" si="113"/>
        <ns0:v>6.4735196</ns0:v>
      </ns0:c>
      <ns0:c r="M173" s="26">
        <ns0:f t="shared" si="113"/>
        <ns0:v>1.4939328</ns0:v>
      </ns0:c>
      <ns0:c r="N173" s="26">
        <ns0:f t="shared" si="113"/>
        <ns0:v>0</ns0:v>
      </ns0:c>
      <ns0:c r="O173" s="26">
        <ns0:f t="shared" si="113"/>
        <ns0:v>0</ns0:v>
      </ns0:c>
      <ns0:c r="P173" s="26">
        <ns0:f t="shared" si="113"/>
        <ns0:v>24.3604944</ns0:v>
      </ns0:c>
      <ns0:c r="Q173" s="26">
        <ns0:f t="shared" si="113"/>
        <ns0:v>44.1265184</ns0:v>
      </ns0:c>
      <ns0:c r="R173" s="26">
        <ns0:f t="shared" si="113"/>
        <ns0:v>39.3011724</ns0:v>
      </ns0:c>
      <ns0:c r="S173" s="26">
        <ns0:f t="shared" si="113"/>
        <ns0:v>11.02725</ns0:v>
      </ns0:c>
      <ns0:c r="T173" s="26">
        <ns0:f t="shared" si="113"/>
        <ns0:v>44.71292</ns0:v>
      </ns0:c>
      <ns0:c r="U173" s="26">
        <ns0:f t="shared" si="113"/>
        <ns0:v>0.344653599999997</ns0:v>
      </ns0:c>
      <ns0:c r="V173" s="26">
        <ns0:f t="shared" si="113"/>
        <ns0:v>3.5521564</ns0:v>
      </ns0:c>
      <ns0:c r="W173" s="26">
        <ns0:f t="shared" si="113"/>
        <ns0:v>0</ns0:v>
      </ns0:c>
      <ns0:c r="X173" s="26">
        <ns0:f t="shared" si="113"/>
        <ns0:v>0.556904800000008</ns0:v>
      </ns0:c>
      <ns0:c r="Y173" s="26">
        <ns0:f t="shared" si="113"/>
        <ns0:v>9.24141719999999</ns0:v>
      </ns0:c>
      <ns0:c r="Z173" s="26">
        <ns0:f t="shared" si="113"/>
        <ns0:v>24.398568</ns0:v>
      </ns0:c>
      <ns0:c r="AA173" s="26">
        <ns0:f t="shared" si="113"/>
        <ns0:v>27.924558</ns0:v>
      </ns0:c>
      <ns0:c r="AB173" s="26">
        <ns0:f t="shared" si="113"/>
        <ns0:v>4.11324040000001</ns0:v>
      </ns0:c>
      <ns0:c r="AC173" s="26">
        <ns0:f t="shared" si="113"/>
        <ns0:v>0</ns0:v>
      </ns0:c>
    </ns0:row>
    <ns0:row r="174" spans="1:29">
      <ns0:c r="A174" s="29">
        <ns0:v>46011</ns0:v>
      </ns0:c>
      <ns0:c r="B174" s="30">
        <ns0:f>E181</ns0:f>
        <ns0:v>188.3217674</ns0:v>
      </ns0:c>
      <ns0:c r="C174" s="31" t="s">
        <ns0:v>47</ns0:v>
      </ns0:c>
      <ns0:c r="D174" s="31" t="s">
        <ns0:v>48</ns0:v>
      </ns0:c>
      <ns0:c r="E174" s="42">
        <ns0:f t="shared" si="110"/>
        <ns0:v>59.149</ns0:v>
      </ns0:c>
      <ns0:c r="F174" s="43">
        <ns0:v>1.782</ns0:v>
      </ns0:c>
      <ns0:c r="G174" s="43">
        <ns0:v>1.816</ns0:v>
      </ns0:c>
      <ns0:c r="H174" s="43">
        <ns0:v>1.605</ns0:v>
      </ns0:c>
      <ns0:c r="I174" s="43">
        <ns0:v>1.774</ns0:v>
      </ns0:c>
      <ns0:c r="J174" s="43">
        <ns0:v>1.761</ns0:v>
      </ns0:c>
      <ns0:c r="K174" s="43">
        <ns0:v>1.455</ns0:v>
      </ns0:c>
      <ns0:c r="L174" s="43">
        <ns0:v>1.27</ns0:v>
      </ns0:c>
      <ns0:c r="M174" s="43">
        <ns0:v>1.559</ns0:v>
      </ns0:c>
      <ns0:c r="N174" s="43">
        <ns0:v>3.821</ns0:v>
      </ns0:c>
      <ns0:c r="O174" s="43">
        <ns0:v>3.36</ns0:v>
      </ns0:c>
      <ns0:c r="P174" s="43">
        <ns0:v>2.813</ns0:v>
      </ns0:c>
      <ns0:c r="Q174" s="43">
        <ns0:v>3.092</ns0:v>
      </ns0:c>
      <ns0:c r="R174" s="43">
        <ns0:v>2.598</ns0:v>
      </ns0:c>
      <ns0:c r="S174" s="43">
        <ns0:v>3.502</ns0:v>
      </ns0:c>
      <ns0:c r="T174" s="43">
        <ns0:v>3.181</ns0:v>
      </ns0:c>
      <ns0:c r="U174" s="43">
        <ns0:v>3.084</ns0:v>
      </ns0:c>
      <ns0:c r="V174" s="43">
        <ns0:v>3.446</ns0:v>
      </ns0:c>
      <ns0:c r="W174" s="43">
        <ns0:v>3.931</ns0:v>
      </ns0:c>
      <ns0:c r="X174" s="43">
        <ns0:v>2.973</ns0:v>
      </ns0:c>
      <ns0:c r="Y174" s="43">
        <ns0:v>2.972</ns0:v>
      </ns0:c>
      <ns0:c r="Z174" s="43">
        <ns0:v>2.382</ns0:v>
      </ns0:c>
      <ns0:c r="AA174" s="43">
        <ns0:v>2.047</ns0:v>
      </ns0:c>
      <ns0:c r="AB174" s="43">
        <ns0:v>1.556</ns0:v>
      </ns0:c>
      <ns0:c r="AC174" s="43">
        <ns0:v>1.369</ns0:v>
      </ns0:c>
    </ns0:row>
    <ns0:row r="175" spans="1:29">
      <ns0:c r="A175" s="32"/>
      <ns0:c r="B175" s="33"/>
      <ns0:c r="C175" s="32"/>
      <ns0:c r="D175" s="6" t="s">
        <ns0:v>49</ns0:v>
      </ns0:c>
      <ns0:c r="E175" s="42">
        <ns0:f t="shared" si="110"/>
        <ns0:v>66.2765</ns0:v>
      </ns0:c>
      <ns0:c r="F175" s="43">
        <ns0:v>1.8671</ns0:v>
      </ns0:c>
      <ns0:c r="G175" s="43">
        <ns0:v>1.8788</ns0:v>
      </ns0:c>
      <ns0:c r="H175" s="43">
        <ns0:v>1.8638</ns0:v>
      </ns0:c>
      <ns0:c r="I175" s="43">
        <ns0:v>1.8551</ns0:v>
      </ns0:c>
      <ns0:c r="J175" s="43">
        <ns0:v>1.8132</ns0:v>
      </ns0:c>
      <ns0:c r="K175" s="43">
        <ns0:v>1.8266</ns0:v>
      </ns0:c>
      <ns0:c r="L175" s="43">
        <ns0:v>1.7026</ns0:v>
      </ns0:c>
      <ns0:c r="M175" s="43">
        <ns0:v>1.992</ns0:v>
      </ns0:c>
      <ns0:c r="N175" s="43">
        <ns0:v>4.1181</ns0:v>
      </ns0:c>
      <ns0:c r="O175" s="43">
        <ns0:v>4.2235</ns0:v>
      </ns0:c>
      <ns0:c r="P175" s="43">
        <ns0:v>3.6303</ns0:v>
      </ns0:c>
      <ns0:c r="Q175" s="43">
        <ns0:v>3.4053</ns0:v>
      </ns0:c>
      <ns0:c r="R175" s="43">
        <ns0:v>2.7456</ns0:v>
      </ns0:c>
      <ns0:c r="S175" s="43">
        <ns0:v>3.2922</ns0:v>
      </ns0:c>
      <ns0:c r="T175" s="43">
        <ns0:v>3.6809</ns0:v>
      </ns0:c>
      <ns0:c r="U175" s="43">
        <ns0:v>3.6145</ns0:v>
      </ns0:c>
      <ns0:c r="V175" s="43">
        <ns0:v>3.7971</ns0:v>
      </ns0:c>
      <ns0:c r="W175" s="43">
        <ns0:v>3.6434</ns0:v>
      </ns0:c>
      <ns0:c r="X175" s="43">
        <ns0:v>3.0952</ns0:v>
      </ns0:c>
      <ns0:c r="Y175" s="43">
        <ns0:v>3.238</ns0:v>
      </ns0:c>
      <ns0:c r="Z175" s="43">
        <ns0:v>2.9454</ns0:v>
      </ns0:c>
      <ns0:c r="AA175" s="43">
        <ns0:v>2.5736</ns0:v>
      </ns0:c>
      <ns0:c r="AB175" s="43">
        <ns0:v>1.8122</ns0:v>
      </ns0:c>
      <ns0:c r="AC175" s="43">
        <ns0:v>1.662</ns0:v>
      </ns0:c>
    </ns0:row>
    <ns0:row r="176" spans="1:29">
      <ns0:c r="A176" s="32"/>
      <ns0:c r="B176" s="33"/>
      <ns0:c r="C176" s="34"/>
      <ns0:c r="D176" s="31" t="s">
        <ns0:v>50</ns0:v>
      </ns0:c>
      <ns0:c r="E176" s="26">
        <ns0:f>E174-E175</ns0:f>
        <ns0:v>-7.12750000000003</ns0:v>
      </ns0:c>
      <ns0:c r="F176" s="43">
        <ns0:f t="shared" ref="F176:AC176" si="114">(F174-F175)*1</ns0:f>
        <ns0:v>-0.0851</ns0:v>
      </ns0:c>
      <ns0:c r="G176" s="43">
        <ns0:f t="shared" si="114"/>
        <ns0:v>-0.0628</ns0:v>
      </ns0:c>
      <ns0:c r="H176" s="43">
        <ns0:f t="shared" si="114"/>
        <ns0:v>-0.2588</ns0:v>
      </ns0:c>
      <ns0:c r="I176" s="43">
        <ns0:f t="shared" si="114"/>
        <ns0:v>-0.0810999999999999</ns0:v>
      </ns0:c>
      <ns0:c r="J176" s="43">
        <ns0:f t="shared" si="114"/>
        <ns0:v>-0.0522</ns0:v>
      </ns0:c>
      <ns0:c r="K176" s="43">
        <ns0:f t="shared" si="114"/>
        <ns0:v>-0.3716</ns0:v>
      </ns0:c>
      <ns0:c r="L176" s="43">
        <ns0:f t="shared" si="114"/>
        <ns0:v>-0.4326</ns0:v>
      </ns0:c>
      <ns0:c r="M176" s="43">
        <ns0:f t="shared" si="114"/>
        <ns0:v>-0.433</ns0:v>
      </ns0:c>
      <ns0:c r="N176" s="43">
        <ns0:f t="shared" si="114"/>
        <ns0:v>-0.2971</ns0:v>
      </ns0:c>
      <ns0:c r="O176" s="43">
        <ns0:f t="shared" si="114"/>
        <ns0:v>-0.8635</ns0:v>
      </ns0:c>
      <ns0:c r="P176" s="43">
        <ns0:f t="shared" si="114"/>
        <ns0:v>-0.8173</ns0:v>
      </ns0:c>
      <ns0:c r="Q176" s="43">
        <ns0:f t="shared" si="114"/>
        <ns0:v>-0.3133</ns0:v>
      </ns0:c>
      <ns0:c r="R176" s="43">
        <ns0:f t="shared" si="114"/>
        <ns0:v>-0.1476</ns0:v>
      </ns0:c>
      <ns0:c r="S176" s="43">
        <ns0:f t="shared" si="114"/>
        <ns0:v>0.2098</ns0:v>
      </ns0:c>
      <ns0:c r="T176" s="43">
        <ns0:f t="shared" si="114"/>
        <ns0:v>-0.4999</ns0:v>
      </ns0:c>
      <ns0:c r="U176" s="43">
        <ns0:f t="shared" si="114"/>
        <ns0:v>-0.5305</ns0:v>
      </ns0:c>
      <ns0:c r="V176" s="43">
        <ns0:f t="shared" si="114"/>
        <ns0:v>-0.3511</ns0:v>
      </ns0:c>
      <ns0:c r="W176" s="43">
        <ns0:f t="shared" si="114"/>
        <ns0:v>0.2876</ns0:v>
      </ns0:c>
      <ns0:c r="X176" s="43">
        <ns0:f t="shared" si="114"/>
        <ns0:v>-0.1222</ns0:v>
      </ns0:c>
      <ns0:c r="Y176" s="43">
        <ns0:f t="shared" si="114"/>
        <ns0:v>-0.266</ns0:v>
      </ns0:c>
      <ns0:c r="Z176" s="43">
        <ns0:f t="shared" si="114"/>
        <ns0:v>-0.5634</ns0:v>
      </ns0:c>
      <ns0:c r="AA176" s="43">
        <ns0:f t="shared" si="114"/>
        <ns0:v>-0.5266</ns0:v>
      </ns0:c>
      <ns0:c r="AB176" s="43">
        <ns0:f t="shared" si="114"/>
        <ns0:v>-0.2562</ns0:v>
      </ns0:c>
      <ns0:c r="AC176" s="43">
        <ns0:f t="shared" si="114"/>
        <ns0:v>-0.293</ns0:v>
      </ns0:c>
    </ns0:row>
    <ns0:row r="177" spans="1:29">
      <ns0:c r="A177" s="32"/>
      <ns0:c r="B177" s="33"/>
      <ns0:c r="C177" s="35" t="s">
        <ns0:v>51</ns0:v>
      </ns0:c>
      <ns0:c r="D177" s="31" t="s">
        <ns0:v>48</ns0:v>
      </ns0:c>
      <ns0:c r="E177" s="31">
        <ns0:f>AVERAGE(F177:AC177)</ns0:f>
        <ns0:v>330.71</ns0:v>
      </ns0:c>
      <ns0:c r="F177" s="43">
        <ns0:v>352.42</ns0:v>
      </ns0:c>
      <ns0:c r="G177" s="43">
        <ns0:v>333.06</ns0:v>
      </ns0:c>
      <ns0:c r="H177" s="43">
        <ns0:v>328.54</ns0:v>
      </ns0:c>
      <ns0:c r="I177" s="43">
        <ns0:v>313.53</ns0:v>
      </ns0:c>
      <ns0:c r="J177" s="43">
        <ns0:v>309.13</ns0:v>
      </ns0:c>
      <ns0:c r="K177" s="43">
        <ns0:v>309.19</ns0:v>
      </ns0:c>
      <ns0:c r="L177" s="43">
        <ns0:v>321.18</ns0:v>
      </ns0:c>
      <ns0:c r="M177" s="43">
        <ns0:v>339.31</ns0:v>
      </ns0:c>
      <ns0:c r="N177" s="43">
        <ns0:v>366.93</ns0:v>
      </ns0:c>
      <ns0:c r="O177" s="43">
        <ns0:v>357.89</ns0:v>
      </ns0:c>
      <ns0:c r="P177" s="43">
        <ns0:v>301.62</ns0:v>
      </ns0:c>
      <ns0:c r="Q177" s="43">
        <ns0:v>244.71</ns0:v>
      </ns0:c>
      <ns0:c r="R177" s="43">
        <ns0:v>190.37</ns0:v>
      </ns0:c>
      <ns0:c r="S177" s="43">
        <ns0:v>230.89</ns0:v>
      </ns0:c>
      <ns0:c r="T177" s="43">
        <ns0:v>258.09</ns0:v>
      </ns0:c>
      <ns0:c r="U177" s="43">
        <ns0:v>296.34</ns0:v>
      </ns0:c>
      <ns0:c r="V177" s="43">
        <ns0:v>351.13</ns0:v>
      </ns0:c>
      <ns0:c r="W177" s="43">
        <ns0:v>398.98</ns0:v>
      </ns0:c>
      <ns0:c r="X177" s="43">
        <ns0:v>423.01</ns0:v>
      </ns0:c>
      <ns0:c r="Y177" s="43">
        <ns0:v>412.76</ns0:v>
      </ns0:c>
      <ns0:c r="Z177" s="43">
        <ns0:v>408.19</ns0:v>
      </ns0:c>
      <ns0:c r="AA177" s="43">
        <ns0:v>400.09</ns0:v>
      </ns0:c>
      <ns0:c r="AB177" s="43">
        <ns0:v>372.52</ns0:v>
      </ns0:c>
      <ns0:c r="AC177" s="43">
        <ns0:v>317.16</ns0:v>
      </ns0:c>
    </ns0:row>
    <ns0:row r="178" spans="1:29">
      <ns0:c r="A178" s="32"/>
      <ns0:c r="B178" s="33"/>
      <ns0:c r="C178" s="32"/>
      <ns0:c r="D178" s="31" t="s">
        <ns0:v>49</ns0:v>
      </ns0:c>
      <ns0:c r="E178" s="31">
        <ns0:f>AVERAGE(F178:AC178)</ns0:f>
        <ns0:v>311.283333333333</ns0:v>
      </ns0:c>
      <ns0:c r="F178" s="43">
        <ns0:v>349.23</ns0:v>
      </ns0:c>
      <ns0:c r="G178" s="43">
        <ns0:v>336.02</ns0:v>
      </ns0:c>
      <ns0:c r="H178" s="43">
        <ns0:v>317.81</ns0:v>
      </ns0:c>
      <ns0:c r="I178" s="43">
        <ns0:v>315.03</ns0:v>
      </ns0:c>
      <ns0:c r="J178" s="43">
        <ns0:v>314.22</ns0:v>
      </ns0:c>
      <ns0:c r="K178" s="43">
        <ns0:v>313.67</ns0:v>
      </ns0:c>
      <ns0:c r="L178" s="43">
        <ns0:v>311.75</ns0:v>
      </ns0:c>
      <ns0:c r="M178" s="43">
        <ns0:v>334.24</ns0:v>
      </ns0:c>
      <ns0:c r="N178" s="43">
        <ns0:v>374.46</ns0:v>
      </ns0:c>
      <ns0:c r="O178" s="43">
        <ns0:v>331</ns0:v>
      </ns0:c>
      <ns0:c r="P178" s="43">
        <ns0:v>292.98</ns0:v>
      </ns0:c>
      <ns0:c r="Q178" s="43">
        <ns0:v>247.45</ns0:v>
      </ns0:c>
      <ns0:c r="R178" s="43">
        <ns0:v>179.31</ns0:v>
      </ns0:c>
      <ns0:c r="S178" s="43">
        <ns0:v>244.24</ns0:v>
      </ns0:c>
      <ns0:c r="T178" s="43">
        <ns0:v>247.99</ns0:v>
      </ns0:c>
      <ns0:c r="U178" s="43">
        <ns0:v>268.97</ns0:v>
      </ns0:c>
      <ns0:c r="V178" s="43">
        <ns0:v>310.34</ns0:v>
      </ns0:c>
      <ns0:c r="W178" s="43">
        <ns0:v>345.96</ns0:v>
      </ns0:c>
      <ns0:c r="X178" s="43">
        <ns0:v>439.05</ns0:v>
      </ns0:c>
      <ns0:c r="Y178" s="43">
        <ns0:v>358.94</ns0:v>
      </ns0:c>
      <ns0:c r="Z178" s="43">
        <ns0:v>312.63</ns0:v>
      </ns0:c>
      <ns0:c r="AA178" s="43">
        <ns0:v>305.42</ns0:v>
      </ns0:c>
      <ns0:c r="AB178" s="43">
        <ns0:v>318.2</ns0:v>
      </ns0:c>
      <ns0:c r="AC178" s="43">
        <ns0:v>301.89</ns0:v>
      </ns0:c>
    </ns0:row>
    <ns0:row r="179" spans="1:29">
      <ns0:c r="A179" s="32"/>
      <ns0:c r="B179" s="33"/>
      <ns0:c r="C179" s="34"/>
      <ns0:c r="D179" s="31" t="s">
        <ns0:v>50</ns0:v>
      </ns0:c>
      <ns0:c r="E179" s="26">
        <ns0:f>E177-E178</ns0:f>
        <ns0:v>19.4266666666666</ns0:v>
      </ns0:c>
      <ns0:c r="F179" s="43">
        <ns0:f t="shared" ref="F179:AC179" si="115">(F177-F178)*1</ns0:f>
        <ns0:v>3.19</ns0:v>
      </ns0:c>
      <ns0:c r="G179" s="43">
        <ns0:f t="shared" si="115"/>
        <ns0:v>-2.95999999999998</ns0:v>
      </ns0:c>
      <ns0:c r="H179" s="43">
        <ns0:f t="shared" si="115"/>
        <ns0:v>10.73</ns0:v>
      </ns0:c>
      <ns0:c r="I179" s="43">
        <ns0:f t="shared" si="115"/>
        <ns0:v>-1.5</ns0:v>
      </ns0:c>
      <ns0:c r="J179" s="43">
        <ns0:f t="shared" si="115"/>
        <ns0:v>-5.09000000000003</ns0:v>
      </ns0:c>
      <ns0:c r="K179" s="43">
        <ns0:f t="shared" si="115"/>
        <ns0:v>-4.48000000000002</ns0:v>
      </ns0:c>
      <ns0:c r="L179" s="43">
        <ns0:f t="shared" si="115"/>
        <ns0:v>9.43000000000001</ns0:v>
      </ns0:c>
      <ns0:c r="M179" s="43">
        <ns0:f t="shared" si="115"/>
        <ns0:v>5.06999999999999</ns0:v>
      </ns0:c>
      <ns0:c r="N179" s="43">
        <ns0:f t="shared" si="115"/>
        <ns0:v>-7.52999999999997</ns0:v>
      </ns0:c>
      <ns0:c r="O179" s="43">
        <ns0:f t="shared" si="115"/>
        <ns0:v>26.89</ns0:v>
      </ns0:c>
      <ns0:c r="P179" s="43">
        <ns0:f t="shared" si="115"/>
        <ns0:v>8.63999999999999</ns0:v>
      </ns0:c>
      <ns0:c r="Q179" s="43">
        <ns0:f t="shared" si="115"/>
        <ns0:v>-2.73999999999998</ns0:v>
      </ns0:c>
      <ns0:c r="R179" s="43">
        <ns0:f t="shared" si="115"/>
        <ns0:v>11.06</ns0:v>
      </ns0:c>
      <ns0:c r="S179" s="43">
        <ns0:f t="shared" si="115"/>
        <ns0:v>-13.35</ns0:v>
      </ns0:c>
      <ns0:c r="T179" s="43">
        <ns0:f t="shared" si="115"/>
        <ns0:v>10.1</ns0:v>
      </ns0:c>
      <ns0:c r="U179" s="43">
        <ns0:f t="shared" si="115"/>
        <ns0:v>27.3699999999999</ns0:v>
      </ns0:c>
      <ns0:c r="V179" s="43">
        <ns0:f t="shared" si="115"/>
        <ns0:v>40.79</ns0:v>
      </ns0:c>
      <ns0:c r="W179" s="43">
        <ns0:f t="shared" si="115"/>
        <ns0:v>53.02</ns0:v>
      </ns0:c>
      <ns0:c r="X179" s="43">
        <ns0:f t="shared" si="115"/>
        <ns0:v>-16.04</ns0:v>
      </ns0:c>
      <ns0:c r="Y179" s="43">
        <ns0:f t="shared" si="115"/>
        <ns0:v>53.82</ns0:v>
      </ns0:c>
      <ns0:c r="Z179" s="43">
        <ns0:f t="shared" si="115"/>
        <ns0:v>95.56</ns0:v>
      </ns0:c>
      <ns0:c r="AA179" s="43">
        <ns0:f t="shared" si="115"/>
        <ns0:v>94.67</ns0:v>
      </ns0:c>
      <ns0:c r="AB179" s="43">
        <ns0:f t="shared" si="115"/>
        <ns0:v>54.32</ns0:v>
      </ns0:c>
      <ns0:c r="AC179" s="43">
        <ns0:f t="shared" si="115"/>
        <ns0:v>15.27</ns0:v>
      </ns0:c>
    </ns0:row>
    <ns0:row r="180" spans="1:29">
      <ns0:c r="A180" s="32"/>
      <ns0:c r="B180" s="33"/>
      <ns0:c r="C180" s="36" t="s">
        <ns0:v>52</ns0:v>
      </ns0:c>
      <ns0:c r="D180" s="37"/>
      <ns0:c r="E180" s="26">
        <ns0:f t="shared" ref="E180:E184" si="116">SUM(F180:AC180)</ns0:f>
        <ns0:v>191.784029</ns0:v>
      </ns0:c>
      <ns0:c r="F180" s="43">
        <ns0:f t="shared" ref="F180:AC180" si="117">(-F176*F179)*1</ns0:f>
        <ns0:v>0.271469</ns0:v>
      </ns0:c>
      <ns0:c r="G180" s="43">
        <ns0:f t="shared" si="117"/>
        <ns0:v>-0.185887999999999</ns0:v>
      </ns0:c>
      <ns0:c r="H180" s="43">
        <ns0:f t="shared" si="117"/>
        <ns0:v>2.776924</ns0:v>
      </ns0:c>
      <ns0:c r="I180" s="43">
        <ns0:f t="shared" si="117"/>
        <ns0:v>-0.12165</ns0:v>
      </ns0:c>
      <ns0:c r="J180" s="43">
        <ns0:f t="shared" si="117"/>
        <ns0:v>-0.265698000000002</ns0:v>
      </ns0:c>
      <ns0:c r="K180" s="43">
        <ns0:f t="shared" si="117"/>
        <ns0:v>-1.66476800000001</ns0:v>
      </ns0:c>
      <ns0:c r="L180" s="43">
        <ns0:f t="shared" si="117"/>
        <ns0:v>4.079418</ns0:v>
      </ns0:c>
      <ns0:c r="M180" s="43">
        <ns0:f t="shared" si="117"/>
        <ns0:v>2.19531</ns0:v>
      </ns0:c>
      <ns0:c r="N180" s="43">
        <ns0:f t="shared" si="117"/>
        <ns0:v>-2.23716299999999</ns0:v>
      </ns0:c>
      <ns0:c r="O180" s="43">
        <ns0:f t="shared" si="117"/>
        <ns0:v>23.219515</ns0:v>
      </ns0:c>
      <ns0:c r="P180" s="43">
        <ns0:f t="shared" si="117"/>
        <ns0:v>7.06147199999999</ns0:v>
      </ns0:c>
      <ns0:c r="Q180" s="43">
        <ns0:f t="shared" si="117"/>
        <ns0:v>-0.858441999999993</ns0:v>
      </ns0:c>
      <ns0:c r="R180" s="43">
        <ns0:f t="shared" si="117"/>
        <ns0:v>1.632456</ns0:v>
      </ns0:c>
      <ns0:c r="S180" s="43">
        <ns0:f t="shared" si="117"/>
        <ns0:v>2.80083</ns0:v>
      </ns0:c>
      <ns0:c r="T180" s="43">
        <ns0:f t="shared" si="117"/>
        <ns0:v>5.04899</ns0:v>
      </ns0:c>
      <ns0:c r="U180" s="43">
        <ns0:f t="shared" si="117"/>
        <ns0:v>14.5197849999999</ns0:v>
      </ns0:c>
      <ns0:c r="V180" s="43">
        <ns0:f t="shared" si="117"/>
        <ns0:v>14.321369</ns0:v>
      </ns0:c>
      <ns0:c r="W180" s="43">
        <ns0:f t="shared" si="117"/>
        <ns0:v>-15.248552</ns0:v>
      </ns0:c>
      <ns0:c r="X180" s="43">
        <ns0:f t="shared" si="117"/>
        <ns0:v>-1.960088</ns0:v>
      </ns0:c>
      <ns0:c r="Y180" s="43">
        <ns0:f t="shared" si="117"/>
        <ns0:v>14.31612</ns0:v>
      </ns0:c>
      <ns0:c r="Z180" s="43">
        <ns0:f t="shared" si="117"/>
        <ns0:v>53.838504</ns0:v>
      </ns0:c>
      <ns0:c r="AA180" s="43">
        <ns0:f t="shared" si="117"/>
        <ns0:v>49.853222</ns0:v>
      </ns0:c>
      <ns0:c r="AB180" s="43">
        <ns0:f t="shared" si="117"/>
        <ns0:v>13.916784</ns0:v>
      </ns0:c>
      <ns0:c r="AC180" s="43">
        <ns0:f t="shared" si="117"/>
        <ns0:v>4.47411</ns0:v>
      </ns0:c>
    </ns0:row>
    <ns0:row r="181" spans="1:29">
      <ns0:c r="A181" s="32"/>
      <ns0:c r="B181" s="33"/>
      <ns0:c r="C181" s="38" t="s">
        <ns0:v>53</ns0:v>
      </ns0:c>
      <ns0:c r="D181" s="37"/>
      <ns0:c r="E181" s="26">
        <ns0:f t="shared" si="116"/>
        <ns0:v>188.3217674</ns0:v>
      </ns0:c>
      <ns0:c r="F181" s="43">
        <ns0:f t="shared" ref="F181:AC181" si="118">(IF(F180&gt;0,ABS(MIN(F175*0.2,ABS(F176))*F179),F180))*1</ns0:f>
        <ns0:v>0.271469</ns0:v>
      </ns0:c>
      <ns0:c r="G181" s="43">
        <ns0:f t="shared" si="118"/>
        <ns0:v>-0.185887999999999</ns0:v>
      </ns0:c>
      <ns0:c r="H181" s="43">
        <ns0:f t="shared" si="118"/>
        <ns0:v>2.776924</ns0:v>
      </ns0:c>
      <ns0:c r="I181" s="43">
        <ns0:f t="shared" si="118"/>
        <ns0:v>-0.12165</ns0:v>
      </ns0:c>
      <ns0:c r="J181" s="43">
        <ns0:f t="shared" si="118"/>
        <ns0:v>-0.265698000000002</ns0:v>
      </ns0:c>
      <ns0:c r="K181" s="43">
        <ns0:f t="shared" si="118"/>
        <ns0:v>-1.66476800000001</ns0:v>
      </ns0:c>
      <ns0:c r="L181" s="43">
        <ns0:f t="shared" si="118"/>
        <ns0:v>3.2111036</ns0:v>
      </ns0:c>
      <ns0:c r="M181" s="43">
        <ns0:f t="shared" si="118"/>
        <ns0:v>2.019888</ns0:v>
      </ns0:c>
      <ns0:c r="N181" s="43">
        <ns0:f t="shared" si="118"/>
        <ns0:v>-2.23716299999999</ns0:v>
      </ns0:c>
      <ns0:c r="O181" s="43">
        <ns0:f t="shared" si="118"/>
        <ns0:v>22.713983</ns0:v>
      </ns0:c>
      <ns0:c r="P181" s="43">
        <ns0:f t="shared" si="118"/>
        <ns0:v>6.27315839999999</ns0:v>
      </ns0:c>
      <ns0:c r="Q181" s="43">
        <ns0:f t="shared" si="118"/>
        <ns0:v>-0.858441999999993</ns0:v>
      </ns0:c>
      <ns0:c r="R181" s="43">
        <ns0:f t="shared" si="118"/>
        <ns0:v>1.632456</ns0:v>
      </ns0:c>
      <ns0:c r="S181" s="43">
        <ns0:f t="shared" si="118"/>
        <ns0:v>2.80083</ns0:v>
      </ns0:c>
      <ns0:c r="T181" s="43">
        <ns0:f t="shared" si="118"/>
        <ns0:v>5.04899</ns0:v>
      </ns0:c>
      <ns0:c r="U181" s="43">
        <ns0:f t="shared" si="118"/>
        <ns0:v>14.5197849999999</ns0:v>
      </ns0:c>
      <ns0:c r="V181" s="43">
        <ns0:f t="shared" si="118"/>
        <ns0:v>14.321369</ns0:v>
      </ns0:c>
      <ns0:c r="W181" s="43">
        <ns0:f t="shared" si="118"/>
        <ns0:v>-15.248552</ns0:v>
      </ns0:c>
      <ns0:c r="X181" s="43">
        <ns0:f t="shared" si="118"/>
        <ns0:v>-1.960088</ns0:v>
      </ns0:c>
      <ns0:c r="Y181" s="43">
        <ns0:f t="shared" si="118"/>
        <ns0:v>14.31612</ns0:v>
      </ns0:c>
      <ns0:c r="Z181" s="43">
        <ns0:f t="shared" si="118"/>
        <ns0:v>53.838504</ns0:v>
      </ns0:c>
      <ns0:c r="AA181" s="43">
        <ns0:f t="shared" si="118"/>
        <ns0:v>48.7285424</ns0:v>
      </ns0:c>
      <ns0:c r="AB181" s="43">
        <ns0:f t="shared" si="118"/>
        <ns0:v>13.916784</ns0:v>
      </ns0:c>
      <ns0:c r="AC181" s="43">
        <ns0:f t="shared" si="118"/>
        <ns0:v>4.47411</ns0:v>
      </ns0:c>
    </ns0:row>
    <ns0:row r="182" spans="1:29">
      <ns0:c r="A182" s="32"/>
      <ns0:c r="B182" s="33"/>
      <ns0:c r="C182" s="39" t="s">
        <ns0:v>50</ns0:v>
      </ns0:c>
      <ns0:c r="D182" s="37"/>
      <ns0:c r="E182" s="44">
        <ns0:f>E180-E181</ns0:f>
        <ns0:v>3.46226159999995</ns0:v>
      </ns0:c>
      <ns0:c r="F182" s="26">
        <ns0:f t="shared" ref="F182:AC182" si="119">(F180-F181)*1</ns0:f>
        <ns0:v>0</ns0:v>
      </ns0:c>
      <ns0:c r="G182" s="26">
        <ns0:f t="shared" si="119"/>
        <ns0:v>0</ns0:v>
      </ns0:c>
      <ns0:c r="H182" s="26">
        <ns0:f t="shared" si="119"/>
        <ns0:v>0</ns0:v>
      </ns0:c>
      <ns0:c r="I182" s="26">
        <ns0:f t="shared" si="119"/>
        <ns0:v>0</ns0:v>
      </ns0:c>
      <ns0:c r="J182" s="26">
        <ns0:f t="shared" si="119"/>
        <ns0:v>0</ns0:v>
      </ns0:c>
      <ns0:c r="K182" s="26">
        <ns0:f t="shared" si="119"/>
        <ns0:v>0</ns0:v>
      </ns0:c>
      <ns0:c r="L182" s="26">
        <ns0:f t="shared" si="119"/>
        <ns0:v>0.8683144</ns0:v>
      </ns0:c>
      <ns0:c r="M182" s="26">
        <ns0:f t="shared" si="119"/>
        <ns0:v>0.175422</ns0:v>
      </ns0:c>
      <ns0:c r="N182" s="26">
        <ns0:f t="shared" si="119"/>
        <ns0:v>0</ns0:v>
      </ns0:c>
      <ns0:c r="O182" s="26">
        <ns0:f t="shared" si="119"/>
        <ns0:v>0.505531999999995</ns0:v>
      </ns0:c>
      <ns0:c r="P182" s="26">
        <ns0:f t="shared" si="119"/>
        <ns0:v>0.788313599999999</ns0:v>
      </ns0:c>
      <ns0:c r="Q182" s="26">
        <ns0:f t="shared" si="119"/>
        <ns0:v>0</ns0:v>
      </ns0:c>
      <ns0:c r="R182" s="26">
        <ns0:f t="shared" si="119"/>
        <ns0:v>0</ns0:v>
      </ns0:c>
      <ns0:c r="S182" s="26">
        <ns0:f t="shared" si="119"/>
        <ns0:v>0</ns0:v>
      </ns0:c>
      <ns0:c r="T182" s="26">
        <ns0:f t="shared" si="119"/>
        <ns0:v>0</ns0:v>
      </ns0:c>
      <ns0:c r="U182" s="26">
        <ns0:f t="shared" si="119"/>
        <ns0:v>0</ns0:v>
      </ns0:c>
      <ns0:c r="V182" s="26">
        <ns0:f t="shared" si="119"/>
        <ns0:v>0</ns0:v>
      </ns0:c>
      <ns0:c r="W182" s="26">
        <ns0:f t="shared" si="119"/>
        <ns0:v>0</ns0:v>
      </ns0:c>
      <ns0:c r="X182" s="26">
        <ns0:f t="shared" si="119"/>
        <ns0:v>0</ns0:v>
      </ns0:c>
      <ns0:c r="Y182" s="26">
        <ns0:f t="shared" si="119"/>
        <ns0:v>0</ns0:v>
      </ns0:c>
      <ns0:c r="Z182" s="26">
        <ns0:f t="shared" si="119"/>
        <ns0:v>0</ns0:v>
      </ns0:c>
      <ns0:c r="AA182" s="26">
        <ns0:f t="shared" si="119"/>
        <ns0:v>1.12467959999998</ns0:v>
      </ns0:c>
      <ns0:c r="AB182" s="26">
        <ns0:f t="shared" si="119"/>
        <ns0:v>0</ns0:v>
      </ns0:c>
      <ns0:c r="AC182" s="26">
        <ns0:f t="shared" si="119"/>
        <ns0:v>0</ns0:v>
      </ns0:c>
    </ns0:row>
    <ns0:row r="183" spans="1:29">
      <ns0:c r="A183" s="29">
        <ns0:v>46012</ns0:v>
      </ns0:c>
      <ns0:c r="B183" s="30">
        <ns0:f>E190</ns0:f>
        <ns0:v>212.584493</ns0:v>
      </ns0:c>
      <ns0:c r="C183" s="31" t="s">
        <ns0:v>47</ns0:v>
      </ns0:c>
      <ns0:c r="D183" s="31" t="s">
        <ns0:v>48</ns0:v>
      </ns0:c>
      <ns0:c r="E183" s="42">
        <ns0:f t="shared" si="116"/>
        <ns0:v>41.211</ns0:v>
      </ns0:c>
      <ns0:c r="F183" s="47">
        <ns0:v>1.357</ns0:v>
      </ns0:c>
      <ns0:c r="G183" s="47">
        <ns0:v>1.336</ns0:v>
      </ns0:c>
      <ns0:c r="H183" s="47">
        <ns0:v>1.304</ns0:v>
      </ns0:c>
      <ns0:c r="I183" s="47">
        <ns0:v>1.864</ns0:v>
      </ns0:c>
      <ns0:c r="J183" s="47">
        <ns0:v>1.536</ns0:v>
      </ns0:c>
      <ns0:c r="K183" s="47">
        <ns0:v>1.506</ns0:v>
      </ns0:c>
      <ns0:c r="L183" s="47">
        <ns0:v>1.441</ns0:v>
      </ns0:c>
      <ns0:c r="M183" s="47">
        <ns0:v>1.509</ns0:v>
      </ns0:c>
      <ns0:c r="N183" s="47">
        <ns0:v>2.507</ns0:v>
      </ns0:c>
      <ns0:c r="O183" s="47">
        <ns0:v>2.22</ns0:v>
      </ns0:c>
      <ns0:c r="P183" s="47">
        <ns0:v>1.952</ns0:v>
      </ns0:c>
      <ns0:c r="Q183" s="47">
        <ns0:v>1.854</ns0:v>
      </ns0:c>
      <ns0:c r="R183" s="47">
        <ns0:v>1.708</ns0:v>
      </ns0:c>
      <ns0:c r="S183" s="47">
        <ns0:v>1.6</ns0:v>
      </ns0:c>
      <ns0:c r="T183" s="47">
        <ns0:v>1.97</ns0:v>
      </ns0:c>
      <ns0:c r="U183" s="47">
        <ns0:v>1.917</ns0:v>
      </ns0:c>
      <ns0:c r="V183" s="47">
        <ns0:v>2.869</ns0:v>
      </ns0:c>
      <ns0:c r="W183" s="47">
        <ns0:v>2.862</ns0:v>
      </ns0:c>
      <ns0:c r="X183" s="47">
        <ns0:v>1.937</ns0:v>
      </ns0:c>
      <ns0:c r="Y183" s="47">
        <ns0:v>1.873</ns0:v>
      </ns0:c>
      <ns0:c r="Z183" s="47">
        <ns0:v>1.126</ns0:v>
      </ns0:c>
      <ns0:c r="AA183" s="47">
        <ns0:v>1.053</ns0:v>
      </ns0:c>
      <ns0:c r="AB183" s="47">
        <ns0:v>0.995</ns0:v>
      </ns0:c>
      <ns0:c r="AC183" s="47">
        <ns0:v>0.915</ns0:v>
      </ns0:c>
    </ns0:row>
    <ns0:row r="184" spans="1:29">
      <ns0:c r="A184" s="32"/>
      <ns0:c r="B184" s="33"/>
      <ns0:c r="C184" s="32"/>
      <ns0:c r="D184" s="6" t="s">
        <ns0:v>49</ns0:v>
      </ns0:c>
      <ns0:c r="E184" s="42">
        <ns0:f t="shared" si="116"/>
        <ns0:v>44.8546</ns0:v>
      </ns0:c>
      <ns0:c r="F184" s="47">
        <ns0:v>1.6937</ns0:v>
      </ns0:c>
      <ns0:c r="G184" s="47">
        <ns0:v>1.7784</ns0:v>
      </ns0:c>
      <ns0:c r="H184" s="47">
        <ns0:v>1.6873</ns0:v>
      </ns0:c>
      <ns0:c r="I184" s="47">
        <ns0:v>1.6261</ns0:v>
      </ns0:c>
      <ns0:c r="J184" s="47">
        <ns0:v>1.614</ns0:v>
      </ns0:c>
      <ns0:c r="K184" s="47">
        <ns0:v>1.5929</ns0:v>
      </ns0:c>
      <ns0:c r="L184" s="47">
        <ns0:v>1.487</ns0:v>
      </ns0:c>
      <ns0:c r="M184" s="47">
        <ns0:v>1.3209</ns0:v>
      </ns0:c>
      <ns0:c r="N184" s="47">
        <ns0:v>2.4881</ns0:v>
      </ns0:c>
      <ns0:c r="O184" s="47">
        <ns0:v>2.6597</ns0:v>
      </ns0:c>
      <ns0:c r="P184" s="47">
        <ns0:v>2.2652</ns0:v>
      </ns0:c>
      <ns0:c r="Q184" s="47">
        <ns0:v>2.2288</ns0:v>
      </ns0:c>
      <ns0:c r="R184" s="47">
        <ns0:v>1.9046</ns0:v>
      </ns0:c>
      <ns0:c r="S184" s="47">
        <ns0:v>2.1045</ns0:v>
      </ns0:c>
      <ns0:c r="T184" s="47">
        <ns0:v>2.495</ns0:v>
      </ns0:c>
      <ns0:c r="U184" s="47">
        <ns0:v>2.4225</ns0:v>
      </ns0:c>
      <ns0:c r="V184" s="47">
        <ns0:v>2.5434</ns0:v>
      </ns0:c>
      <ns0:c r="W184" s="47">
        <ns0:v>2.2688</ns0:v>
      </ns0:c>
      <ns0:c r="X184" s="47">
        <ns0:v>1.5889</ns0:v>
      </ns0:c>
      <ns0:c r="Y184" s="47">
        <ns0:v>1.4966</ns0:v>
      </ns0:c>
      <ns0:c r="Z184" s="47">
        <ns0:v>1.4514</ns0:v>
      </ns0:c>
      <ns0:c r="AA184" s="47">
        <ns0:v>1.4429</ns0:v>
      </ns0:c>
      <ns0:c r="AB184" s="47">
        <ns0:v>1.3423</ns0:v>
      </ns0:c>
      <ns0:c r="AC184" s="47">
        <ns0:v>1.3516</ns0:v>
      </ns0:c>
    </ns0:row>
    <ns0:row r="185" spans="1:29">
      <ns0:c r="A185" s="32"/>
      <ns0:c r="B185" s="33"/>
      <ns0:c r="C185" s="34"/>
      <ns0:c r="D185" s="31" t="s">
        <ns0:v>50</ns0:v>
      </ns0:c>
      <ns0:c r="E185" s="26">
        <ns0:f>E183-E184</ns0:f>
        <ns0:v>-3.64360000000001</ns0:v>
      </ns0:c>
      <ns0:c r="F185" s="47">
        <ns0:f t="shared" ref="F185:AC185" si="120">(F183-F184)*1</ns0:f>
        <ns0:v>-0.3367</ns0:v>
      </ns0:c>
      <ns0:c r="G185" s="47">
        <ns0:f t="shared" si="120"/>
        <ns0:v>-0.4424</ns0:v>
      </ns0:c>
      <ns0:c r="H185" s="47">
        <ns0:f t="shared" si="120"/>
        <ns0:v>-0.3833</ns0:v>
      </ns0:c>
      <ns0:c r="I185" s="47">
        <ns0:f t="shared" si="120"/>
        <ns0:v>0.2379</ns0:v>
      </ns0:c>
      <ns0:c r="J185" s="47">
        <ns0:f t="shared" si="120"/>
        <ns0:v>-0.0780000000000001</ns0:v>
      </ns0:c>
      <ns0:c r="K185" s="47">
        <ns0:f t="shared" si="120"/>
        <ns0:v>-0.0869</ns0:v>
      </ns0:c>
      <ns0:c r="L185" s="47">
        <ns0:f t="shared" si="120"/>
        <ns0:v>-0.046</ns0:v>
      </ns0:c>
      <ns0:c r="M185" s="47">
        <ns0:f t="shared" si="120"/>
        <ns0:v>0.1881</ns0:v>
      </ns0:c>
      <ns0:c r="N185" s="47">
        <ns0:f t="shared" si="120"/>
        <ns0:v>0.0188999999999999</ns0:v>
      </ns0:c>
      <ns0:c r="O185" s="47">
        <ns0:f t="shared" si="120"/>
        <ns0:v>-0.4397</ns0:v>
      </ns0:c>
      <ns0:c r="P185" s="47">
        <ns0:f t="shared" si="120"/>
        <ns0:v>-0.3132</ns0:v>
      </ns0:c>
      <ns0:c r="Q185" s="47">
        <ns0:f t="shared" si="120"/>
        <ns0:v>-0.3748</ns0:v>
      </ns0:c>
      <ns0:c r="R185" s="47">
        <ns0:f t="shared" si="120"/>
        <ns0:v>-0.1966</ns0:v>
      </ns0:c>
      <ns0:c r="S185" s="47">
        <ns0:f t="shared" si="120"/>
        <ns0:v>-0.5045</ns0:v>
      </ns0:c>
      <ns0:c r="T185" s="47">
        <ns0:f t="shared" si="120"/>
        <ns0:v>-0.525</ns0:v>
      </ns0:c>
      <ns0:c r="U185" s="47">
        <ns0:f t="shared" si="120"/>
        <ns0:v>-0.5055</ns0:v>
      </ns0:c>
      <ns0:c r="V185" s="47">
        <ns0:f t="shared" si="120"/>
        <ns0:v>0.3256</ns0:v>
      </ns0:c>
      <ns0:c r="W185" s="47">
        <ns0:f t="shared" si="120"/>
        <ns0:v>0.5932</ns0:v>
      </ns0:c>
      <ns0:c r="X185" s="47">
        <ns0:f t="shared" si="120"/>
        <ns0:v>0.3481</ns0:v>
      </ns0:c>
      <ns0:c r="Y185" s="47">
        <ns0:f t="shared" si="120"/>
        <ns0:v>0.3764</ns0:v>
      </ns0:c>
      <ns0:c r="Z185" s="47">
        <ns0:f t="shared" si="120"/>
        <ns0:v>-0.3254</ns0:v>
      </ns0:c>
      <ns0:c r="AA185" s="47">
        <ns0:f t="shared" si="120"/>
        <ns0:v>-0.3899</ns0:v>
      </ns0:c>
      <ns0:c r="AB185" s="47">
        <ns0:f t="shared" si="120"/>
        <ns0:v>-0.3473</ns0:v>
      </ns0:c>
      <ns0:c r="AC185" s="47">
        <ns0:f t="shared" si="120"/>
        <ns0:v>-0.4366</ns0:v>
      </ns0:c>
    </ns0:row>
    <ns0:row r="186" spans="1:29">
      <ns0:c r="A186" s="32"/>
      <ns0:c r="B186" s="33"/>
      <ns0:c r="C186" s="35" t="s">
        <ns0:v>51</ns0:v>
      </ns0:c>
      <ns0:c r="D186" s="31" t="s">
        <ns0:v>48</ns0:v>
      </ns0:c>
      <ns0:c r="E186" s="31">
        <ns0:f>AVERAGE(F186:AC186)</ns0:f>
        <ns0:v>219.12625</ns0:v>
      </ns0:c>
      <ns0:c r="F186" s="47">
        <ns0:v>329.62</ns0:v>
      </ns0:c>
      <ns0:c r="G186" s="47">
        <ns0:v>309.65</ns0:v>
      </ns0:c>
      <ns0:c r="H186" s="47">
        <ns0:v>298.36</ns0:v>
      </ns0:c>
      <ns0:c r="I186" s="47">
        <ns0:v>293.22</ns0:v>
      </ns0:c>
      <ns0:c r="J186" s="47">
        <ns0:v>286.77</ns0:v>
      </ns0:c>
      <ns0:c r="K186" s="47">
        <ns0:v>277.7</ns0:v>
      </ns0:c>
      <ns0:c r="L186" s="47">
        <ns0:v>276.45</ns0:v>
      </ns0:c>
      <ns0:c r="M186" s="47">
        <ns0:v>269.21</ns0:v>
      </ns0:c>
      <ns0:c r="N186" s="47">
        <ns0:v>264.48</ns0:v>
      </ns0:c>
      <ns0:c r="O186" s="47">
        <ns0:v>239.07</ns0:v>
      </ns0:c>
      <ns0:c r="P186" s="47">
        <ns0:v>79.52</ns0:v>
      </ns0:c>
      <ns0:c r="Q186" s="47">
        <ns0:v>-25.62</ns0:v>
      </ns0:c>
      <ns0:c r="R186" s="47">
        <ns0:v>-53.67</ns0:v>
      </ns0:c>
      <ns0:c r="S186" s="47">
        <ns0:v>-28.23</ns0:v>
      </ns0:c>
      <ns0:c r="T186" s="47">
        <ns0:v>-19.78</ns0:v>
      </ns0:c>
      <ns0:c r="U186" s="47">
        <ns0:v>67.4</ns0:v>
      </ns0:c>
      <ns0:c r="V186" s="47">
        <ns0:v>241.54</ns0:v>
      </ns0:c>
      <ns0:c r="W186" s="47">
        <ns0:v>304.19</ns0:v>
      </ns0:c>
      <ns0:c r="X186" s="47">
        <ns0:v>324.65</ns0:v>
      </ns0:c>
      <ns0:c r="Y186" s="47">
        <ns0:v>322.83</ns0:v>
      </ns0:c>
      <ns0:c r="Z186" s="47">
        <ns0:v>320.86</ns0:v>
      </ns0:c>
      <ns0:c r="AA186" s="47">
        <ns0:v>321.2</ns0:v>
      </ns0:c>
      <ns0:c r="AB186" s="47">
        <ns0:v>297.36</ns0:v>
      </ns0:c>
      <ns0:c r="AC186" s="47">
        <ns0:v>262.25</ns0:v>
      </ns0:c>
    </ns0:row>
    <ns0:row r="187" spans="1:29">
      <ns0:c r="A187" s="32"/>
      <ns0:c r="B187" s="33"/>
      <ns0:c r="C187" s="32"/>
      <ns0:c r="D187" s="31" t="s">
        <ns0:v>49</ns0:v>
      </ns0:c>
      <ns0:c r="E187" s="31">
        <ns0:f>AVERAGE(F187:AC187)</ns0:f>
        <ns0:v>181.09125</ns0:v>
      </ns0:c>
      <ns0:c r="F187" s="47">
        <ns0:v>338.31</ns0:v>
      </ns0:c>
      <ns0:c r="G187" s="47">
        <ns0:v>320.09</ns0:v>
      </ns0:c>
      <ns0:c r="H187" s="47">
        <ns0:v>293.92</ns0:v>
      </ns0:c>
      <ns0:c r="I187" s="47">
        <ns0:v>290.29</ns0:v>
      </ns0:c>
      <ns0:c r="J187" s="47">
        <ns0:v>277.49</ns0:v>
      </ns0:c>
      <ns0:c r="K187" s="47">
        <ns0:v>265.08</ns0:v>
      </ns0:c>
      <ns0:c r="L187" s="47">
        <ns0:v>269.86</ns0:v>
      </ns0:c>
      <ns0:c r="M187" s="47">
        <ns0:v>272.08</ns0:v>
      </ns0:c>
      <ns0:c r="N187" s="47">
        <ns0:v>259.17</ns0:v>
      </ns0:c>
      <ns0:c r="O187" s="47">
        <ns0:v>20.88</ns0:v>
      </ns0:c>
      <ns0:c r="P187" s="47">
        <ns0:v>-70.52</ns0:v>
      </ns0:c>
      <ns0:c r="Q187" s="47">
        <ns0:v>-75.43</ns0:v>
      </ns0:c>
      <ns0:c r="R187" s="47">
        <ns0:v>-59.44</ns0:v>
      </ns0:c>
      <ns0:c r="S187" s="47">
        <ns0:v>-49.41</ns0:v>
      </ns0:c>
      <ns0:c r="T187" s="47">
        <ns0:v>-51.08</ns0:v>
      </ns0:c>
      <ns0:c r="U187" s="47">
        <ns0:v>-43.72</ns0:v>
      </ns0:c>
      <ns0:c r="V187" s="47">
        <ns0:v>106.11</ns0:v>
      </ns0:c>
      <ns0:c r="W187" s="47">
        <ns0:v>318</ns0:v>
      </ns0:c>
      <ns0:c r="X187" s="47">
        <ns0:v>302.22</ns0:v>
      </ns0:c>
      <ns0:c r="Y187" s="47">
        <ns0:v>286.87</ns0:v>
      </ns0:c>
      <ns0:c r="Z187" s="47">
        <ns0:v>305.83</ns0:v>
      </ns0:c>
      <ns0:c r="AA187" s="47">
        <ns0:v>295.6</ns0:v>
      </ns0:c>
      <ns0:c r="AB187" s="47">
        <ns0:v>263.63</ns0:v>
      </ns0:c>
      <ns0:c r="AC187" s="47">
        <ns0:v>210.36</ns0:v>
      </ns0:c>
    </ns0:row>
    <ns0:row r="188" spans="1:29">
      <ns0:c r="A188" s="32"/>
      <ns0:c r="B188" s="33"/>
      <ns0:c r="C188" s="34"/>
      <ns0:c r="D188" s="31" t="s">
        <ns0:v>50</ns0:v>
      </ns0:c>
      <ns0:c r="E188" s="26">
        <ns0:f>E186-E187</ns0:f>
        <ns0:v>38.035</ns0:v>
      </ns0:c>
      <ns0:c r="F188" s="47">
        <ns0:f t="shared" ref="F188:AC188" si="121">(F186-F187)*1</ns0:f>
        <ns0:v>-8.69</ns0:v>
      </ns0:c>
      <ns0:c r="G188" s="47">
        <ns0:f t="shared" si="121"/>
        <ns0:v>-10.44</ns0:v>
      </ns0:c>
      <ns0:c r="H188" s="47">
        <ns0:f t="shared" si="121"/>
        <ns0:v>4.44</ns0:v>
      </ns0:c>
      <ns0:c r="I188" s="47">
        <ns0:f t="shared" si="121"/>
        <ns0:v>2.93000000000001</ns0:v>
      </ns0:c>
      <ns0:c r="J188" s="47">
        <ns0:f t="shared" si="121"/>
        <ns0:v>9.27999999999997</ns0:v>
      </ns0:c>
      <ns0:c r="K188" s="47">
        <ns0:f t="shared" si="121"/>
        <ns0:v>12.62</ns0:v>
      </ns0:c>
      <ns0:c r="L188" s="47">
        <ns0:f t="shared" si="121"/>
        <ns0:v>6.58999999999997</ns0:v>
      </ns0:c>
      <ns0:c r="M188" s="47">
        <ns0:f t="shared" si="121"/>
        <ns0:v>-2.87</ns0:v>
      </ns0:c>
      <ns0:c r="N188" s="47">
        <ns0:f t="shared" si="121"/>
        <ns0:v>5.31</ns0:v>
      </ns0:c>
      <ns0:c r="O188" s="47">
        <ns0:f t="shared" si="121"/>
        <ns0:v>218.19</ns0:v>
      </ns0:c>
      <ns0:c r="P188" s="47">
        <ns0:f t="shared" si="121"/>
        <ns0:v>150.04</ns0:v>
      </ns0:c>
      <ns0:c r="Q188" s="47">
        <ns0:f t="shared" si="121"/>
        <ns0:v>49.81</ns0:v>
      </ns0:c>
      <ns0:c r="R188" s="47">
        <ns0:f t="shared" si="121"/>
        <ns0:v>5.77</ns0:v>
      </ns0:c>
      <ns0:c r="S188" s="47">
        <ns0:f t="shared" si="121"/>
        <ns0:v>21.18</ns0:v>
      </ns0:c>
      <ns0:c r="T188" s="47">
        <ns0:f t="shared" si="121"/>
        <ns0:v>31.3</ns0:v>
      </ns0:c>
      <ns0:c r="U188" s="47">
        <ns0:f t="shared" si="121"/>
        <ns0:v>111.12</ns0:v>
      </ns0:c>
      <ns0:c r="V188" s="47">
        <ns0:f t="shared" si="121"/>
        <ns0:v>135.43</ns0:v>
      </ns0:c>
      <ns0:c r="W188" s="47">
        <ns0:f t="shared" si="121"/>
        <ns0:v>-13.81</ns0:v>
      </ns0:c>
      <ns0:c r="X188" s="47">
        <ns0:f t="shared" si="121"/>
        <ns0:v>22.4299999999999</ns0:v>
      </ns0:c>
      <ns0:c r="Y188" s="47">
        <ns0:f t="shared" si="121"/>
        <ns0:v>35.96</ns0:v>
      </ns0:c>
      <ns0:c r="Z188" s="47">
        <ns0:f t="shared" si="121"/>
        <ns0:v>15.03</ns0:v>
      </ns0:c>
      <ns0:c r="AA188" s="47">
        <ns0:f t="shared" si="121"/>
        <ns0:v>25.6</ns0:v>
      </ns0:c>
      <ns0:c r="AB188" s="47">
        <ns0:f t="shared" si="121"/>
        <ns0:v>33.73</ns0:v>
      </ns0:c>
      <ns0:c r="AC188" s="47">
        <ns0:f t="shared" si="121"/>
        <ns0:v>51.89</ns0:v>
      </ns0:c>
    </ns0:row>
    <ns0:row r="189" spans="1:29">
      <ns0:c r="A189" s="32"/>
      <ns0:c r="B189" s="33"/>
      <ns0:c r="C189" s="36" t="s">
        <ns0:v>52</ns0:v>
      </ns0:c>
      <ns0:c r="D189" s="37"/>
      <ns0:c r="E189" s="26">
        <ns0:f t="shared" ref="E189:E193" si="122">SUM(F189:AC189)</ns0:f>
        <ns0:v>234.040845</ns0:v>
      </ns0:c>
      <ns0:c r="F189" s="49">
        <ns0:f t="shared" ref="F189:AC189" si="123">(-F185*F188)*1</ns0:f>
        <ns0:v>-2.925923</ns0:v>
      </ns0:c>
      <ns0:c r="G189" s="49">
        <ns0:f t="shared" si="123"/>
        <ns0:v>-4.618656</ns0:v>
      </ns0:c>
      <ns0:c r="H189" s="49">
        <ns0:f t="shared" si="123"/>
        <ns0:v>1.701852</ns0:v>
      </ns0:c>
      <ns0:c r="I189" s="49">
        <ns0:f t="shared" si="123"/>
        <ns0:v>-0.697047000000002</ns0:v>
      </ns0:c>
      <ns0:c r="J189" s="49">
        <ns0:f t="shared" si="123"/>
        <ns0:v>0.723839999999998</ns0:v>
      </ns0:c>
      <ns0:c r="K189" s="49">
        <ns0:f t="shared" si="123"/>
        <ns0:v>1.096678</ns0:v>
      </ns0:c>
      <ns0:c r="L189" s="49">
        <ns0:f t="shared" si="123"/>
        <ns0:v>0.303139999999999</ns0:v>
      </ns0:c>
      <ns0:c r="M189" s="49">
        <ns0:f t="shared" si="123"/>
        <ns0:v>0.539847</ns0:v>
      </ns0:c>
      <ns0:c r="N189" s="49">
        <ns0:f t="shared" si="123"/>
        <ns0:v>-0.100359</ns0:v>
      </ns0:c>
      <ns0:c r="O189" s="49">
        <ns0:f t="shared" si="123"/>
        <ns0:v>95.9381429999999</ns0:v>
      </ns0:c>
      <ns0:c r="P189" s="49">
        <ns0:f t="shared" si="123"/>
        <ns0:v>46.992528</ns0:v>
      </ns0:c>
      <ns0:c r="Q189" s="49">
        <ns0:f t="shared" si="123"/>
        <ns0:v>18.668788</ns0:v>
      </ns0:c>
      <ns0:c r="R189" s="49">
        <ns0:f t="shared" si="123"/>
        <ns0:v>1.134382</ns0:v>
      </ns0:c>
      <ns0:c r="S189" s="49">
        <ns0:f t="shared" si="123"/>
        <ns0:v>10.68531</ns0:v>
      </ns0:c>
      <ns0:c r="T189" s="49">
        <ns0:f t="shared" si="123"/>
        <ns0:v>16.4325</ns0:v>
      </ns0:c>
      <ns0:c r="U189" s="49">
        <ns0:f t="shared" si="123"/>
        <ns0:v>56.17116</ns0:v>
      </ns0:c>
      <ns0:c r="V189" s="49">
        <ns0:f t="shared" si="123"/>
        <ns0:v>-44.096008</ns0:v>
      </ns0:c>
      <ns0:c r="W189" s="49">
        <ns0:f t="shared" si="123"/>
        <ns0:v>8.192092</ns0:v>
      </ns0:c>
      <ns0:c r="X189" s="49">
        <ns0:f t="shared" si="123"/>
        <ns0:v>-7.80788299999997</ns0:v>
      </ns0:c>
      <ns0:c r="Y189" s="49">
        <ns0:f t="shared" si="123"/>
        <ns0:v>-13.535344</ns0:v>
      </ns0:c>
      <ns0:c r="Z189" s="49">
        <ns0:f t="shared" si="123"/>
        <ns0:v>4.890762</ns0:v>
      </ns0:c>
      <ns0:c r="AA189" s="49">
        <ns0:f t="shared" si="123"/>
        <ns0:v>9.98144</ns0:v>
      </ns0:c>
      <ns0:c r="AB189" s="49">
        <ns0:f t="shared" si="123"/>
        <ns0:v>11.714429</ns0:v>
      </ns0:c>
      <ns0:c r="AC189" s="49">
        <ns0:f t="shared" si="123"/>
        <ns0:v>22.655174</ns0:v>
      </ns0:c>
    </ns0:row>
    <ns0:row r="190" spans="1:29">
      <ns0:c r="A190" s="32"/>
      <ns0:c r="B190" s="33"/>
      <ns0:c r="C190" s="38" t="s">
        <ns0:v>53</ns0:v>
      </ns0:c>
      <ns0:c r="D190" s="37"/>
      <ns0:c r="E190" s="26">
        <ns0:f t="shared" si="122"/>
        <ns0:v>212.584493</ns0:v>
      </ns0:c>
      <ns0:c r="F190" s="49">
        <ns0:f t="shared" ref="F190:AC190" si="124">(IF(F189&gt;0,ABS(MIN(F184*0.2,ABS(F185))*F188),F189))*1</ns0:f>
        <ns0:v>-2.925923</ns0:v>
      </ns0:c>
      <ns0:c r="G190" s="49">
        <ns0:f t="shared" si="124"/>
        <ns0:v>-4.618656</ns0:v>
      </ns0:c>
      <ns0:c r="H190" s="49">
        <ns0:f t="shared" si="124"/>
        <ns0:v>1.4983224</ns0:v>
      </ns0:c>
      <ns0:c r="I190" s="49">
        <ns0:f t="shared" si="124"/>
        <ns0:v>-0.697047000000002</ns0:v>
      </ns0:c>
      <ns0:c r="J190" s="49">
        <ns0:f t="shared" si="124"/>
        <ns0:v>0.723839999999998</ns0:v>
      </ns0:c>
      <ns0:c r="K190" s="49">
        <ns0:f t="shared" si="124"/>
        <ns0:v>1.096678</ns0:v>
      </ns0:c>
      <ns0:c r="L190" s="49">
        <ns0:f t="shared" si="124"/>
        <ns0:v>0.303139999999999</ns0:v>
      </ns0:c>
      <ns0:c r="M190" s="49">
        <ns0:f t="shared" si="124"/>
        <ns0:v>0.539847</ns0:v>
      </ns0:c>
      <ns0:c r="N190" s="49">
        <ns0:f t="shared" si="124"/>
        <ns0:v>-0.100359</ns0:v>
      </ns0:c>
      <ns0:c r="O190" s="49">
        <ns0:f t="shared" si="124"/>
        <ns0:v>95.9381429999999</ns0:v>
      </ns0:c>
      <ns0:c r="P190" s="49">
        <ns0:f t="shared" si="124"/>
        <ns0:v>46.992528</ns0:v>
      </ns0:c>
      <ns0:c r="Q190" s="49">
        <ns0:f t="shared" si="124"/>
        <ns0:v>18.668788</ns0:v>
      </ns0:c>
      <ns0:c r="R190" s="49">
        <ns0:f t="shared" si="124"/>
        <ns0:v>1.134382</ns0:v>
      </ns0:c>
      <ns0:c r="S190" s="49">
        <ns0:f t="shared" si="124"/>
        <ns0:v>8.914662</ns0:v>
      </ns0:c>
      <ns0:c r="T190" s="49">
        <ns0:f t="shared" si="124"/>
        <ns0:v>15.6187</ns0:v>
      </ns0:c>
      <ns0:c r="U190" s="49">
        <ns0:f t="shared" si="124"/>
        <ns0:v>53.83764</ns0:v>
      </ns0:c>
      <ns0:c r="V190" s="49">
        <ns0:f t="shared" si="124"/>
        <ns0:v>-44.096008</ns0:v>
      </ns0:c>
      <ns0:c r="W190" s="49">
        <ns0:f t="shared" si="124"/>
        <ns0:v>6.2664256</ns0:v>
      </ns0:c>
      <ns0:c r="X190" s="49">
        <ns0:f t="shared" si="124"/>
        <ns0:v>-7.80788299999997</ns0:v>
      </ns0:c>
      <ns0:c r="Y190" s="49">
        <ns0:f t="shared" si="124"/>
        <ns0:v>-13.535344</ns0:v>
      </ns0:c>
      <ns0:c r="Z190" s="49">
        <ns0:f t="shared" si="124"/>
        <ns0:v>4.3629084</ns0:v>
      </ns0:c>
      <ns0:c r="AA190" s="49">
        <ns0:f t="shared" si="124"/>
        <ns0:v>7.387648</ns0:v>
      </ns0:c>
      <ns0:c r="AB190" s="49">
        <ns0:f t="shared" si="124"/>
        <ns0:v>9.0551558</ns0:v>
      </ns0:c>
      <ns0:c r="AC190" s="49">
        <ns0:f t="shared" si="124"/>
        <ns0:v>14.0269048</ns0:v>
      </ns0:c>
    </ns0:row>
    <ns0:row r="191" spans="1:29">
      <ns0:c r="A191" s="32"/>
      <ns0:c r="B191" s="33"/>
      <ns0:c r="C191" s="39" t="s">
        <ns0:v>50</ns0:v>
      </ns0:c>
      <ns0:c r="D191" s="37"/>
      <ns0:c r="E191" s="44">
        <ns0:f>E189-E190</ns0:f>
        <ns0:v>21.456352</ns0:v>
      </ns0:c>
      <ns0:c r="F191" s="50">
        <ns0:f t="shared" ref="F191:AC191" si="125">(F189-F190)*1</ns0:f>
        <ns0:v>0</ns0:v>
      </ns0:c>
      <ns0:c r="G191" s="50">
        <ns0:f t="shared" si="125"/>
        <ns0:v>0</ns0:v>
      </ns0:c>
      <ns0:c r="H191" s="50">
        <ns0:f t="shared" si="125"/>
        <ns0:v>0.2035296</ns0:v>
      </ns0:c>
      <ns0:c r="I191" s="50">
        <ns0:f t="shared" si="125"/>
        <ns0:v>0</ns0:v>
      </ns0:c>
      <ns0:c r="J191" s="50">
        <ns0:f t="shared" si="125"/>
        <ns0:v>0</ns0:v>
      </ns0:c>
      <ns0:c r="K191" s="50">
        <ns0:f t="shared" si="125"/>
        <ns0:v>0</ns0:v>
      </ns0:c>
      <ns0:c r="L191" s="50">
        <ns0:f t="shared" si="125"/>
        <ns0:v>0</ns0:v>
      </ns0:c>
      <ns0:c r="M191" s="50">
        <ns0:f t="shared" si="125"/>
        <ns0:v>0</ns0:v>
      </ns0:c>
      <ns0:c r="N191" s="50">
        <ns0:f t="shared" si="125"/>
        <ns0:v>0</ns0:v>
      </ns0:c>
      <ns0:c r="O191" s="50">
        <ns0:f t="shared" si="125"/>
        <ns0:v>0</ns0:v>
      </ns0:c>
      <ns0:c r="P191" s="50">
        <ns0:f t="shared" si="125"/>
        <ns0:v>0</ns0:v>
      </ns0:c>
      <ns0:c r="Q191" s="50">
        <ns0:f t="shared" si="125"/>
        <ns0:v>0</ns0:v>
      </ns0:c>
      <ns0:c r="R191" s="50">
        <ns0:f t="shared" si="125"/>
        <ns0:v>0</ns0:v>
      </ns0:c>
      <ns0:c r="S191" s="50">
        <ns0:f t="shared" si="125"/>
        <ns0:v>1.77064799999999</ns0:v>
      </ns0:c>
      <ns0:c r="T191" s="50">
        <ns0:f t="shared" si="125"/>
        <ns0:v>0.813800000000002</ns0:v>
      </ns0:c>
      <ns0:c r="U191" s="50">
        <ns0:f t="shared" si="125"/>
        <ns0:v>2.33351999999999</ns0:v>
      </ns0:c>
      <ns0:c r="V191" s="50">
        <ns0:f t="shared" si="125"/>
        <ns0:v>0</ns0:v>
      </ns0:c>
      <ns0:c r="W191" s="50">
        <ns0:f t="shared" si="125"/>
        <ns0:v>1.9256664</ns0:v>
      </ns0:c>
      <ns0:c r="X191" s="50">
        <ns0:f t="shared" si="125"/>
        <ns0:v>0</ns0:v>
      </ns0:c>
      <ns0:c r="Y191" s="50">
        <ns0:f t="shared" si="125"/>
        <ns0:v>0</ns0:v>
      </ns0:c>
      <ns0:c r="Z191" s="50">
        <ns0:f t="shared" si="125"/>
        <ns0:v>0.527853600000001</ns0:v>
      </ns0:c>
      <ns0:c r="AA191" s="50">
        <ns0:f t="shared" si="125"/>
        <ns0:v>2.593792</ns0:v>
      </ns0:c>
      <ns0:c r="AB191" s="50">
        <ns0:f t="shared" si="125"/>
        <ns0:v>2.6592732</ns0:v>
      </ns0:c>
      <ns0:c r="AC191" s="50">
        <ns0:f t="shared" si="125"/>
        <ns0:v>8.62826919999999</ns0:v>
      </ns0:c>
    </ns0:row>
    <ns0:row r="192" spans="1:29">
      <ns0:c r="A192" s="29">
        <ns0:v>46013</ns0:v>
      </ns0:c>
      <ns0:c r="B192" s="30">
        <ns0:f>E199</ns0:f>
        <ns0:v>203.0791674</ns0:v>
      </ns0:c>
      <ns0:c r="C192" s="31" t="s">
        <ns0:v>47</ns0:v>
      </ns0:c>
      <ns0:c r="D192" s="31" t="s">
        <ns0:v>48</ns0:v>
      </ns0:c>
      <ns0:c r="E192" s="42">
        <ns0:f t="shared" si="122"/>
        <ns0:v>53.28</ns0:v>
      </ns0:c>
      <ns0:c r="F192" s="49">
        <ns0:v>1.033</ns0:v>
      </ns0:c>
      <ns0:c r="G192" s="49">
        <ns0:v>1.097</ns0:v>
      </ns0:c>
      <ns0:c r="H192" s="49">
        <ns0:v>0.965</ns0:v>
      </ns0:c>
      <ns0:c r="I192" s="49">
        <ns0:v>0.932</ns0:v>
      </ns0:c>
      <ns0:c r="J192" s="49">
        <ns0:v>0.891</ns0:v>
      </ns0:c>
      <ns0:c r="K192" s="49">
        <ns0:v>0.898</ns0:v>
      </ns0:c>
      <ns0:c r="L192" s="49">
        <ns0:v>0.896</ns0:v>
      </ns0:c>
      <ns0:c r="M192" s="49">
        <ns0:v>1.588</ns0:v>
      </ns0:c>
      <ns0:c r="N192" s="49">
        <ns0:v>3.333</ns0:v>
      </ns0:c>
      <ns0:c r="O192" s="49">
        <ns0:v>3.713</ns0:v>
      </ns0:c>
      <ns0:c r="P192" s="49">
        <ns0:v>2.472</ns0:v>
      </ns0:c>
      <ns0:c r="Q192" s="49">
        <ns0:v>2.386</ns0:v>
      </ns0:c>
      <ns0:c r="R192" s="49">
        <ns0:v>2.055</ns0:v>
      </ns0:c>
      <ns0:c r="S192" s="49">
        <ns0:v>2.454</ns0:v>
      </ns0:c>
      <ns0:c r="T192" s="49">
        <ns0:v>2.878</ns0:v>
      </ns0:c>
      <ns0:c r="U192" s="49">
        <ns0:v>3.431</ns0:v>
      </ns0:c>
      <ns0:c r="V192" s="49">
        <ns0:v>3.929</ns0:v>
      </ns0:c>
      <ns0:c r="W192" s="49">
        <ns0:v>3.759</ns0:v>
      </ns0:c>
      <ns0:c r="X192" s="49">
        <ns0:v>3.433</ns0:v>
      </ns0:c>
      <ns0:c r="Y192" s="49">
        <ns0:v>3.496</ns0:v>
      </ns0:c>
      <ns0:c r="Z192" s="49">
        <ns0:v>2.446</ns0:v>
      </ns0:c>
      <ns0:c r="AA192" s="49">
        <ns0:v>2.047</ns0:v>
      </ns0:c>
      <ns0:c r="AB192" s="49">
        <ns0:v>1.627</ns0:v>
      </ns0:c>
      <ns0:c r="AC192" s="49">
        <ns0:v>1.521</ns0:v>
      </ns0:c>
    </ns0:row>
    <ns0:row r="193" spans="1:29">
      <ns0:c r="A193" s="32"/>
      <ns0:c r="B193" s="33"/>
      <ns0:c r="C193" s="32"/>
      <ns0:c r="D193" s="6" t="s">
        <ns0:v>49</ns0:v>
      </ns0:c>
      <ns0:c r="E193" s="42">
        <ns0:f t="shared" si="122"/>
        <ns0:v>64.389</ns0:v>
      </ns0:c>
      <ns0:c r="F193" s="49">
        <ns0:v>1.3751</ns0:v>
      </ns0:c>
      <ns0:c r="G193" s="49">
        <ns0:v>1.4099</ns0:v>
      </ns0:c>
      <ns0:c r="H193" s="49">
        <ns0:v>1.4137</ns0:v>
      </ns0:c>
      <ns0:c r="I193" s="49">
        <ns0:v>1.4274</ns0:v>
      </ns0:c>
      <ns0:c r="J193" s="49">
        <ns0:v>1.389</ns0:v>
      </ns0:c>
      <ns0:c r="K193" s="49">
        <ns0:v>1.3861</ns0:v>
      </ns0:c>
      <ns0:c r="L193" s="49">
        <ns0:v>1.3048</ns0:v>
      </ns0:c>
      <ns0:c r="M193" s="49">
        <ns0:v>1.7741</ns0:v>
      </ns0:c>
      <ns0:c r="N193" s="49">
        <ns0:v>3.8889</ns0:v>
      </ns0:c>
      <ns0:c r="O193" s="49">
        <ns0:v>4.145</ns0:v>
      </ns0:c>
      <ns0:c r="P193" s="49">
        <ns0:v>3.5365</ns0:v>
      </ns0:c>
      <ns0:c r="Q193" s="49">
        <ns0:v>3.3894</ns0:v>
      </ns0:c>
      <ns0:c r="R193" s="49">
        <ns0:v>2.8616</ns0:v>
      </ns0:c>
      <ns0:c r="S193" s="49">
        <ns0:v>3.3324</ns0:v>
      </ns0:c>
      <ns0:c r="T193" s="49">
        <ns0:v>3.9265</ns0:v>
      </ns0:c>
      <ns0:c r="U193" s="49">
        <ns0:v>3.823</ns0:v>
      </ns0:c>
      <ns0:c r="V193" s="49">
        <ns0:v>3.9897</ns0:v>
      </ns0:c>
      <ns0:c r="W193" s="49">
        <ns0:v>3.6461</ns0:v>
      </ns0:c>
      <ns0:c r="X193" s="49">
        <ns0:v>3.253</ns0:v>
      </ns0:c>
      <ns0:c r="Y193" s="49">
        <ns0:v>3.5195</ns0:v>
      </ns0:c>
      <ns0:c r="Z193" s="49">
        <ns0:v>3.2736</ns0:v>
      </ns0:c>
      <ns0:c r="AA193" s="49">
        <ns0:v>2.7011</ns0:v>
      </ns0:c>
      <ns0:c r="AB193" s="49">
        <ns0:v>1.9684</ns0:v>
      </ns0:c>
      <ns0:c r="AC193" s="49">
        <ns0:v>1.6542</ns0:v>
      </ns0:c>
    </ns0:row>
    <ns0:row r="194" spans="1:29">
      <ns0:c r="A194" s="32"/>
      <ns0:c r="B194" s="33"/>
      <ns0:c r="C194" s="34"/>
      <ns0:c r="D194" s="31" t="s">
        <ns0:v>50</ns0:v>
      </ns0:c>
      <ns0:c r="E194" s="26">
        <ns0:f>E192-E193</ns0:f>
        <ns0:v>-11.109</ns0:v>
      </ns0:c>
      <ns0:c r="F194" s="49">
        <ns0:f t="shared" ref="F194:AC194" si="126">(F192-F193)*1</ns0:f>
        <ns0:v>-0.3421</ns0:v>
      </ns0:c>
      <ns0:c r="G194" s="49">
        <ns0:f t="shared" si="126"/>
        <ns0:v>-0.3129</ns0:v>
      </ns0:c>
      <ns0:c r="H194" s="49">
        <ns0:f t="shared" si="126"/>
        <ns0:v>-0.4487</ns0:v>
      </ns0:c>
      <ns0:c r="I194" s="49">
        <ns0:f t="shared" si="126"/>
        <ns0:v>-0.4954</ns0:v>
      </ns0:c>
      <ns0:c r="J194" s="49">
        <ns0:f t="shared" si="126"/>
        <ns0:v>-0.498</ns0:v>
      </ns0:c>
      <ns0:c r="K194" s="49">
        <ns0:f t="shared" si="126"/>
        <ns0:v>-0.4881</ns0:v>
      </ns0:c>
      <ns0:c r="L194" s="49">
        <ns0:f t="shared" si="126"/>
        <ns0:v>-0.4088</ns0:v>
      </ns0:c>
      <ns0:c r="M194" s="49">
        <ns0:f t="shared" si="126"/>
        <ns0:v>-0.1861</ns0:v>
      </ns0:c>
      <ns0:c r="N194" s="49">
        <ns0:f t="shared" si="126"/>
        <ns0:v>-0.5559</ns0:v>
      </ns0:c>
      <ns0:c r="O194" s="49">
        <ns0:f t="shared" si="126"/>
        <ns0:v>-0.431999999999999</ns0:v>
      </ns0:c>
      <ns0:c r="P194" s="49">
        <ns0:f t="shared" si="126"/>
        <ns0:v>-1.0645</ns0:v>
      </ns0:c>
      <ns0:c r="Q194" s="49">
        <ns0:f t="shared" si="126"/>
        <ns0:v>-1.0034</ns0:v>
      </ns0:c>
      <ns0:c r="R194" s="49">
        <ns0:f t="shared" si="126"/>
        <ns0:v>-0.8066</ns0:v>
      </ns0:c>
      <ns0:c r="S194" s="49">
        <ns0:f t="shared" si="126"/>
        <ns0:v>-0.8784</ns0:v>
      </ns0:c>
      <ns0:c r="T194" s="49">
        <ns0:f t="shared" si="126"/>
        <ns0:v>-1.0485</ns0:v>
      </ns0:c>
      <ns0:c r="U194" s="49">
        <ns0:f t="shared" si="126"/>
        <ns0:v>-0.392</ns0:v>
      </ns0:c>
      <ns0:c r="V194" s="49">
        <ns0:f t="shared" si="126"/>
        <ns0:v>-0.0607000000000002</ns0:v>
      </ns0:c>
      <ns0:c r="W194" s="49">
        <ns0:f t="shared" si="126"/>
        <ns0:v>0.1129</ns0:v>
      </ns0:c>
      <ns0:c r="X194" s="49">
        <ns0:f t="shared" si="126"/>
        <ns0:v>0.18</ns0:v>
      </ns0:c>
      <ns0:c r="Y194" s="49">
        <ns0:f t="shared" si="126"/>
        <ns0:v>-0.0234999999999999</ns0:v>
      </ns0:c>
      <ns0:c r="Z194" s="49">
        <ns0:f t="shared" si="126"/>
        <ns0:v>-0.8276</ns0:v>
      </ns0:c>
      <ns0:c r="AA194" s="49">
        <ns0:f t="shared" si="126"/>
        <ns0:v>-0.6541</ns0:v>
      </ns0:c>
      <ns0:c r="AB194" s="49">
        <ns0:f t="shared" si="126"/>
        <ns0:v>-0.3414</ns0:v>
      </ns0:c>
      <ns0:c r="AC194" s="49">
        <ns0:f t="shared" si="126"/>
        <ns0:v>-0.1332</ns0:v>
      </ns0:c>
    </ns0:row>
    <ns0:row r="195" spans="1:29">
      <ns0:c r="A195" s="32"/>
      <ns0:c r="B195" s="33"/>
      <ns0:c r="C195" s="35" t="s">
        <ns0:v>51</ns0:v>
      </ns0:c>
      <ns0:c r="D195" s="31" t="s">
        <ns0:v>48</ns0:v>
      </ns0:c>
      <ns0:c r="E195" s="31">
        <ns0:f>AVERAGE(F195:AC195)</ns0:f>
        <ns0:v>263.524166666667</ns0:v>
      </ns0:c>
      <ns0:c r="F195" s="49">
        <ns0:v>288.72</ns0:v>
      </ns0:c>
      <ns0:c r="G195" s="49">
        <ns0:v>280.29</ns0:v>
      </ns0:c>
      <ns0:c r="H195" s="49">
        <ns0:v>271.67</ns0:v>
      </ns0:c>
      <ns0:c r="I195" s="49">
        <ns0:v>255.46</ns0:v>
      </ns0:c>
      <ns0:c r="J195" s="49">
        <ns0:v>244.96</ns0:v>
      </ns0:c>
      <ns0:c r="K195" s="49">
        <ns0:v>249.75</ns0:v>
      </ns0:c>
      <ns0:c r="L195" s="49">
        <ns0:v>271.25</ns0:v>
      </ns0:c>
      <ns0:c r="M195" s="49">
        <ns0:v>291.92</ns0:v>
      </ns0:c>
      <ns0:c r="N195" s="49">
        <ns0:v>309.37</ns0:v>
      </ns0:c>
      <ns0:c r="O195" s="49">
        <ns0:v>296.55</ns0:v>
      </ns0:c>
      <ns0:c r="P195" s="49">
        <ns0:v>216.79</ns0:v>
      </ns0:c>
      <ns0:c r="Q195" s="49">
        <ns0:v>192.68</ns0:v>
      </ns0:c>
      <ns0:c r="R195" s="49">
        <ns0:v>29.51</ns0:v>
      </ns0:c>
      <ns0:c r="S195" s="49">
        <ns0:v>42.69</ns0:v>
      </ns0:c>
      <ns0:c r="T195" s="49">
        <ns0:v>53.71</ns0:v>
      </ns0:c>
      <ns0:c r="U195" s="49">
        <ns0:v>162.39</ns0:v>
      </ns0:c>
      <ns0:c r="V195" s="49">
        <ns0:v>295.92</ns0:v>
      </ns0:c>
      <ns0:c r="W195" s="49">
        <ns0:v>364.66</ns0:v>
      </ns0:c>
      <ns0:c r="X195" s="49">
        <ns0:v>387.17</ns0:v>
      </ns0:c>
      <ns0:c r="Y195" s="49">
        <ns0:v>385.77</ns0:v>
      </ns0:c>
      <ns0:c r="Z195" s="49">
        <ns0:v>387.28</ns0:v>
      </ns0:c>
      <ns0:c r="AA195" s="49">
        <ns0:v>393.01</ns0:v>
      </ns0:c>
      <ns0:c r="AB195" s="49">
        <ns0:v>353.55</ns0:v>
      </ns0:c>
      <ns0:c r="AC195" s="49">
        <ns0:v>299.51</ns0:v>
      </ns0:c>
    </ns0:row>
    <ns0:row r="196" spans="1:29">
      <ns0:c r="A196" s="32"/>
      <ns0:c r="B196" s="33"/>
      <ns0:c r="C196" s="32"/>
      <ns0:c r="D196" s="31" t="s">
        <ns0:v>49</ns0:v>
      </ns0:c>
      <ns0:c r="E196" s="31">
        <ns0:f>AVERAGE(F196:AC196)</ns0:f>
        <ns0:v>223.053333333333</ns0:v>
      </ns0:c>
      <ns0:c r="F196" s="49">
        <ns0:v>251.83</ns0:v>
      </ns0:c>
      <ns0:c r="G196" s="49">
        <ns0:v>239.94</ns0:v>
      </ns0:c>
      <ns0:c r="H196" s="49">
        <ns0:v>235.23</ns0:v>
      </ns0:c>
      <ns0:c r="I196" s="49">
        <ns0:v>206.95</ns0:v>
      </ns0:c>
      <ns0:c r="J196" s="49">
        <ns0:v>201.64</ns0:v>
      </ns0:c>
      <ns0:c r="K196" s="49">
        <ns0:v>184.45</ns0:v>
      </ns0:c>
      <ns0:c r="L196" s="49">
        <ns0:v>218.65</ns0:v>
      </ns0:c>
      <ns0:c r="M196" s="49">
        <ns0:v>240.14</ns0:v>
      </ns0:c>
      <ns0:c r="N196" s="49">
        <ns0:v>307.94</ns0:v>
      </ns0:c>
      <ns0:c r="O196" s="49">
        <ns0:v>311.75</ns0:v>
      </ns0:c>
      <ns0:c r="P196" s="49">
        <ns0:v>198.52</ns0:v>
      </ns0:c>
      <ns0:c r="Q196" s="49">
        <ns0:v>125.74</ns0:v>
      </ns0:c>
      <ns0:c r="R196" s="49">
        <ns0:v>92.15</ns0:v>
      </ns0:c>
      <ns0:c r="S196" s="49">
        <ns0:v>101.26</ns0:v>
      </ns0:c>
      <ns0:c r="T196" s="49">
        <ns0:v>49.13</ns0:v>
      </ns0:c>
      <ns0:c r="U196" s="49">
        <ns0:v>102.59</ns0:v>
      </ns0:c>
      <ns0:c r="V196" s="49">
        <ns0:v>218.49</ns0:v>
      </ns0:c>
      <ns0:c r="W196" s="49">
        <ns0:v>286.72</ns0:v>
      </ns0:c>
      <ns0:c r="X196" s="49">
        <ns0:v>338.93</ns0:v>
      </ns0:c>
      <ns0:c r="Y196" s="49">
        <ns0:v>324.62</ns0:v>
      </ns0:c>
      <ns0:c r="Z196" s="49">
        <ns0:v>312.78</ns0:v>
      </ns0:c>
      <ns0:c r="AA196" s="49">
        <ns0:v>300.26</ns0:v>
      </ns0:c>
      <ns0:c r="AB196" s="49">
        <ns0:v>262.95</ns0:v>
      </ns0:c>
      <ns0:c r="AC196" s="49">
        <ns0:v>240.62</ns0:v>
      </ns0:c>
    </ns0:row>
    <ns0:row r="197" spans="1:29">
      <ns0:c r="A197" s="32"/>
      <ns0:c r="B197" s="33"/>
      <ns0:c r="C197" s="34"/>
      <ns0:c r="D197" s="31" t="s">
        <ns0:v>50</ns0:v>
      </ns0:c>
      <ns0:c r="E197" s="26">
        <ns0:f>E195-E196</ns0:f>
        <ns0:v>40.4708333333333</ns0:v>
      </ns0:c>
      <ns0:c r="F197" s="49">
        <ns0:f t="shared" ref="F197:AC197" si="127">(F195-F196)*1</ns0:f>
        <ns0:v>36.89</ns0:v>
      </ns0:c>
      <ns0:c r="G197" s="49">
        <ns0:f t="shared" si="127"/>
        <ns0:v>40.35</ns0:v>
      </ns0:c>
      <ns0:c r="H197" s="49">
        <ns0:f t="shared" si="127"/>
        <ns0:v>36.44</ns0:v>
      </ns0:c>
      <ns0:c r="I197" s="49">
        <ns0:f t="shared" si="127"/>
        <ns0:v>48.51</ns0:v>
      </ns0:c>
      <ns0:c r="J197" s="49">
        <ns0:f t="shared" si="127"/>
        <ns0:v>43.32</ns0:v>
      </ns0:c>
      <ns0:c r="K197" s="49">
        <ns0:f t="shared" si="127"/>
        <ns0:v>65.3</ns0:v>
      </ns0:c>
      <ns0:c r="L197" s="49">
        <ns0:f t="shared" si="127"/>
        <ns0:v>52.6</ns0:v>
      </ns0:c>
      <ns0:c r="M197" s="49">
        <ns0:f t="shared" si="127"/>
        <ns0:v>51.78</ns0:v>
      </ns0:c>
      <ns0:c r="N197" s="49">
        <ns0:f t="shared" si="127"/>
        <ns0:v>1.43000000000001</ns0:v>
      </ns0:c>
      <ns0:c r="O197" s="49">
        <ns0:f t="shared" si="127"/>
        <ns0:v>-15.2</ns0:v>
      </ns0:c>
      <ns0:c r="P197" s="49">
        <ns0:f t="shared" si="127"/>
        <ns0:v>18.27</ns0:v>
      </ns0:c>
      <ns0:c r="Q197" s="49">
        <ns0:f t="shared" si="127"/>
        <ns0:v>66.94</ns0:v>
      </ns0:c>
      <ns0:c r="R197" s="49">
        <ns0:f t="shared" si="127"/>
        <ns0:v>-62.64</ns0:v>
      </ns0:c>
      <ns0:c r="S197" s="49">
        <ns0:f t="shared" si="127"/>
        <ns0:v>-58.57</ns0:v>
      </ns0:c>
      <ns0:c r="T197" s="49">
        <ns0:f t="shared" si="127"/>
        <ns0:v>4.58</ns0:v>
      </ns0:c>
      <ns0:c r="U197" s="49">
        <ns0:f t="shared" si="127"/>
        <ns0:v>59.8</ns0:v>
      </ns0:c>
      <ns0:c r="V197" s="49">
        <ns0:f t="shared" si="127"/>
        <ns0:v>77.43</ns0:v>
      </ns0:c>
      <ns0:c r="W197" s="49">
        <ns0:f t="shared" si="127"/>
        <ns0:v>77.94</ns0:v>
      </ns0:c>
      <ns0:c r="X197" s="49">
        <ns0:f t="shared" si="127"/>
        <ns0:v>48.24</ns0:v>
      </ns0:c>
      <ns0:c r="Y197" s="49">
        <ns0:f t="shared" si="127"/>
        <ns0:v>61.15</ns0:v>
      </ns0:c>
      <ns0:c r="Z197" s="49">
        <ns0:f t="shared" si="127"/>
        <ns0:v>74.5</ns0:v>
      </ns0:c>
      <ns0:c r="AA197" s="49">
        <ns0:f t="shared" si="127"/>
        <ns0:v>92.75</ns0:v>
      </ns0:c>
      <ns0:c r="AB197" s="49">
        <ns0:f t="shared" si="127"/>
        <ns0:v>90.6</ns0:v>
      </ns0:c>
      <ns0:c r="AC197" s="49">
        <ns0:f t="shared" si="127"/>
        <ns0:v>58.89</ns0:v>
      </ns0:c>
    </ns0:row>
    <ns0:row r="198" spans="1:29">
      <ns0:c r="A198" s="32"/>
      <ns0:c r="B198" s="33"/>
      <ns0:c r="C198" s="36" t="s">
        <ns0:v>52</ns0:v>
      </ns0:c>
      <ns0:c r="D198" s="37"/>
      <ns0:c r="E198" s="26">
        <ns0:f t="shared" ref="E198:E202" si="128">SUM(F198:AC198)</ns0:f>
        <ns0:v>307.081823</ns0:v>
      </ns0:c>
      <ns0:c r="F198" s="49">
        <ns0:f t="shared" ref="F198:AC198" si="129">(-F194*F197)*1</ns0:f>
        <ns0:v>12.620069</ns0:v>
      </ns0:c>
      <ns0:c r="G198" s="49">
        <ns0:f t="shared" si="129"/>
        <ns0:v>12.625515</ns0:v>
      </ns0:c>
      <ns0:c r="H198" s="49">
        <ns0:f t="shared" si="129"/>
        <ns0:v>16.350628</ns0:v>
      </ns0:c>
      <ns0:c r="I198" s="49">
        <ns0:f t="shared" si="129"/>
        <ns0:v>24.031854</ns0:v>
      </ns0:c>
      <ns0:c r="J198" s="49">
        <ns0:f t="shared" si="129"/>
        <ns0:v>21.57336</ns0:v>
      </ns0:c>
      <ns0:c r="K198" s="49">
        <ns0:f t="shared" si="129"/>
        <ns0:v>31.87293</ns0:v>
      </ns0:c>
      <ns0:c r="L198" s="49">
        <ns0:f t="shared" si="129"/>
        <ns0:v>21.50288</ns0:v>
      </ns0:c>
      <ns0:c r="M198" s="49">
        <ns0:f t="shared" si="129"/>
        <ns0:v>9.636258</ns0:v>
      </ns0:c>
      <ns0:c r="N198" s="49">
        <ns0:f t="shared" si="129"/>
        <ns0:v>0.794937000000005</ns0:v>
      </ns0:c>
      <ns0:c r="O198" s="49">
        <ns0:f t="shared" si="129"/>
        <ns0:v>-6.56639999999999</ns0:v>
      </ns0:c>
      <ns0:c r="P198" s="49">
        <ns0:f t="shared" si="129"/>
        <ns0:v>19.448415</ns0:v>
      </ns0:c>
      <ns0:c r="Q198" s="49">
        <ns0:f t="shared" si="129"/>
        <ns0:v>67.167596</ns0:v>
      </ns0:c>
      <ns0:c r="R198" s="49">
        <ns0:f t="shared" si="129"/>
        <ns0:v>-50.525424</ns0:v>
      </ns0:c>
      <ns0:c r="S198" s="49">
        <ns0:f t="shared" si="129"/>
        <ns0:v>-51.447888</ns0:v>
      </ns0:c>
      <ns0:c r="T198" s="49">
        <ns0:f t="shared" si="129"/>
        <ns0:v>4.80213</ns0:v>
      </ns0:c>
      <ns0:c r="U198" s="49">
        <ns0:f t="shared" si="129"/>
        <ns0:v>23.4416</ns0:v>
      </ns0:c>
      <ns0:c r="V198" s="49">
        <ns0:f t="shared" si="129"/>
        <ns0:v>4.70000100000002</ns0:v>
      </ns0:c>
      <ns0:c r="W198" s="49">
        <ns0:f t="shared" si="129"/>
        <ns0:v>-8.79942599999998</ns0:v>
      </ns0:c>
      <ns0:c r="X198" s="49">
        <ns0:f t="shared" si="129"/>
        <ns0:v>-8.68319999999999</ns0:v>
      </ns0:c>
      <ns0:c r="Y198" s="49">
        <ns0:f t="shared" si="129"/>
        <ns0:v>1.43702499999999</ns0:v>
      </ns0:c>
      <ns0:c r="Z198" s="49">
        <ns0:f t="shared" si="129"/>
        <ns0:v>61.6562</ns0:v>
      </ns0:c>
      <ns0:c r="AA198" s="49">
        <ns0:f t="shared" si="129"/>
        <ns0:v>60.667775</ns0:v>
      </ns0:c>
      <ns0:c r="AB198" s="49">
        <ns0:f t="shared" si="129"/>
        <ns0:v>30.93084</ns0:v>
      </ns0:c>
      <ns0:c r="AC198" s="49">
        <ns0:f t="shared" si="129"/>
        <ns0:v>7.844148</ns0:v>
      </ns0:c>
    </ns0:row>
    <ns0:row r="199" spans="1:29">
      <ns0:c r="A199" s="32"/>
      <ns0:c r="B199" s="33"/>
      <ns0:c r="C199" s="38" t="s">
        <ns0:v>53</ns0:v>
      </ns0:c>
      <ns0:c r="D199" s="37"/>
      <ns0:c r="E199" s="26">
        <ns0:f t="shared" si="128"/>
        <ns0:v>203.0791674</ns0:v>
      </ns0:c>
      <ns0:c r="F199" s="49">
        <ns0:f t="shared" ref="F199:AC199" si="130">(IF(F198&gt;0,ABS(MIN(F193*0.2,ABS(F194))*F197),F198))*1</ns0:f>
        <ns0:v>10.1454878</ns0:v>
      </ns0:c>
      <ns0:c r="G199" s="49">
        <ns0:f t="shared" si="130"/>
        <ns0:v>11.377893</ns0:v>
      </ns0:c>
      <ns0:c r="H199" s="49">
        <ns0:f t="shared" si="130"/>
        <ns0:v>10.3030456</ns0:v>
      </ns0:c>
      <ns0:c r="I199" s="49">
        <ns0:f t="shared" si="130"/>
        <ns0:v>13.8486348</ns0:v>
      </ns0:c>
      <ns0:c r="J199" s="49">
        <ns0:f t="shared" si="130"/>
        <ns0:v>12.034296</ns0:v>
      </ns0:c>
      <ns0:c r="K199" s="49">
        <ns0:f t="shared" si="130"/>
        <ns0:v>18.102466</ns0:v>
      </ns0:c>
      <ns0:c r="L199" s="49">
        <ns0:f t="shared" si="130"/>
        <ns0:v>13.726496</ns0:v>
      </ns0:c>
      <ns0:c r="M199" s="49">
        <ns0:f t="shared" si="130"/>
        <ns0:v>9.636258</ns0:v>
      </ns0:c>
      <ns0:c r="N199" s="49">
        <ns0:f t="shared" si="130"/>
        <ns0:v>0.794937000000005</ns0:v>
      </ns0:c>
      <ns0:c r="O199" s="49">
        <ns0:f t="shared" si="130"/>
        <ns0:v>-6.56639999999999</ns0:v>
      </ns0:c>
      <ns0:c r="P199" s="49">
        <ns0:f t="shared" si="130"/>
        <ns0:v>12.922371</ns0:v>
      </ns0:c>
      <ns0:c r="Q199" s="49">
        <ns0:f t="shared" si="130"/>
        <ns0:v>45.3772872</ns0:v>
      </ns0:c>
      <ns0:c r="R199" s="49">
        <ns0:f t="shared" si="130"/>
        <ns0:v>-50.525424</ns0:v>
      </ns0:c>
      <ns0:c r="S199" s="49">
        <ns0:f t="shared" si="130"/>
        <ns0:v>-51.447888</ns0:v>
      </ns0:c>
      <ns0:c r="T199" s="49">
        <ns0:f t="shared" si="130"/>
        <ns0:v>3.596674</ns0:v>
      </ns0:c>
      <ns0:c r="U199" s="49">
        <ns0:f t="shared" si="130"/>
        <ns0:v>23.4416</ns0:v>
      </ns0:c>
      <ns0:c r="V199" s="49">
        <ns0:f t="shared" si="130"/>
        <ns0:v>4.70000100000002</ns0:v>
      </ns0:c>
      <ns0:c r="W199" s="49">
        <ns0:f t="shared" si="130"/>
        <ns0:v>-8.79942599999998</ns0:v>
      </ns0:c>
      <ns0:c r="X199" s="49">
        <ns0:f t="shared" si="130"/>
        <ns0:v>-8.68319999999999</ns0:v>
      </ns0:c>
      <ns0:c r="Y199" s="49">
        <ns0:f t="shared" si="130"/>
        <ns0:v>1.43702499999999</ns0:v>
      </ns0:c>
      <ns0:c r="Z199" s="49">
        <ns0:f t="shared" si="130"/>
        <ns0:v>48.77664</ns0:v>
      </ns0:c>
      <ns0:c r="AA199" s="49">
        <ns0:f t="shared" si="130"/>
        <ns0:v>50.105405</ns0:v>
      </ns0:c>
      <ns0:c r="AB199" s="49">
        <ns0:f t="shared" si="130"/>
        <ns0:v>30.93084</ns0:v>
      </ns0:c>
      <ns0:c r="AC199" s="49">
        <ns0:f t="shared" si="130"/>
        <ns0:v>7.844148</ns0:v>
      </ns0:c>
    </ns0:row>
    <ns0:row r="200" spans="1:29">
      <ns0:c r="A200" s="32"/>
      <ns0:c r="B200" s="33"/>
      <ns0:c r="C200" s="39" t="s">
        <ns0:v>50</ns0:v>
      </ns0:c>
      <ns0:c r="D200" s="37"/>
      <ns0:c r="E200" s="44">
        <ns0:f>E198-E199</ns0:f>
        <ns0:v>104.0026556</ns0:v>
      </ns0:c>
      <ns0:c r="F200" s="50">
        <ns0:f t="shared" ref="F200:AC200" si="131">(F198-F199)*1</ns0:f>
        <ns0:v>2.4745812</ns0:v>
      </ns0:c>
      <ns0:c r="G200" s="50">
        <ns0:f t="shared" si="131"/>
        <ns0:v>1.247622</ns0:v>
      </ns0:c>
      <ns0:c r="H200" s="50">
        <ns0:f t="shared" si="131"/>
        <ns0:v>6.0475824</ns0:v>
      </ns0:c>
      <ns0:c r="I200" s="50">
        <ns0:f t="shared" si="131"/>
        <ns0:v>10.1832192</ns0:v>
      </ns0:c>
      <ns0:c r="J200" s="50">
        <ns0:f t="shared" si="131"/>
        <ns0:v>9.539064</ns0:v>
      </ns0:c>
      <ns0:c r="K200" s="50">
        <ns0:f t="shared" si="131"/>
        <ns0:v>13.770464</ns0:v>
      </ns0:c>
      <ns0:c r="L200" s="50">
        <ns0:f t="shared" si="131"/>
        <ns0:v>7.776384</ns0:v>
      </ns0:c>
      <ns0:c r="M200" s="50">
        <ns0:f t="shared" si="131"/>
        <ns0:v>0</ns0:v>
      </ns0:c>
      <ns0:c r="N200" s="50">
        <ns0:f t="shared" si="131"/>
        <ns0:v>0</ns0:v>
      </ns0:c>
      <ns0:c r="O200" s="50">
        <ns0:f t="shared" si="131"/>
        <ns0:v>0</ns0:v>
      </ns0:c>
      <ns0:c r="P200" s="50">
        <ns0:f t="shared" si="131"/>
        <ns0:v>6.526044</ns0:v>
      </ns0:c>
      <ns0:c r="Q200" s="50">
        <ns0:f t="shared" si="131"/>
        <ns0:v>21.7903088</ns0:v>
      </ns0:c>
      <ns0:c r="R200" s="50">
        <ns0:f t="shared" si="131"/>
        <ns0:v>0</ns0:v>
      </ns0:c>
      <ns0:c r="S200" s="50">
        <ns0:f t="shared" si="131"/>
        <ns0:v>0</ns0:v>
      </ns0:c>
      <ns0:c r="T200" s="50">
        <ns0:f t="shared" si="131"/>
        <ns0:v>1.205456</ns0:v>
      </ns0:c>
      <ns0:c r="U200" s="50">
        <ns0:f t="shared" si="131"/>
        <ns0:v>0</ns0:v>
      </ns0:c>
      <ns0:c r="V200" s="50">
        <ns0:f t="shared" si="131"/>
        <ns0:v>0</ns0:v>
      </ns0:c>
      <ns0:c r="W200" s="50">
        <ns0:f t="shared" si="131"/>
        <ns0:v>0</ns0:v>
      </ns0:c>
      <ns0:c r="X200" s="50">
        <ns0:f t="shared" si="131"/>
        <ns0:v>0</ns0:v>
      </ns0:c>
      <ns0:c r="Y200" s="50">
        <ns0:f t="shared" si="131"/>
        <ns0:v>0</ns0:v>
      </ns0:c>
      <ns0:c r="Z200" s="50">
        <ns0:f t="shared" si="131"/>
        <ns0:v>12.87956</ns0:v>
      </ns0:c>
      <ns0:c r="AA200" s="50">
        <ns0:f t="shared" si="131"/>
        <ns0:v>10.56237</ns0:v>
      </ns0:c>
      <ns0:c r="AB200" s="50">
        <ns0:f t="shared" si="131"/>
        <ns0:v>0</ns0:v>
      </ns0:c>
      <ns0:c r="AC200" s="50">
        <ns0:f t="shared" si="131"/>
        <ns0:v>0</ns0:v>
      </ns0:c>
    </ns0:row>
    <ns0:row r="201" spans="1:29">
      <ns0:c r="A201" s="29">
        <ns0:v>46014</ns0:v>
      </ns0:c>
      <ns0:c r="B201" s="30">
        <ns0:f>E208</ns0:f>
        <ns0:v>99.277463</ns0:v>
      </ns0:c>
      <ns0:c r="C201" s="31" t="s">
        <ns0:v>47</ns0:v>
      </ns0:c>
      <ns0:c r="D201" s="31" t="s">
        <ns0:v>48</ns0:v>
      </ns0:c>
      <ns0:c r="E201" s="42">
        <ns0:f t="shared" si="128"/>
        <ns0:v>59.665</ns0:v>
      </ns0:c>
      <ns0:c r="F201" s="47">
        <ns0:v>1.628</ns0:v>
      </ns0:c>
      <ns0:c r="G201" s="47">
        <ns0:v>1.337</ns0:v>
      </ns0:c>
      <ns0:c r="H201" s="47">
        <ns0:v>1.129</ns0:v>
      </ns0:c>
      <ns0:c r="I201" s="47">
        <ns0:v>1.329</ns0:v>
      </ns0:c>
      <ns0:c r="J201" s="47">
        <ns0:v>1.249</ns0:v>
      </ns0:c>
      <ns0:c r="K201" s="47">
        <ns0:v>1.138</ns0:v>
      </ns0:c>
      <ns0:c r="L201" s="47">
        <ns0:v>1.509</ns0:v>
      </ns0:c>
      <ns0:c r="M201" s="47">
        <ns0:v>2.015</ns0:v>
      </ns0:c>
      <ns0:c r="N201" s="47">
        <ns0:v>4.391</ns0:v>
      </ns0:c>
      <ns0:c r="O201" s="47">
        <ns0:v>4.21</ns0:v>
      </ns0:c>
      <ns0:c r="P201" s="47">
        <ns0:v>2.964</ns0:v>
      </ns0:c>
      <ns0:c r="Q201" s="47">
        <ns0:v>3.142</ns0:v>
      </ns0:c>
      <ns0:c r="R201" s="47">
        <ns0:v>2.318</ns0:v>
      </ns0:c>
      <ns0:c r="S201" s="47">
        <ns0:v>2.456</ns0:v>
      </ns0:c>
      <ns0:c r="T201" s="47">
        <ns0:v>2.919</ns0:v>
      </ns0:c>
      <ns0:c r="U201" s="47">
        <ns0:v>3.193</ns0:v>
      </ns0:c>
      <ns0:c r="V201" s="47">
        <ns0:v>4.051</ns0:v>
      </ns0:c>
      <ns0:c r="W201" s="47">
        <ns0:v>4.207</ns0:v>
      </ns0:c>
      <ns0:c r="X201" s="47">
        <ns0:v>3.439</ns0:v>
      </ns0:c>
      <ns0:c r="Y201" s="47">
        <ns0:v>3.554</ns0:v>
      </ns0:c>
      <ns0:c r="Z201" s="47">
        <ns0:v>2.262</ns0:v>
      </ns0:c>
      <ns0:c r="AA201" s="47">
        <ns0:v>2.138</ns0:v>
      </ns0:c>
      <ns0:c r="AB201" s="47">
        <ns0:v>1.499</ns0:v>
      </ns0:c>
      <ns0:c r="AC201" s="47">
        <ns0:v>1.588</ns0:v>
      </ns0:c>
    </ns0:row>
    <ns0:row r="202" spans="1:29">
      <ns0:c r="A202" s="32"/>
      <ns0:c r="B202" s="33"/>
      <ns0:c r="C202" s="32"/>
      <ns0:c r="D202" s="6" t="s">
        <ns0:v>49</ns0:v>
      </ns0:c>
      <ns0:c r="E202" s="42">
        <ns0:f t="shared" si="128"/>
        <ns0:v>68.4487</ns0:v>
      </ns0:c>
      <ns0:c r="F202" s="46">
        <ns0:v>1.6903</ns0:v>
      </ns0:c>
      <ns0:c r="G202" s="46">
        <ns0:v>1.6941</ns0:v>
      </ns0:c>
      <ns0:c r="H202" s="46">
        <ns0:v>1.6778</ns0:v>
      </ns0:c>
      <ns0:c r="I202" s="46">
        <ns0:v>1.6874</ns0:v>
      </ns0:c>
      <ns0:c r="J202" s="46">
        <ns0:v>1.7304</ns0:v>
      </ns0:c>
      <ns0:c r="K202" s="46">
        <ns0:v>1.7318</ns0:v>
      </ns0:c>
      <ns0:c r="L202" s="46">
        <ns0:v>1.6237</ns0:v>
      </ns0:c>
      <ns0:c r="M202" s="46">
        <ns0:v>1.9668</ns0:v>
      </ns0:c>
      <ns0:c r="N202" s="46">
        <ns0:v>4.0729</ns0:v>
      </ns0:c>
      <ns0:c r="O202" s="46">
        <ns0:v>4.2491</ns0:v>
      </ns0:c>
      <ns0:c r="P202" s="46">
        <ns0:v>3.6554</ns0:v>
      </ns0:c>
      <ns0:c r="Q202" s="46">
        <ns0:v>3.6628</ns0:v>
      </ns0:c>
      <ns0:c r="R202" s="46">
        <ns0:v>2.8682</ns0:v>
      </ns0:c>
      <ns0:c r="S202" s="46">
        <ns0:v>3.5625</ns0:v>
      </ns0:c>
      <ns0:c r="T202" s="46">
        <ns0:v>3.9938</ns0:v>
      </ns0:c>
      <ns0:c r="U202" s="46">
        <ns0:v>3.7844</ns0:v>
      </ns0:c>
      <ns0:c r="V202" s="46">
        <ns0:v>4.0543</ns0:v>
      </ns0:c>
      <ns0:c r="W202" s="46">
        <ns0:v>3.8955</ns0:v>
      </ns0:c>
      <ns0:c r="X202" s="46">
        <ns0:v>3.5419</ns0:v>
      </ns0:c>
      <ns0:c r="Y202" s="46">
        <ns0:v>3.6784</ns0:v>
      </ns0:c>
      <ns0:c r="Z202" s="46">
        <ns0:v>3.2736</ns0:v>
      </ns0:c>
      <ns0:c r="AA202" s="46">
        <ns0:v>2.6853</ns0:v>
      </ns0:c>
      <ns0:c r="AB202" s="46">
        <ns0:v>1.9819</ns0:v>
      </ns0:c>
      <ns0:c r="AC202" s="46">
        <ns0:v>1.6864</ns0:v>
      </ns0:c>
    </ns0:row>
    <ns0:row r="203" spans="1:29">
      <ns0:c r="A203" s="32"/>
      <ns0:c r="B203" s="33"/>
      <ns0:c r="C203" s="34"/>
      <ns0:c r="D203" s="31" t="s">
        <ns0:v>50</ns0:v>
      </ns0:c>
      <ns0:c r="E203" s="26">
        <ns0:f t="shared" ref="E203:AC203" si="132">E201-E202</ns0:f>
        <ns0:v>-8.78369999999999</ns0:v>
      </ns0:c>
      <ns0:c r="F203" s="26">
        <ns0:f t="shared" si="132"/>
        <ns0:v>-0.0623</ns0:v>
      </ns0:c>
      <ns0:c r="G203" s="26">
        <ns0:f t="shared" si="132"/>
        <ns0:v>-0.3571</ns0:v>
      </ns0:c>
      <ns0:c r="H203" s="26">
        <ns0:f t="shared" si="132"/>
        <ns0:v>-0.5488</ns0:v>
      </ns0:c>
      <ns0:c r="I203" s="26">
        <ns0:f t="shared" si="132"/>
        <ns0:v>-0.3584</ns0:v>
      </ns0:c>
      <ns0:c r="J203" s="26">
        <ns0:f t="shared" si="132"/>
        <ns0:v>-0.4814</ns0:v>
      </ns0:c>
      <ns0:c r="K203" s="26">
        <ns0:f t="shared" si="132"/>
        <ns0:v>-0.5938</ns0:v>
      </ns0:c>
      <ns0:c r="L203" s="26">
        <ns0:f t="shared" si="132"/>
        <ns0:v>-0.1147</ns0:v>
      </ns0:c>
      <ns0:c r="M203" s="26">
        <ns0:f t="shared" si="132"/>
        <ns0:v>0.0482</ns0:v>
      </ns0:c>
      <ns0:c r="N203" s="26">
        <ns0:f t="shared" si="132"/>
        <ns0:v>0.3181</ns0:v>
      </ns0:c>
      <ns0:c r="O203" s="26">
        <ns0:f t="shared" si="132"/>
        <ns0:v>-0.0391000000000004</ns0:v>
      </ns0:c>
      <ns0:c r="P203" s="26">
        <ns0:f t="shared" si="132"/>
        <ns0:v>-0.6914</ns0:v>
      </ns0:c>
      <ns0:c r="Q203" s="26">
        <ns0:f t="shared" si="132"/>
        <ns0:v>-0.5208</ns0:v>
      </ns0:c>
      <ns0:c r="R203" s="26">
        <ns0:f t="shared" si="132"/>
        <ns0:v>-0.5502</ns0:v>
      </ns0:c>
      <ns0:c r="S203" s="26">
        <ns0:f t="shared" si="132"/>
        <ns0:v>-1.1065</ns0:v>
      </ns0:c>
      <ns0:c r="T203" s="26">
        <ns0:f t="shared" si="132"/>
        <ns0:v>-1.0748</ns0:v>
      </ns0:c>
      <ns0:c r="U203" s="26">
        <ns0:f t="shared" si="132"/>
        <ns0:v>-0.5914</ns0:v>
      </ns0:c>
      <ns0:c r="V203" s="26">
        <ns0:f t="shared" si="132"/>
        <ns0:v>-0.00329999999999941</ns0:v>
      </ns0:c>
      <ns0:c r="W203" s="26">
        <ns0:f t="shared" si="132"/>
        <ns0:v>0.3115</ns0:v>
      </ns0:c>
      <ns0:c r="X203" s="26">
        <ns0:f t="shared" si="132"/>
        <ns0:v>-0.1029</ns0:v>
      </ns0:c>
      <ns0:c r="Y203" s="26">
        <ns0:f t="shared" si="132"/>
        <ns0:v>-0.1244</ns0:v>
      </ns0:c>
      <ns0:c r="Z203" s="26">
        <ns0:f t="shared" si="132"/>
        <ns0:v>-1.0116</ns0:v>
      </ns0:c>
      <ns0:c r="AA203" s="26">
        <ns0:f t="shared" si="132"/>
        <ns0:v>-0.5473</ns0:v>
      </ns0:c>
      <ns0:c r="AB203" s="26">
        <ns0:f t="shared" si="132"/>
        <ns0:v>-0.4829</ns0:v>
      </ns0:c>
      <ns0:c r="AC203" s="26">
        <ns0:f t="shared" si="132"/>
        <ns0:v>-0.0983999999999998</ns0:v>
      </ns0:c>
    </ns0:row>
    <ns0:row r="204" spans="1:29">
      <ns0:c r="A204" s="32"/>
      <ns0:c r="B204" s="33"/>
      <ns0:c r="C204" s="35" t="s">
        <ns0:v>51</ns0:v>
      </ns0:c>
      <ns0:c r="D204" s="31" t="s">
        <ns0:v>48</ns0:v>
      </ns0:c>
      <ns0:c r="E204" s="31">
        <ns0:f>AVERAGE(F204:AC204)</ns0:f>
        <ns0:v>334.445</ns0:v>
      </ns0:c>
      <ns0:c r="F204" s="43">
        <ns0:v>312.75</ns0:v>
      </ns0:c>
      <ns0:c r="G204" s="43">
        <ns0:v>300.72</ns0:v>
      </ns0:c>
      <ns0:c r="H204" s="43">
        <ns0:v>297.26</ns0:v>
      </ns0:c>
      <ns0:c r="I204" s="43">
        <ns0:v>287.32</ns0:v>
      </ns0:c>
      <ns0:c r="J204" s="43">
        <ns0:v>274.34</ns0:v>
      </ns0:c>
      <ns0:c r="K204" s="43">
        <ns0:v>272.73</ns0:v>
      </ns0:c>
      <ns0:c r="L204" s="43">
        <ns0:v>289.26</ns0:v>
      </ns0:c>
      <ns0:c r="M204" s="43">
        <ns0:v>310.62</ns0:v>
      </ns0:c>
      <ns0:c r="N204" s="43">
        <ns0:v>354.42</ns0:v>
      </ns0:c>
      <ns0:c r="O204" s="43">
        <ns0:v>355.98</ns0:v>
      </ns0:c>
      <ns0:c r="P204" s="43">
        <ns0:v>292.51</ns0:v>
      </ns0:c>
      <ns0:c r="Q204" s="43">
        <ns0:v>260.93</ns0:v>
      </ns0:c>
      <ns0:c r="R204" s="43">
        <ns0:v>216.5</ns0:v>
      </ns0:c>
      <ns0:c r="S204" s="43">
        <ns0:v>246.27</ns0:v>
      </ns0:c>
      <ns0:c r="T204" s="43">
        <ns0:v>249.68</ns0:v>
      </ns0:c>
      <ns0:c r="U204" s="43">
        <ns0:v>291.9</ns0:v>
      </ns0:c>
      <ns0:c r="V204" s="43">
        <ns0:v>359.44</ns0:v>
      </ns0:c>
      <ns0:c r="W204" s="43">
        <ns0:v>423.06</ns0:v>
      </ns0:c>
      <ns0:c r="X204" s="43">
        <ns0:v>467.43</ns0:v>
      </ns0:c>
      <ns0:c r="Y204" s="43">
        <ns0:v>513</ns0:v>
      </ns0:c>
      <ns0:c r="Z204" s="43">
        <ns0:v>447.94</ns0:v>
      </ns0:c>
      <ns0:c r="AA204" s="43">
        <ns0:v>451.63</ns0:v>
      </ns0:c>
      <ns0:c r="AB204" s="43">
        <ns0:v>409.26</ns0:v>
      </ns0:c>
      <ns0:c r="AC204" s="43">
        <ns0:v>341.73</ns0:v>
      </ns0:c>
    </ns0:row>
    <ns0:row r="205" spans="1:29">
      <ns0:c r="A205" s="32"/>
      <ns0:c r="B205" s="33"/>
      <ns0:c r="C205" s="32"/>
      <ns0:c r="D205" s="31" t="s">
        <ns0:v>49</ns0:v>
      </ns0:c>
      <ns0:c r="E205" s="31">
        <ns0:f>AVERAGE(F205:AC205)</ns0:f>
        <ns0:v>340.001666666667</ns0:v>
      </ns0:c>
      <ns0:c r="F205" s="43">
        <ns0:v>260.05</ns0:v>
      </ns0:c>
      <ns0:c r="G205" s="43">
        <ns0:v>265.79</ns0:v>
      </ns0:c>
      <ns0:c r="H205" s="43">
        <ns0:v>289.47</ns0:v>
      </ns0:c>
      <ns0:c r="I205" s="43">
        <ns0:v>267.7</ns0:v>
      </ns0:c>
      <ns0:c r="J205" s="43">
        <ns0:v>246.53</ns0:v>
      </ns0:c>
      <ns0:c r="K205" s="43">
        <ns0:v>249.19</ns0:v>
      </ns0:c>
      <ns0:c r="L205" s="43">
        <ns0:v>283.81</ns0:v>
      </ns0:c>
      <ns0:c r="M205" s="43">
        <ns0:v>335.5</ns0:v>
      </ns0:c>
      <ns0:c r="N205" s="43">
        <ns0:v>355.65</ns0:v>
      </ns0:c>
      <ns0:c r="O205" s="43">
        <ns0:v>269.92</ns0:v>
      </ns0:c>
      <ns0:c r="P205" s="43">
        <ns0:v>301.53</ns0:v>
      </ns0:c>
      <ns0:c r="Q205" s="43">
        <ns0:v>299.93</ns0:v>
      </ns0:c>
      <ns0:c r="R205" s="43">
        <ns0:v>170.07</ns0:v>
      </ns0:c>
      <ns0:c r="S205" s="43">
        <ns0:v>229.67</ns0:v>
      </ns0:c>
      <ns0:c r="T205" s="43">
        <ns0:v>237.24</ns0:v>
      </ns0:c>
      <ns0:c r="U205" s="43">
        <ns0:v>300.53</ns0:v>
      </ns0:c>
      <ns0:c r="V205" s="43">
        <ns0:v>367.33</ns0:v>
      </ns0:c>
      <ns0:c r="W205" s="43">
        <ns0:v>473.77</ns0:v>
      </ns0:c>
      <ns0:c r="X205" s="43">
        <ns0:v>907.34</ns0:v>
      </ns0:c>
      <ns0:c r="Y205" s="43">
        <ns0:v>576.94</ns0:v>
      </ns0:c>
      <ns0:c r="Z205" s="43">
        <ns0:v>443.03</ns0:v>
      </ns0:c>
      <ns0:c r="AA205" s="43">
        <ns0:v>381.84</ns0:v>
      </ns0:c>
      <ns0:c r="AB205" s="43">
        <ns0:v>333.92</ns0:v>
      </ns0:c>
      <ns0:c r="AC205" s="43">
        <ns0:v>313.29</ns0:v>
      </ns0:c>
    </ns0:row>
    <ns0:row r="206" spans="1:29">
      <ns0:c r="A206" s="32"/>
      <ns0:c r="B206" s="33"/>
      <ns0:c r="C206" s="34"/>
      <ns0:c r="D206" s="31" t="s">
        <ns0:v>50</ns0:v>
      </ns0:c>
      <ns0:c r="E206" s="26">
        <ns0:f t="shared" ref="E206:AC206" si="133">E204-E205</ns0:f>
        <ns0:v>-5.55666666666673</ns0:v>
      </ns0:c>
      <ns0:c r="F206" s="26">
        <ns0:f t="shared" si="133"/>
        <ns0:v>52.7</ns0:v>
      </ns0:c>
      <ns0:c r="G206" s="26">
        <ns0:f t="shared" si="133"/>
        <ns0:v>34.93</ns0:v>
      </ns0:c>
      <ns0:c r="H206" s="26">
        <ns0:f t="shared" si="133"/>
        <ns0:v>7.78999999999996</ns0:v>
      </ns0:c>
      <ns0:c r="I206" s="26">
        <ns0:f t="shared" si="133"/>
        <ns0:v>19.62</ns0:v>
      </ns0:c>
      <ns0:c r="J206" s="26">
        <ns0:f t="shared" si="133"/>
        <ns0:v>27.81</ns0:v>
      </ns0:c>
      <ns0:c r="K206" s="26">
        <ns0:f t="shared" si="133"/>
        <ns0:v>23.54</ns0:v>
      </ns0:c>
      <ns0:c r="L206" s="26">
        <ns0:f t="shared" si="133"/>
        <ns0:v>5.44999999999999</ns0:v>
      </ns0:c>
      <ns0:c r="M206" s="26">
        <ns0:f t="shared" si="133"/>
        <ns0:v>-24.88</ns0:v>
      </ns0:c>
      <ns0:c r="N206" s="26">
        <ns0:f t="shared" si="133"/>
        <ns0:v>-1.22999999999996</ns0:v>
      </ns0:c>
      <ns0:c r="O206" s="26">
        <ns0:f t="shared" si="133"/>
        <ns0:v>86.06</ns0:v>
      </ns0:c>
      <ns0:c r="P206" s="26">
        <ns0:f t="shared" si="133"/>
        <ns0:v>-9.01999999999998</ns0:v>
      </ns0:c>
      <ns0:c r="Q206" s="26">
        <ns0:f t="shared" si="133"/>
        <ns0:v>-39</ns0:v>
      </ns0:c>
      <ns0:c r="R206" s="26">
        <ns0:f t="shared" si="133"/>
        <ns0:v>46.43</ns0:v>
      </ns0:c>
      <ns0:c r="S206" s="26">
        <ns0:f t="shared" si="133"/>
        <ns0:v>16.6</ns0:v>
      </ns0:c>
      <ns0:c r="T206" s="26">
        <ns0:f t="shared" si="133"/>
        <ns0:v>12.44</ns0:v>
      </ns0:c>
      <ns0:c r="U206" s="26">
        <ns0:f t="shared" si="133"/>
        <ns0:v>-8.63</ns0:v>
      </ns0:c>
      <ns0:c r="V206" s="26">
        <ns0:f t="shared" si="133"/>
        <ns0:v>-7.88999999999999</ns0:v>
      </ns0:c>
      <ns0:c r="W206" s="26">
        <ns0:f t="shared" si="133"/>
        <ns0:v>-50.71</ns0:v>
      </ns0:c>
      <ns0:c r="X206" s="26">
        <ns0:f t="shared" si="133"/>
        <ns0:v>-439.91</ns0:v>
      </ns0:c>
      <ns0:c r="Y206" s="26">
        <ns0:f t="shared" si="133"/>
        <ns0:v>-63.9400000000001</ns0:v>
      </ns0:c>
      <ns0:c r="Z206" s="26">
        <ns0:f t="shared" si="133"/>
        <ns0:v>4.91000000000003</ns0:v>
      </ns0:c>
      <ns0:c r="AA206" s="26">
        <ns0:f t="shared" si="133"/>
        <ns0:v>69.79</ns0:v>
      </ns0:c>
      <ns0:c r="AB206" s="26">
        <ns0:f t="shared" si="133"/>
        <ns0:v>75.34</ns0:v>
      </ns0:c>
      <ns0:c r="AC206" s="26">
        <ns0:f t="shared" si="133"/>
        <ns0:v>28.44</ns0:v>
      </ns0:c>
    </ns0:row>
    <ns0:row r="207" spans="1:29">
      <ns0:c r="A207" s="32"/>
      <ns0:c r="B207" s="33"/>
      <ns0:c r="C207" s="36" t="s">
        <ns0:v>52</ns0:v>
      </ns0:c>
      <ns0:c r="D207" s="37"/>
      <ns0:c r="E207" s="26">
        <ns0:f t="shared" ref="E207:E211" si="134">SUM(F207:AC207)</ns0:f>
        <ns0:v>130.535245</ns0:v>
      </ns0:c>
      <ns0:c r="F207" s="48">
        <ns0:f t="shared" ref="F207:AC207" si="135">-F203*F206</ns0:f>
        <ns0:v>3.28321</ns0:v>
      </ns0:c>
      <ns0:c r="G207" s="48">
        <ns0:f t="shared" si="135"/>
        <ns0:v>12.473503</ns0:v>
      </ns0:c>
      <ns0:c r="H207" s="48">
        <ns0:f t="shared" si="135"/>
        <ns0:v>4.27515199999998</ns0:v>
      </ns0:c>
      <ns0:c r="I207" s="48">
        <ns0:f t="shared" si="135"/>
        <ns0:v>7.031808</ns0:v>
      </ns0:c>
      <ns0:c r="J207" s="48">
        <ns0:f t="shared" si="135"/>
        <ns0:v>13.387734</ns0:v>
      </ns0:c>
      <ns0:c r="K207" s="48">
        <ns0:f t="shared" si="135"/>
        <ns0:v>13.978052</ns0:v>
      </ns0:c>
      <ns0:c r="L207" s="48">
        <ns0:f t="shared" si="135"/>
        <ns0:v>0.625114999999999</ns0:v>
      </ns0:c>
      <ns0:c r="M207" s="48">
        <ns0:f t="shared" si="135"/>
        <ns0:v>1.199216</ns0:v>
      </ns0:c>
      <ns0:c r="N207" s="48">
        <ns0:f t="shared" si="135"/>
        <ns0:v>0.391262999999988</ns0:v>
      </ns0:c>
      <ns0:c r="O207" s="48">
        <ns0:f t="shared" si="135"/>
        <ns0:v>3.36494600000003</ns0:v>
      </ns0:c>
      <ns0:c r="P207" s="48">
        <ns0:f t="shared" si="135"/>
        <ns0:v>-6.23642799999999</ns0:v>
      </ns0:c>
      <ns0:c r="Q207" s="48">
        <ns0:f t="shared" si="135"/>
        <ns0:v>-20.3112</ns0:v>
      </ns0:c>
      <ns0:c r="R207" s="48">
        <ns0:f t="shared" si="135"/>
        <ns0:v>25.545786</ns0:v>
      </ns0:c>
      <ns0:c r="S207" s="48">
        <ns0:f t="shared" si="135"/>
        <ns0:v>18.3679</ns0:v>
      </ns0:c>
      <ns0:c r="T207" s="48">
        <ns0:f t="shared" si="135"/>
        <ns0:v>13.370512</ns0:v>
      </ns0:c>
      <ns0:c r="U207" s="48">
        <ns0:f t="shared" si="135"/>
        <ns0:v>-5.103782</ns0:v>
      </ns0:c>
      <ns0:c r="V207" s="48">
        <ns0:f t="shared" si="135"/>
        <ns0:v>-0.0260369999999953</ns0:v>
      </ns0:c>
      <ns0:c r="W207" s="48">
        <ns0:f t="shared" si="135"/>
        <ns0:v>15.796165</ns0:v>
      </ns0:c>
      <ns0:c r="X207" s="48">
        <ns0:f t="shared" si="135"/>
        <ns0:v>-45.266739</ns0:v>
      </ns0:c>
      <ns0:c r="Y207" s="48">
        <ns0:f t="shared" si="135"/>
        <ns0:v>-7.95413600000002</ns0:v>
      </ns0:c>
      <ns0:c r="Z207" s="48">
        <ns0:f t="shared" si="135"/>
        <ns0:v>4.96695600000003</ns0:v>
      </ns0:c>
      <ns0:c r="AA207" s="48">
        <ns0:f t="shared" si="135"/>
        <ns0:v>38.196067</ns0:v>
      </ns0:c>
      <ns0:c r="AB207" s="48">
        <ns0:f t="shared" si="135"/>
        <ns0:v>36.381686</ns0:v>
      </ns0:c>
      <ns0:c r="AC207" s="48">
        <ns0:f t="shared" si="135"/>
        <ns0:v>2.798496</ns0:v>
      </ns0:c>
    </ns0:row>
    <ns0:row r="208" spans="1:29">
      <ns0:c r="A208" s="32"/>
      <ns0:c r="B208" s="33"/>
      <ns0:c r="C208" s="38" t="s">
        <ns0:v>53</ns0:v>
      </ns0:c>
      <ns0:c r="D208" s="37"/>
      <ns0:c r="E208" s="26">
        <ns0:f t="shared" si="134"/>
        <ns0:v>99.277463</ns0:v>
      </ns0:c>
      <ns0:c r="F208" s="48">
        <ns0:f t="shared" ref="F208:AC208" si="136">IF(F207&gt;0,ABS(MIN(F202*0.2,ABS(F203))*F206),F207)</ns0:f>
        <ns0:v>3.28321</ns0:v>
      </ns0:c>
      <ns0:c r="G208" s="48">
        <ns0:f t="shared" si="136"/>
        <ns0:v>11.8349826</ns0:v>
      </ns0:c>
      <ns0:c r="H208" s="48">
        <ns0:f t="shared" si="136"/>
        <ns0:v>2.61401239999999</ns0:v>
      </ns0:c>
      <ns0:c r="I208" s="48">
        <ns0:f t="shared" si="136"/>
        <ns0:v>6.6213576</ns0:v>
      </ns0:c>
      <ns0:c r="J208" s="48">
        <ns0:f t="shared" si="136"/>
        <ns0:v>9.6244848</ns0:v>
      </ns0:c>
      <ns0:c r="K208" s="48">
        <ns0:f t="shared" si="136"/>
        <ns0:v>8.1533144</ns0:v>
      </ns0:c>
      <ns0:c r="L208" s="48">
        <ns0:f t="shared" si="136"/>
        <ns0:v>0.625114999999999</ns0:v>
      </ns0:c>
      <ns0:c r="M208" s="48">
        <ns0:f t="shared" si="136"/>
        <ns0:v>1.199216</ns0:v>
      </ns0:c>
      <ns0:c r="N208" s="48">
        <ns0:f t="shared" si="136"/>
        <ns0:v>0.391262999999988</ns0:v>
      </ns0:c>
      <ns0:c r="O208" s="48">
        <ns0:f t="shared" si="136"/>
        <ns0:v>3.36494600000003</ns0:v>
      </ns0:c>
      <ns0:c r="P208" s="48">
        <ns0:f t="shared" si="136"/>
        <ns0:v>-6.23642799999999</ns0:v>
      </ns0:c>
      <ns0:c r="Q208" s="48">
        <ns0:f t="shared" si="136"/>
        <ns0:v>-20.3112</ns0:v>
      </ns0:c>
      <ns0:c r="R208" s="48">
        <ns0:f t="shared" si="136"/>
        <ns0:v>25.545786</ns0:v>
      </ns0:c>
      <ns0:c r="S208" s="48">
        <ns0:f t="shared" si="136"/>
        <ns0:v>11.8275</ns0:v>
      </ns0:c>
      <ns0:c r="T208" s="48">
        <ns0:f t="shared" si="136"/>
        <ns0:v>9.9365744</ns0:v>
      </ns0:c>
      <ns0:c r="U208" s="48">
        <ns0:f t="shared" si="136"/>
        <ns0:v>-5.103782</ns0:v>
      </ns0:c>
      <ns0:c r="V208" s="48">
        <ns0:f t="shared" si="136"/>
        <ns0:v>-0.0260369999999953</ns0:v>
      </ns0:c>
      <ns0:c r="W208" s="48">
        <ns0:f t="shared" si="136"/>
        <ns0:v>15.796165</ns0:v>
      </ns0:c>
      <ns0:c r="X208" s="48">
        <ns0:f t="shared" si="136"/>
        <ns0:v>-45.266739</ns0:v>
      </ns0:c>
      <ns0:c r="Y208" s="48">
        <ns0:f t="shared" si="136"/>
        <ns0:v>-7.95413600000002</ns0:v>
      </ns0:c>
      <ns0:c r="Z208" s="48">
        <ns0:f t="shared" si="136"/>
        <ns0:v>3.21467520000002</ns0:v>
      </ns0:c>
      <ns0:c r="AA208" s="48">
        <ns0:f t="shared" si="136"/>
        <ns0:v>37.4814174</ns0:v>
      </ns0:c>
      <ns0:c r="AB208" s="48">
        <ns0:f t="shared" si="136"/>
        <ns0:v>29.8632692</ns0:v>
      </ns0:c>
      <ns0:c r="AC208" s="48">
        <ns0:f t="shared" si="136"/>
        <ns0:v>2.798496</ns0:v>
      </ns0:c>
    </ns0:row>
    <ns0:row r="209" spans="1:29">
      <ns0:c r="A209" s="32"/>
      <ns0:c r="B209" s="33"/>
      <ns0:c r="C209" s="39" t="s">
        <ns0:v>50</ns0:v>
      </ns0:c>
      <ns0:c r="D209" s="37"/>
      <ns0:c r="E209" s="44">
        <ns0:f t="shared" ref="E209:AC209" si="137">E207-E208</ns0:f>
        <ns0:v>31.257782</ns0:v>
      </ns0:c>
      <ns0:c r="F209" s="26">
        <ns0:f t="shared" si="137"/>
        <ns0:v>0</ns0:v>
      </ns0:c>
      <ns0:c r="G209" s="26">
        <ns0:f t="shared" si="137"/>
        <ns0:v>0.638520399999999</ns0:v>
      </ns0:c>
      <ns0:c r="H209" s="26">
        <ns0:f t="shared" si="137"/>
        <ns0:v>1.66113959999999</ns0:v>
      </ns0:c>
      <ns0:c r="I209" s="26">
        <ns0:f t="shared" si="137"/>
        <ns0:v>0.410450400000001</ns0:v>
      </ns0:c>
      <ns0:c r="J209" s="26">
        <ns0:f t="shared" si="137"/>
        <ns0:v>3.7632492</ns0:v>
      </ns0:c>
      <ns0:c r="K209" s="26">
        <ns0:f t="shared" si="137"/>
        <ns0:v>5.8247376</ns0:v>
      </ns0:c>
      <ns0:c r="L209" s="26">
        <ns0:f t="shared" si="137"/>
        <ns0:v>0</ns0:v>
      </ns0:c>
      <ns0:c r="M209" s="26">
        <ns0:f t="shared" si="137"/>
        <ns0:v>0</ns0:v>
      </ns0:c>
      <ns0:c r="N209" s="26">
        <ns0:f t="shared" si="137"/>
        <ns0:v>0</ns0:v>
      </ns0:c>
      <ns0:c r="O209" s="26">
        <ns0:f t="shared" si="137"/>
        <ns0:v>0</ns0:v>
      </ns0:c>
      <ns0:c r="P209" s="26">
        <ns0:f t="shared" si="137"/>
        <ns0:v>0</ns0:v>
      </ns0:c>
      <ns0:c r="Q209" s="26">
        <ns0:f t="shared" si="137"/>
        <ns0:v>0</ns0:v>
      </ns0:c>
      <ns0:c r="R209" s="26">
        <ns0:f t="shared" si="137"/>
        <ns0:v>0</ns0:v>
      </ns0:c>
      <ns0:c r="S209" s="26">
        <ns0:f t="shared" si="137"/>
        <ns0:v>6.5404</ns0:v>
      </ns0:c>
      <ns0:c r="T209" s="26">
        <ns0:f t="shared" si="137"/>
        <ns0:v>3.4339376</ns0:v>
      </ns0:c>
      <ns0:c r="U209" s="26">
        <ns0:f t="shared" si="137"/>
        <ns0:v>0</ns0:v>
      </ns0:c>
      <ns0:c r="V209" s="26">
        <ns0:f t="shared" si="137"/>
        <ns0:v>0</ns0:v>
      </ns0:c>
      <ns0:c r="W209" s="26">
        <ns0:f t="shared" si="137"/>
        <ns0:v>0</ns0:v>
      </ns0:c>
      <ns0:c r="X209" s="26">
        <ns0:f t="shared" si="137"/>
        <ns0:v>0</ns0:v>
      </ns0:c>
      <ns0:c r="Y209" s="26">
        <ns0:f t="shared" si="137"/>
        <ns0:v>0</ns0:v>
      </ns0:c>
      <ns0:c r="Z209" s="26">
        <ns0:f t="shared" si="137"/>
        <ns0:v>1.75228080000001</ns0:v>
      </ns0:c>
      <ns0:c r="AA209" s="26">
        <ns0:f t="shared" si="137"/>
        <ns0:v>0.714649599999994</ns0:v>
      </ns0:c>
      <ns0:c r="AB209" s="26">
        <ns0:f t="shared" si="137"/>
        <ns0:v>6.51841679999999</ns0:v>
      </ns0:c>
      <ns0:c r="AC209" s="26">
        <ns0:f t="shared" si="137"/>
        <ns0:v>0</ns0:v>
      </ns0:c>
    </ns0:row>
    <ns0:row r="210" spans="1:29">
      <ns0:c r="A210" s="29">
        <ns0:v>46015</ns0:v>
      </ns0:c>
      <ns0:c r="B210" s="30">
        <ns0:f>E217</ns0:f>
        <ns0:v>299.8230582</ns0:v>
      </ns0:c>
      <ns0:c r="C210" s="31" t="s">
        <ns0:v>47</ns0:v>
      </ns0:c>
      <ns0:c r="D210" s="31" t="s">
        <ns0:v>48</ns0:v>
      </ns0:c>
      <ns0:c r="E210" s="42">
        <ns0:f t="shared" si="134"/>
        <ns0:v>54.987</ns0:v>
      </ns0:c>
      <ns0:c r="F210" s="47">
        <ns0:v>1.58</ns0:v>
      </ns0:c>
      <ns0:c r="G210" s="47">
        <ns0:v>1.6</ns0:v>
      </ns0:c>
      <ns0:c r="H210" s="47">
        <ns0:v>1.317</ns0:v>
      </ns0:c>
      <ns0:c r="I210" s="47">
        <ns0:v>1.629</ns0:v>
      </ns0:c>
      <ns0:c r="J210" s="47">
        <ns0:v>1.179</ns0:v>
      </ns0:c>
      <ns0:c r="K210" s="47">
        <ns0:v>1.453</ns0:v>
      </ns0:c>
      <ns0:c r="L210" s="47">
        <ns0:v>1.372</ns0:v>
      </ns0:c>
      <ns0:c r="M210" s="47">
        <ns0:v>1.937</ns0:v>
      </ns0:c>
      <ns0:c r="N210" s="47">
        <ns0:v>3.809</ns0:v>
      </ns0:c>
      <ns0:c r="O210" s="47">
        <ns0:v>3.278</ns0:v>
      </ns0:c>
      <ns0:c r="P210" s="47">
        <ns0:v>2.823</ns0:v>
      </ns0:c>
      <ns0:c r="Q210" s="47">
        <ns0:v>2.752</ns0:v>
      </ns0:c>
      <ns0:c r="R210" s="47">
        <ns0:v>1.943</ns0:v>
      </ns0:c>
      <ns0:c r="S210" s="47">
        <ns0:v>2.319</ns0:v>
      </ns0:c>
      <ns0:c r="T210" s="47">
        <ns0:v>2.737</ns0:v>
      </ns0:c>
      <ns0:c r="U210" s="47">
        <ns0:v>2.652</ns0:v>
      </ns0:c>
      <ns0:c r="V210" s="47">
        <ns0:v>3.816</ns0:v>
      </ns0:c>
      <ns0:c r="W210" s="47">
        <ns0:v>3.546</ns0:v>
      </ns0:c>
      <ns0:c r="X210" s="47">
        <ns0:v>2.925</ns0:v>
      </ns0:c>
      <ns0:c r="Y210" s="47">
        <ns0:v>2.423</ns0:v>
      </ns0:c>
      <ns0:c r="Z210" s="47">
        <ns0:v>2.923</ns0:v>
      </ns0:c>
      <ns0:c r="AA210" s="47">
        <ns0:v>1.98</ns0:v>
      </ns0:c>
      <ns0:c r="AB210" s="47">
        <ns0:v>1.604</ns0:v>
      </ns0:c>
      <ns0:c r="AC210" s="47">
        <ns0:v>1.39</ns0:v>
      </ns0:c>
    </ns0:row>
    <ns0:row r="211" spans="1:29">
      <ns0:c r="A211" s="32"/>
      <ns0:c r="B211" s="33"/>
      <ns0:c r="C211" s="32"/>
      <ns0:c r="D211" s="6" t="s">
        <ns0:v>49</ns0:v>
      </ns0:c>
      <ns0:c r="E211" s="42">
        <ns0:f t="shared" si="134"/>
        <ns0:v>68.0578</ns0:v>
      </ns0:c>
      <ns0:c r="F211" s="46">
        <ns0:v>1.6873</ns0:v>
      </ns0:c>
      <ns0:c r="G211" s="46">
        <ns0:v>1.7118</ns0:v>
      </ns0:c>
      <ns0:c r="H211" s="46">
        <ns0:v>1.6206</ns0:v>
      </ns0:c>
      <ns0:c r="I211" s="46">
        <ns0:v>1.6076</ns0:v>
      </ns0:c>
      <ns0:c r="J211" s="46">
        <ns0:v>1.6761</ns0:v>
      </ns0:c>
      <ns0:c r="K211" s="46">
        <ns0:v>1.6685</ns0:v>
      </ns0:c>
      <ns0:c r="L211" s="46">
        <ns0:v>1.614</ns0:v>
      </ns0:c>
      <ns0:c r="M211" s="46">
        <ns0:v>1.9478</ns0:v>
      </ns0:c>
      <ns0:c r="N211" s="46">
        <ns0:v>4.0518</ns0:v>
      </ns0:c>
      <ns0:c r="O211" s="46">
        <ns0:v>4.4358</ns0:v>
      </ns0:c>
      <ns0:c r="P211" s="46">
        <ns0:v>3.9337</ns0:v>
      </ns0:c>
      <ns0:c r="Q211" s="46">
        <ns0:v>3.6861</ns0:v>
      </ns0:c>
      <ns0:c r="R211" s="46">
        <ns0:v>2.9395</ns0:v>
      </ns0:c>
      <ns0:c r="S211" s="46">
        <ns0:v>3.4479</ns0:v>
      </ns0:c>
      <ns0:c r="T211" s="46">
        <ns0:v>4.0618</ns0:v>
      </ns0:c>
      <ns0:c r="U211" s="46">
        <ns0:v>3.7932</ns0:v>
      </ns0:c>
      <ns0:c r="V211" s="46">
        <ns0:v>4.0171</ns0:v>
      </ns0:c>
      <ns0:c r="W211" s="46">
        <ns0:v>3.6749</ns0:v>
      </ns0:c>
      <ns0:c r="X211" s="46">
        <ns0:v>3.3838</ns0:v>
      </ns0:c>
      <ns0:c r="Y211" s="46">
        <ns0:v>3.6701</ns0:v>
      </ns0:c>
      <ns0:c r="Z211" s="46">
        <ns0:v>3.1869</ns0:v>
      </ns0:c>
      <ns0:c r="AA211" s="46">
        <ns0:v>2.5723</ns0:v>
      </ns0:c>
      <ns0:c r="AB211" s="46">
        <ns0:v>1.9356</ns0:v>
      </ns0:c>
      <ns0:c r="AC211" s="46">
        <ns0:v>1.7336</ns0:v>
      </ns0:c>
    </ns0:row>
    <ns0:row r="212" spans="1:29">
      <ns0:c r="A212" s="32"/>
      <ns0:c r="B212" s="33"/>
      <ns0:c r="C212" s="34"/>
      <ns0:c r="D212" s="31" t="s">
        <ns0:v>50</ns0:v>
      </ns0:c>
      <ns0:c r="E212" s="26">
        <ns0:f t="shared" ref="E212:AC212" si="138">E210-E211</ns0:f>
        <ns0:v>-13.0708</ns0:v>
      </ns0:c>
      <ns0:c r="F212" s="26">
        <ns0:f t="shared" si="138"/>
        <ns0:v>-0.1073</ns0:v>
      </ns0:c>
      <ns0:c r="G212" s="26">
        <ns0:f t="shared" si="138"/>
        <ns0:v>-0.1118</ns0:v>
      </ns0:c>
      <ns0:c r="H212" s="26">
        <ns0:f t="shared" si="138"/>
        <ns0:v>-0.3036</ns0:v>
      </ns0:c>
      <ns0:c r="I212" s="26">
        <ns0:f t="shared" si="138"/>
        <ns0:v>0.0214000000000001</ns0:v>
      </ns0:c>
      <ns0:c r="J212" s="26">
        <ns0:f t="shared" si="138"/>
        <ns0:v>-0.4971</ns0:v>
      </ns0:c>
      <ns0:c r="K212" s="26">
        <ns0:f t="shared" si="138"/>
        <ns0:v>-0.2155</ns0:v>
      </ns0:c>
      <ns0:c r="L212" s="26">
        <ns0:f t="shared" si="138"/>
        <ns0:v>-0.242</ns0:v>
      </ns0:c>
      <ns0:c r="M212" s="26">
        <ns0:f t="shared" si="138"/>
        <ns0:v>-0.0107999999999999</ns0:v>
      </ns0:c>
      <ns0:c r="N212" s="26">
        <ns0:f t="shared" si="138"/>
        <ns0:v>-0.2428</ns0:v>
      </ns0:c>
      <ns0:c r="O212" s="26">
        <ns0:f t="shared" si="138"/>
        <ns0:v>-1.1578</ns0:v>
      </ns0:c>
      <ns0:c r="P212" s="26">
        <ns0:f t="shared" si="138"/>
        <ns0:v>-1.1107</ns0:v>
      </ns0:c>
      <ns0:c r="Q212" s="26">
        <ns0:f t="shared" si="138"/>
        <ns0:v>-0.9341</ns0:v>
      </ns0:c>
      <ns0:c r="R212" s="26">
        <ns0:f t="shared" si="138"/>
        <ns0:v>-0.9965</ns0:v>
      </ns0:c>
      <ns0:c r="S212" s="26">
        <ns0:f t="shared" si="138"/>
        <ns0:v>-1.1289</ns0:v>
      </ns0:c>
      <ns0:c r="T212" s="26">
        <ns0:f t="shared" si="138"/>
        <ns0:v>-1.3248</ns0:v>
      </ns0:c>
      <ns0:c r="U212" s="26">
        <ns0:f t="shared" si="138"/>
        <ns0:v>-1.1412</ns0:v>
      </ns0:c>
      <ns0:c r="V212" s="26">
        <ns0:f t="shared" si="138"/>
        <ns0:v>-0.2011</ns0:v>
      </ns0:c>
      <ns0:c r="W212" s="26">
        <ns0:f t="shared" si="138"/>
        <ns0:v>-0.1289</ns0:v>
      </ns0:c>
      <ns0:c r="X212" s="26">
        <ns0:f t="shared" si="138"/>
        <ns0:v>-0.4588</ns0:v>
      </ns0:c>
      <ns0:c r="Y212" s="26">
        <ns0:f t="shared" si="138"/>
        <ns0:v>-1.2471</ns0:v>
      </ns0:c>
      <ns0:c r="Z212" s="26">
        <ns0:f t="shared" si="138"/>
        <ns0:v>-0.2639</ns0:v>
      </ns0:c>
      <ns0:c r="AA212" s="26">
        <ns0:f t="shared" si="138"/>
        <ns0:v>-0.5923</ns0:v>
      </ns0:c>
      <ns0:c r="AB212" s="26">
        <ns0:f t="shared" si="138"/>
        <ns0:v>-0.3316</ns0:v>
      </ns0:c>
      <ns0:c r="AC212" s="26">
        <ns0:f t="shared" si="138"/>
        <ns0:v>-0.3436</ns0:v>
      </ns0:c>
    </ns0:row>
    <ns0:row r="213" spans="1:29">
      <ns0:c r="A213" s="32"/>
      <ns0:c r="B213" s="33"/>
      <ns0:c r="C213" s="35" t="s">
        <ns0:v>51</ns0:v>
      </ns0:c>
      <ns0:c r="D213" s="31" t="s">
        <ns0:v>48</ns0:v>
      </ns0:c>
      <ns0:c r="E213" s="31">
        <ns0:f>AVERAGE(F213:AC213)</ns0:f>
        <ns0:v>344.099583333333</ns0:v>
      </ns0:c>
      <ns0:c r="F213" s="43">
        <ns0:v>360.38</ns0:v>
      </ns0:c>
      <ns0:c r="G213" s="43">
        <ns0:v>339.42</ns0:v>
      </ns0:c>
      <ns0:c r="H213" s="43">
        <ns0:v>331.62</ns0:v>
      </ns0:c>
      <ns0:c r="I213" s="43">
        <ns0:v>313.84</ns0:v>
      </ns0:c>
      <ns0:c r="J213" s="43">
        <ns0:v>309.39</ns0:v>
      </ns0:c>
      <ns0:c r="K213" s="43">
        <ns0:v>309.85</ns0:v>
      </ns0:c>
      <ns0:c r="L213" s="43">
        <ns0:v>339.95</ns0:v>
      </ns0:c>
      <ns0:c r="M213" s="43">
        <ns0:v>361.29</ns0:v>
      </ns0:c>
      <ns0:c r="N213" s="43">
        <ns0:v>391</ns0:v>
      </ns0:c>
      <ns0:c r="O213" s="43">
        <ns0:v>378.91</ns0:v>
      </ns0:c>
      <ns0:c r="P213" s="43">
        <ns0:v>321.96</ns0:v>
      </ns0:c>
      <ns0:c r="Q213" s="43">
        <ns0:v>281.44</ns0:v>
      </ns0:c>
      <ns0:c r="R213" s="43">
        <ns0:v>245.02</ns0:v>
      </ns0:c>
      <ns0:c r="S213" s="43">
        <ns0:v>263.71</ns0:v>
      </ns0:c>
      <ns0:c r="T213" s="43">
        <ns0:v>268.92</ns0:v>
      </ns0:c>
      <ns0:c r="U213" s="43">
        <ns0:v>292.01</ns0:v>
      </ns0:c>
      <ns0:c r="V213" s="43">
        <ns0:v>351.76</ns0:v>
      </ns0:c>
      <ns0:c r="W213" s="43">
        <ns0:v>400.03</ns0:v>
      </ns0:c>
      <ns0:c r="X213" s="43">
        <ns0:v>427.55</ns0:v>
      </ns0:c>
      <ns0:c r="Y213" s="43">
        <ns0:v>449.92</ns0:v>
      </ns0:c>
      <ns0:c r="Z213" s="43">
        <ns0:v>421.09</ns0:v>
      </ns0:c>
      <ns0:c r="AA213" s="43">
        <ns0:v>413.78</ns0:v>
      </ns0:c>
      <ns0:c r="AB213" s="43">
        <ns0:v>379.47</ns0:v>
      </ns0:c>
      <ns0:c r="AC213" s="43">
        <ns0:v>306.08</ns0:v>
      </ns0:c>
    </ns0:row>
    <ns0:row r="214" spans="1:29">
      <ns0:c r="A214" s="32"/>
      <ns0:c r="B214" s="33"/>
      <ns0:c r="C214" s="32"/>
      <ns0:c r="D214" s="31" t="s">
        <ns0:v>49</ns0:v>
      </ns0:c>
      <ns0:c r="E214" s="31">
        <ns0:f>AVERAGE(F214:AC214)</ns0:f>
        <ns0:v>317.812916666667</ns0:v>
      </ns0:c>
      <ns0:c r="F214" s="43">
        <ns0:v>332.04</ns0:v>
      </ns0:c>
      <ns0:c r="G214" s="43">
        <ns0:v>322.7</ns0:v>
      </ns0:c>
      <ns0:c r="H214" s="43">
        <ns0:v>311.68</ns0:v>
      </ns0:c>
      <ns0:c r="I214" s="43">
        <ns0:v>310.31</ns0:v>
      </ns0:c>
      <ns0:c r="J214" s="43">
        <ns0:v>298.25</ns0:v>
      </ns0:c>
      <ns0:c r="K214" s="43">
        <ns0:v>293.89</ns0:v>
      </ns0:c>
      <ns0:c r="L214" s="43">
        <ns0:v>336.29</ns0:v>
      </ns0:c>
      <ns0:c r="M214" s="43">
        <ns0:v>362.34</ns0:v>
      </ns0:c>
      <ns0:c r="N214" s="43">
        <ns0:v>379.08</ns0:v>
      </ns0:c>
      <ns0:c r="O214" s="43">
        <ns0:v>348</ns0:v>
      </ns0:c>
      <ns0:c r="P214" s="43">
        <ns0:v>301.46</ns0:v>
      </ns0:c>
      <ns0:c r="Q214" s="43">
        <ns0:v>255.21</ns0:v>
      </ns0:c>
      <ns0:c r="R214" s="43">
        <ns0:v>180.99</ns0:v>
      </ns0:c>
      <ns0:c r="S214" s="43">
        <ns0:v>256.31</ns0:v>
      </ns0:c>
      <ns0:c r="T214" s="43">
        <ns0:v>256.95</ns0:v>
      </ns0:c>
      <ns0:c r="U214" s="43">
        <ns0:v>278.48</ns0:v>
      </ns0:c>
      <ns0:c r="V214" s="43">
        <ns0:v>323.28</ns0:v>
      </ns0:c>
      <ns0:c r="W214" s="43">
        <ns0:v>371.5</ns0:v>
      </ns0:c>
      <ns0:c r="X214" s="43">
        <ns0:v>392.52</ns0:v>
      </ns0:c>
      <ns0:c r="Y214" s="43">
        <ns0:v>386.11</ns0:v>
      </ns0:c>
      <ns0:c r="Z214" s="43">
        <ns0:v>393.03</ns0:v>
      </ns0:c>
      <ns0:c r="AA214" s="43">
        <ns0:v>311.17</ns0:v>
      </ns0:c>
      <ns0:c r="AB214" s="43">
        <ns0:v>327.24</ns0:v>
      </ns0:c>
      <ns0:c r="AC214" s="43">
        <ns0:v>298.68</ns0:v>
      </ns0:c>
    </ns0:row>
    <ns0:row r="215" spans="1:29">
      <ns0:c r="A215" s="32"/>
      <ns0:c r="B215" s="33"/>
      <ns0:c r="C215" s="34"/>
      <ns0:c r="D215" s="31" t="s">
        <ns0:v>50</ns0:v>
      </ns0:c>
      <ns0:c r="E215" s="26">
        <ns0:f t="shared" ref="E215:AC215" si="139">E213-E214</ns0:f>
        <ns0:v>26.2866666666668</ns0:v>
      </ns0:c>
      <ns0:c r="F215" s="26">
        <ns0:f t="shared" si="139"/>
        <ns0:v>28.34</ns0:v>
      </ns0:c>
      <ns0:c r="G215" s="26">
        <ns0:f t="shared" si="139"/>
        <ns0:v>16.72</ns0:v>
      </ns0:c>
      <ns0:c r="H215" s="26">
        <ns0:f t="shared" si="139"/>
        <ns0:v>19.94</ns0:v>
      </ns0:c>
      <ns0:c r="I215" s="26">
        <ns0:f t="shared" si="139"/>
        <ns0:v>3.52999999999997</ns0:v>
      </ns0:c>
      <ns0:c r="J215" s="26">
        <ns0:f t="shared" si="139"/>
        <ns0:v>11.14</ns0:v>
      </ns0:c>
      <ns0:c r="K215" s="26">
        <ns0:f t="shared" si="139"/>
        <ns0:v>15.96</ns0:v>
      </ns0:c>
      <ns0:c r="L215" s="26">
        <ns0:f t="shared" si="139"/>
        <ns0:v>3.65999999999997</ns0:v>
      </ns0:c>
      <ns0:c r="M215" s="26">
        <ns0:f t="shared" si="139"/>
        <ns0:v>-1.04999999999995</ns0:v>
      </ns0:c>
      <ns0:c r="N215" s="26">
        <ns0:f t="shared" si="139"/>
        <ns0:v>11.92</ns0:v>
      </ns0:c>
      <ns0:c r="O215" s="26">
        <ns0:f t="shared" si="139"/>
        <ns0:v>30.91</ns0:v>
      </ns0:c>
      <ns0:c r="P215" s="26">
        <ns0:f t="shared" si="139"/>
        <ns0:v>20.5</ns0:v>
      </ns0:c>
      <ns0:c r="Q215" s="26">
        <ns0:f t="shared" si="139"/>
        <ns0:v>26.23</ns0:v>
      </ns0:c>
      <ns0:c r="R215" s="26">
        <ns0:f t="shared" si="139"/>
        <ns0:v>64.03</ns0:v>
      </ns0:c>
      <ns0:c r="S215" s="26">
        <ns0:f t="shared" si="139"/>
        <ns0:v>7.39999999999998</ns0:v>
      </ns0:c>
      <ns0:c r="T215" s="26">
        <ns0:f t="shared" si="139"/>
        <ns0:v>11.97</ns0:v>
      </ns0:c>
      <ns0:c r="U215" s="26">
        <ns0:f t="shared" si="139"/>
        <ns0:v>13.53</ns0:v>
      </ns0:c>
      <ns0:c r="V215" s="26">
        <ns0:f t="shared" si="139"/>
        <ns0:v>28.48</ns0:v>
      </ns0:c>
      <ns0:c r="W215" s="26">
        <ns0:f t="shared" si="139"/>
        <ns0:v>28.53</ns0:v>
      </ns0:c>
      <ns0:c r="X215" s="26">
        <ns0:f t="shared" si="139"/>
        <ns0:v>35.03</ns0:v>
      </ns0:c>
      <ns0:c r="Y215" s="26">
        <ns0:f t="shared" si="139"/>
        <ns0:v>63.81</ns0:v>
      </ns0:c>
      <ns0:c r="Z215" s="26">
        <ns0:f t="shared" si="139"/>
        <ns0:v>28.06</ns0:v>
      </ns0:c>
      <ns0:c r="AA215" s="26">
        <ns0:f t="shared" si="139"/>
        <ns0:v>102.61</ns0:v>
      </ns0:c>
      <ns0:c r="AB215" s="26">
        <ns0:f t="shared" si="139"/>
        <ns0:v>52.23</ns0:v>
      </ns0:c>
      <ns0:c r="AC215" s="26">
        <ns0:f t="shared" si="139"/>
        <ns0:v>7.39999999999998</ns0:v>
      </ns0:c>
    </ns0:row>
    <ns0:row r="216" spans="1:29">
      <ns0:c r="A216" s="32"/>
      <ns0:c r="B216" s="33"/>
      <ns0:c r="C216" s="36" t="s">
        <ns0:v>52</ns0:v>
      </ns0:c>
      <ns0:c r="D216" s="37"/>
      <ns0:c r="E216" s="26">
        <ns0:f t="shared" ref="E216:E220" si="140">SUM(F216:AC216)</ns0:f>
        <ns0:v>403.247593</ns0:v>
      </ns0:c>
      <ns0:c r="F216" s="48">
        <ns0:f t="shared" ref="F216:AC216" si="141">-F212*F215</ns0:f>
        <ns0:v>3.040882</ns0:v>
      </ns0:c>
      <ns0:c r="G216" s="48">
        <ns0:f t="shared" si="141"/>
        <ns0:v>1.869296</ns0:v>
      </ns0:c>
      <ns0:c r="H216" s="48">
        <ns0:f t="shared" si="141"/>
        <ns0:v>6.053784</ns0:v>
      </ns0:c>
      <ns0:c r="I216" s="48">
        <ns0:f t="shared" si="141"/>
        <ns0:v>-0.0755419999999997</ns0:v>
      </ns0:c>
      <ns0:c r="J216" s="48">
        <ns0:f t="shared" si="141"/>
        <ns0:v>5.537694</ns0:v>
      </ns0:c>
      <ns0:c r="K216" s="48">
        <ns0:f t="shared" si="141"/>
        <ns0:v>3.43938</ns0:v>
      </ns0:c>
      <ns0:c r="L216" s="48">
        <ns0:f t="shared" si="141"/>
        <ns0:v>0.885719999999993</ns0:v>
      </ns0:c>
      <ns0:c r="M216" s="48">
        <ns0:f t="shared" si="141"/>
        <ns0:v>-0.0113399999999994</ns0:v>
      </ns0:c>
      <ns0:c r="N216" s="48">
        <ns0:f t="shared" si="141"/>
        <ns0:v>2.894176</ns0:v>
      </ns0:c>
      <ns0:c r="O216" s="48">
        <ns0:f t="shared" si="141"/>
        <ns0:v>35.787598</ns0:v>
      </ns0:c>
      <ns0:c r="P216" s="48">
        <ns0:f t="shared" si="141"/>
        <ns0:v>22.76935</ns0:v>
      </ns0:c>
      <ns0:c r="Q216" s="48">
        <ns0:f t="shared" si="141"/>
        <ns0:v>24.501443</ns0:v>
      </ns0:c>
      <ns0:c r="R216" s="48">
        <ns0:f t="shared" si="141"/>
        <ns0:v>63.805895</ns0:v>
      </ns0:c>
      <ns0:c r="S216" s="48">
        <ns0:f t="shared" si="141"/>
        <ns0:v>8.35385999999998</ns0:v>
      </ns0:c>
      <ns0:c r="T216" s="48">
        <ns0:f t="shared" si="141"/>
        <ns0:v>15.857856</ns0:v>
      </ns0:c>
      <ns0:c r="U216" s="48">
        <ns0:f t="shared" si="141"/>
        <ns0:v>15.440436</ns0:v>
      </ns0:c>
      <ns0:c r="V216" s="48">
        <ns0:f t="shared" si="141"/>
        <ns0:v>5.72732800000001</ns0:v>
      </ns0:c>
      <ns0:c r="W216" s="48">
        <ns0:f t="shared" si="141"/>
        <ns0:v>3.67751700000001</ns0:v>
      </ns0:c>
      <ns0:c r="X216" s="48">
        <ns0:f t="shared" si="141"/>
        <ns0:v>16.071764</ns0:v>
      </ns0:c>
      <ns0:c r="Y216" s="48">
        <ns0:f t="shared" si="141"/>
        <ns0:v>79.577451</ns0:v>
      </ns0:c>
      <ns0:c r="Z216" s="48">
        <ns0:f t="shared" si="141"/>
        <ns0:v>7.405034</ns0:v>
      </ns0:c>
      <ns0:c r="AA216" s="48">
        <ns0:f t="shared" si="141"/>
        <ns0:v>60.775903</ns0:v>
      </ns0:c>
      <ns0:c r="AB216" s="48">
        <ns0:f t="shared" si="141"/>
        <ns0:v>17.319468</ns0:v>
      </ns0:c>
      <ns0:c r="AC216" s="48">
        <ns0:f t="shared" si="141"/>
        <ns0:v>2.54263999999999</ns0:v>
      </ns0:c>
    </ns0:row>
    <ns0:row r="217" spans="1:29">
      <ns0:c r="A217" s="32"/>
      <ns0:c r="B217" s="33"/>
      <ns0:c r="C217" s="38" t="s">
        <ns0:v>53</ns0:v>
      </ns0:c>
      <ns0:c r="D217" s="37"/>
      <ns0:c r="E217" s="26">
        <ns0:f t="shared" si="140"/>
        <ns0:v>299.8230582</ns0:v>
      </ns0:c>
      <ns0:c r="F217" s="48">
        <ns0:f t="shared" ref="F217:AC217" si="142">IF(F216&gt;0,ABS(MIN(F211*0.2,ABS(F212))*F215),F216)</ns0:f>
        <ns0:v>3.040882</ns0:v>
      </ns0:c>
      <ns0:c r="G217" s="48">
        <ns0:f t="shared" si="142"/>
        <ns0:v>1.869296</ns0:v>
      </ns0:c>
      <ns0:c r="H217" s="48">
        <ns0:f t="shared" si="142"/>
        <ns0:v>6.053784</ns0:v>
      </ns0:c>
      <ns0:c r="I217" s="48">
        <ns0:f t="shared" si="142"/>
        <ns0:v>-0.0755419999999997</ns0:v>
      </ns0:c>
      <ns0:c r="J217" s="48">
        <ns0:f t="shared" si="142"/>
        <ns0:v>3.7343508</ns0:v>
      </ns0:c>
      <ns0:c r="K217" s="48">
        <ns0:f t="shared" si="142"/>
        <ns0:v>3.43938</ns0:v>
      </ns0:c>
      <ns0:c r="L217" s="48">
        <ns0:f t="shared" si="142"/>
        <ns0:v>0.885719999999993</ns0:v>
      </ns0:c>
      <ns0:c r="M217" s="48">
        <ns0:f t="shared" si="142"/>
        <ns0:v>-0.0113399999999994</ns0:v>
      </ns0:c>
      <ns0:c r="N217" s="48">
        <ns0:f t="shared" si="142"/>
        <ns0:v>2.894176</ns0:v>
      </ns0:c>
      <ns0:c r="O217" s="48">
        <ns0:f t="shared" si="142"/>
        <ns0:v>27.4221156</ns0:v>
      </ns0:c>
      <ns0:c r="P217" s="48">
        <ns0:f t="shared" si="142"/>
        <ns0:v>16.12817</ns0:v>
      </ns0:c>
      <ns0:c r="Q217" s="48">
        <ns0:f t="shared" si="142"/>
        <ns0:v>19.3372806</ns0:v>
      </ns0:c>
      <ns0:c r="R217" s="48">
        <ns0:f t="shared" si="142"/>
        <ns0:v>37.643237</ns0:v>
      </ns0:c>
      <ns0:c r="S217" s="48">
        <ns0:f t="shared" si="142"/>
        <ns0:v>5.10289199999999</ns0:v>
      </ns0:c>
      <ns0:c r="T217" s="48">
        <ns0:f t="shared" si="142"/>
        <ns0:v>9.7239492</ns0:v>
      </ns0:c>
      <ns0:c r="U217" s="48">
        <ns0:f t="shared" si="142"/>
        <ns0:v>10.2643992</ns0:v>
      </ns0:c>
      <ns0:c r="V217" s="48">
        <ns0:f t="shared" si="142"/>
        <ns0:v>5.72732800000001</ns0:v>
      </ns0:c>
      <ns0:c r="W217" s="48">
        <ns0:f t="shared" si="142"/>
        <ns0:v>3.67751700000001</ns0:v>
      </ns0:c>
      <ns0:c r="X217" s="48">
        <ns0:f t="shared" si="142"/>
        <ns0:v>16.071764</ns0:v>
      </ns0:c>
      <ns0:c r="Y217" s="48">
        <ns0:f t="shared" si="142"/>
        <ns0:v>46.8378162</ns0:v>
      </ns0:c>
      <ns0:c r="Z217" s="48">
        <ns0:f t="shared" si="142"/>
        <ns0:v>7.405034</ns0:v>
      </ns0:c>
      <ns0:c r="AA217" s="48">
        <ns0:f t="shared" si="142"/>
        <ns0:v>52.7887406</ns0:v>
      </ns0:c>
      <ns0:c r="AB217" s="48">
        <ns0:f t="shared" si="142"/>
        <ns0:v>17.319468</ns0:v>
      </ns0:c>
      <ns0:c r="AC217" s="48">
        <ns0:f t="shared" si="142"/>
        <ns0:v>2.54263999999999</ns0:v>
      </ns0:c>
    </ns0:row>
    <ns0:row r="218" spans="1:29">
      <ns0:c r="A218" s="32"/>
      <ns0:c r="B218" s="33"/>
      <ns0:c r="C218" s="39" t="s">
        <ns0:v>50</ns0:v>
      </ns0:c>
      <ns0:c r="D218" s="37"/>
      <ns0:c r="E218" s="44">
        <ns0:f t="shared" ref="E218:AC218" si="143">E216-E217</ns0:f>
        <ns0:v>103.4245348</ns0:v>
      </ns0:c>
      <ns0:c r="F218" s="26">
        <ns0:f t="shared" si="143"/>
        <ns0:v>0</ns0:v>
      </ns0:c>
      <ns0:c r="G218" s="26">
        <ns0:f t="shared" si="143"/>
        <ns0:v>0</ns0:v>
      </ns0:c>
      <ns0:c r="H218" s="26">
        <ns0:f t="shared" si="143"/>
        <ns0:v>0</ns0:v>
      </ns0:c>
      <ns0:c r="I218" s="26">
        <ns0:f t="shared" si="143"/>
        <ns0:v>0</ns0:v>
      </ns0:c>
      <ns0:c r="J218" s="26">
        <ns0:f t="shared" si="143"/>
        <ns0:v>1.8033432</ns0:v>
      </ns0:c>
      <ns0:c r="K218" s="26">
        <ns0:f t="shared" si="143"/>
        <ns0:v>0</ns0:v>
      </ns0:c>
      <ns0:c r="L218" s="26">
        <ns0:f t="shared" si="143"/>
        <ns0:v>0</ns0:v>
      </ns0:c>
      <ns0:c r="M218" s="26">
        <ns0:f t="shared" si="143"/>
        <ns0:v>0</ns0:v>
      </ns0:c>
      <ns0:c r="N218" s="26">
        <ns0:f t="shared" si="143"/>
        <ns0:v>0</ns0:v>
      </ns0:c>
      <ns0:c r="O218" s="26">
        <ns0:f t="shared" si="143"/>
        <ns0:v>8.3654824</ns0:v>
      </ns0:c>
      <ns0:c r="P218" s="26">
        <ns0:f t="shared" si="143"/>
        <ns0:v>6.64118</ns0:v>
      </ns0:c>
      <ns0:c r="Q218" s="26">
        <ns0:f t="shared" si="143"/>
        <ns0:v>5.16416240000001</ns0:v>
      </ns0:c>
      <ns0:c r="R218" s="26">
        <ns0:f t="shared" si="143"/>
        <ns0:v>26.162658</ns0:v>
      </ns0:c>
      <ns0:c r="S218" s="26">
        <ns0:f t="shared" si="143"/>
        <ns0:v>3.25096799999999</ns0:v>
      </ns0:c>
      <ns0:c r="T218" s="26">
        <ns0:f t="shared" si="143"/>
        <ns0:v>6.1339068</ns0:v>
      </ns0:c>
      <ns0:c r="U218" s="26">
        <ns0:f t="shared" si="143"/>
        <ns0:v>5.1760368</ns0:v>
      </ns0:c>
      <ns0:c r="V218" s="26">
        <ns0:f t="shared" si="143"/>
        <ns0:v>0</ns0:v>
      </ns0:c>
      <ns0:c r="W218" s="26">
        <ns0:f t="shared" si="143"/>
        <ns0:v>0</ns0:v>
      </ns0:c>
      <ns0:c r="X218" s="26">
        <ns0:f t="shared" si="143"/>
        <ns0:v>0</ns0:v>
      </ns0:c>
      <ns0:c r="Y218" s="26">
        <ns0:f t="shared" si="143"/>
        <ns0:v>32.7396348</ns0:v>
      </ns0:c>
      <ns0:c r="Z218" s="26">
        <ns0:f t="shared" si="143"/>
        <ns0:v>0</ns0:v>
      </ns0:c>
      <ns0:c r="AA218" s="26">
        <ns0:f t="shared" si="143"/>
        <ns0:v>7.98716239999998</ns0:v>
      </ns0:c>
      <ns0:c r="AB218" s="26">
        <ns0:f t="shared" si="143"/>
        <ns0:v>0</ns0:v>
      </ns0:c>
      <ns0:c r="AC218" s="26">
        <ns0:f t="shared" si="143"/>
        <ns0:v>0</ns0:v>
      </ns0:c>
    </ns0:row>
    <ns0:row r="219" spans="1:29">
      <ns0:c r="A219" s="29">
        <ns0:v>46016</ns0:v>
      </ns0:c>
      <ns0:c r="B219" s="30">
        <ns0:f>E226</ns0:f>
        <ns0:v>251.7770878</ns0:v>
      </ns0:c>
      <ns0:c r="C219" s="31" t="s">
        <ns0:v>47</ns0:v>
      </ns0:c>
      <ns0:c r="D219" s="31" t="s">
        <ns0:v>48</ns0:v>
      </ns0:c>
      <ns0:c r="E219" s="42">
        <ns0:f t="shared" si="140"/>
        <ns0:v>64.42</ns0:v>
      </ns0:c>
      <ns0:c r="F219" s="47">
        <ns0:v>1.578</ns0:v>
      </ns0:c>
      <ns0:c r="G219" s="47">
        <ns0:v>1.801</ns0:v>
      </ns0:c>
      <ns0:c r="H219" s="47">
        <ns0:v>1.573</ns0:v>
      </ns0:c>
      <ns0:c r="I219" s="47">
        <ns0:v>1.591</ns0:v>
      </ns0:c>
      <ns0:c r="J219" s="47">
        <ns0:v>1.548</ns0:v>
      </ns0:c>
      <ns0:c r="K219" s="47">
        <ns0:v>1.889</ns0:v>
      </ns0:c>
      <ns0:c r="L219" s="47">
        <ns0:v>1.571</ns0:v>
      </ns0:c>
      <ns0:c r="M219" s="47">
        <ns0:v>2.231</ns0:v>
      </ns0:c>
      <ns0:c r="N219" s="47">
        <ns0:v>4.802</ns0:v>
      </ns0:c>
      <ns0:c r="O219" s="47">
        <ns0:v>4.711</ns0:v>
      </ns0:c>
      <ns0:c r="P219" s="47">
        <ns0:v>3.995</ns0:v>
      </ns0:c>
      <ns0:c r="Q219" s="47">
        <ns0:v>3.064</ns0:v>
      </ns0:c>
      <ns0:c r="R219" s="47">
        <ns0:v>2.49</ns0:v>
      </ns0:c>
      <ns0:c r="S219" s="47">
        <ns0:v>2.683</ns0:v>
      </ns0:c>
      <ns0:c r="T219" s="47">
        <ns0:v>3.229</ns0:v>
      </ns0:c>
      <ns0:c r="U219" s="47">
        <ns0:v>3.074</ns0:v>
      </ns0:c>
      <ns0:c r="V219" s="47">
        <ns0:v>4.464</ns0:v>
      </ns0:c>
      <ns0:c r="W219" s="47">
        <ns0:v>4.232</ns0:v>
      </ns0:c>
      <ns0:c r="X219" s="47">
        <ns0:v>3.439</ns0:v>
      </ns0:c>
      <ns0:c r="Y219" s="47">
        <ns0:v>2.925</ns0:v>
      </ns0:c>
      <ns0:c r="Z219" s="47">
        <ns0:v>2.522</ns0:v>
      </ns0:c>
      <ns0:c r="AA219" s="47">
        <ns0:v>2.045</ns0:v>
      </ns0:c>
      <ns0:c r="AB219" s="47">
        <ns0:v>1.363</ns0:v>
      </ns0:c>
      <ns0:c r="AC219" s="47">
        <ns0:v>1.6</ns0:v>
      </ns0:c>
    </ns0:row>
    <ns0:row r="220" spans="1:29">
      <ns0:c r="A220" s="32"/>
      <ns0:c r="B220" s="33"/>
      <ns0:c r="C220" s="32"/>
      <ns0:c r="D220" s="6" t="s">
        <ns0:v>49</ns0:v>
      </ns0:c>
      <ns0:c r="E220" s="42">
        <ns0:f t="shared" si="140"/>
        <ns0:v>69.6918</ns0:v>
      </ns0:c>
      <ns0:c r="F220" s="46">
        <ns0:v>1.7725</ns0:v>
      </ns0:c>
      <ns0:c r="G220" s="46">
        <ns0:v>1.6885</ns0:v>
      </ns0:c>
      <ns0:c r="H220" s="46">
        <ns0:v>1.7727</ns0:v>
      </ns0:c>
      <ns0:c r="I220" s="46">
        <ns0:v>1.771</ns0:v>
      </ns0:c>
      <ns0:c r="J220" s="46">
        <ns0:v>1.7884</ns0:v>
      </ns0:c>
      <ns0:c r="K220" s="46">
        <ns0:v>1.7019</ns0:v>
      </ns0:c>
      <ns0:c r="L220" s="46">
        <ns0:v>1.709</ns0:v>
      </ns0:c>
      <ns0:c r="M220" s="46">
        <ns0:v>2.0755</ns0:v>
      </ns0:c>
      <ns0:c r="N220" s="46">
        <ns0:v>4.1571</ns0:v>
      </ns0:c>
      <ns0:c r="O220" s="46">
        <ns0:v>4.5124</ns0:v>
      </ns0:c>
      <ns0:c r="P220" s="46">
        <ns0:v>3.932</ns0:v>
      </ns0:c>
      <ns0:c r="Q220" s="46">
        <ns0:v>3.7706</ns0:v>
      </ns0:c>
      <ns0:c r="R220" s="46">
        <ns0:v>3.088</ns0:v>
      </ns0:c>
      <ns0:c r="S220" s="46">
        <ns0:v>3.7258</ns0:v>
      </ns0:c>
      <ns0:c r="T220" s="46">
        <ns0:v>4.1207</ns0:v>
      </ns0:c>
      <ns0:c r="U220" s="46">
        <ns0:v>3.8948</ns0:v>
      </ns0:c>
      <ns0:c r="V220" s="46">
        <ns0:v>4.0013</ns0:v>
      </ns0:c>
      <ns0:c r="W220" s="46">
        <ns0:v>3.8048</ns0:v>
      </ns0:c>
      <ns0:c r="X220" s="46">
        <ns0:v>3.4271</ns0:v>
      </ns0:c>
      <ns0:c r="Y220" s="46">
        <ns0:v>3.7192</ns0:v>
      </ns0:c>
      <ns0:c r="Z220" s="46">
        <ns0:v>3.0564</ns0:v>
      </ns0:c>
      <ns0:c r="AA220" s="46">
        <ns0:v>2.5827</ns0:v>
      </ns0:c>
      <ns0:c r="AB220" s="46">
        <ns0:v>1.9445</ns0:v>
      </ns0:c>
      <ns0:c r="AC220" s="46">
        <ns0:v>1.6749</ns0:v>
      </ns0:c>
    </ns0:row>
    <ns0:row r="221" spans="1:29">
      <ns0:c r="A221" s="32"/>
      <ns0:c r="B221" s="33"/>
      <ns0:c r="C221" s="34"/>
      <ns0:c r="D221" s="31" t="s">
        <ns0:v>50</ns0:v>
      </ns0:c>
      <ns0:c r="E221" s="26">
        <ns0:f t="shared" ref="E221:AC221" si="144">E219-E220</ns0:f>
        <ns0:v>-5.27180000000001</ns0:v>
      </ns0:c>
      <ns0:c r="F221" s="26">
        <ns0:f t="shared" si="144"/>
        <ns0:v>-0.1945</ns0:v>
      </ns0:c>
      <ns0:c r="G221" s="26">
        <ns0:f t="shared" si="144"/>
        <ns0:v>0.1125</ns0:v>
      </ns0:c>
      <ns0:c r="H221" s="26">
        <ns0:f t="shared" si="144"/>
        <ns0:v>-0.1997</ns0:v>
      </ns0:c>
      <ns0:c r="I221" s="26">
        <ns0:f t="shared" si="144"/>
        <ns0:v>-0.18</ns0:v>
      </ns0:c>
      <ns0:c r="J221" s="26">
        <ns0:f t="shared" si="144"/>
        <ns0:v>-0.2404</ns0:v>
      </ns0:c>
      <ns0:c r="K221" s="26">
        <ns0:f t="shared" si="144"/>
        <ns0:v>0.1871</ns0:v>
      </ns0:c>
      <ns0:c r="L221" s="26">
        <ns0:f t="shared" si="144"/>
        <ns0:v>-0.138</ns0:v>
      </ns0:c>
      <ns0:c r="M221" s="26">
        <ns0:f t="shared" si="144"/>
        <ns0:v>0.1555</ns0:v>
      </ns0:c>
      <ns0:c r="N221" s="26">
        <ns0:f t="shared" si="144"/>
        <ns0:v>0.6449</ns0:v>
      </ns0:c>
      <ns0:c r="O221" s="26">
        <ns0:f t="shared" si="144"/>
        <ns0:v>0.1986</ns0:v>
      </ns0:c>
      <ns0:c r="P221" s="26">
        <ns0:f t="shared" si="144"/>
        <ns0:v>0.0630000000000002</ns0:v>
      </ns0:c>
      <ns0:c r="Q221" s="26">
        <ns0:f t="shared" si="144"/>
        <ns0:v>-0.7066</ns0:v>
      </ns0:c>
      <ns0:c r="R221" s="26">
        <ns0:f t="shared" si="144"/>
        <ns0:v>-0.598</ns0:v>
      </ns0:c>
      <ns0:c r="S221" s="26">
        <ns0:f t="shared" si="144"/>
        <ns0:v>-1.0428</ns0:v>
      </ns0:c>
      <ns0:c r="T221" s="26">
        <ns0:f t="shared" si="144"/>
        <ns0:v>-0.8917</ns0:v>
      </ns0:c>
      <ns0:c r="U221" s="26">
        <ns0:f t="shared" si="144"/>
        <ns0:v>-0.8208</ns0:v>
      </ns0:c>
      <ns0:c r="V221" s="26">
        <ns0:f t="shared" si="144"/>
        <ns0:v>0.462700000000001</ns0:v>
      </ns0:c>
      <ns0:c r="W221" s="26">
        <ns0:f t="shared" si="144"/>
        <ns0:v>0.4272</ns0:v>
      </ns0:c>
      <ns0:c r="X221" s="26">
        <ns0:f t="shared" si="144"/>
        <ns0:v>0.0119000000000002</ns0:v>
      </ns0:c>
      <ns0:c r="Y221" s="26">
        <ns0:f t="shared" si="144"/>
        <ns0:v>-0.7942</ns0:v>
      </ns0:c>
      <ns0:c r="Z221" s="26">
        <ns0:f t="shared" si="144"/>
        <ns0:v>-0.5344</ns0:v>
      </ns0:c>
      <ns0:c r="AA221" s="26">
        <ns0:f t="shared" si="144"/>
        <ns0:v>-0.5377</ns0:v>
      </ns0:c>
      <ns0:c r="AB221" s="26">
        <ns0:f t="shared" si="144"/>
        <ns0:v>-0.5815</ns0:v>
      </ns0:c>
      <ns0:c r="AC221" s="26">
        <ns0:f t="shared" si="144"/>
        <ns0:v>-0.0749</ns0:v>
      </ns0:c>
    </ns0:row>
    <ns0:row r="222" spans="1:29">
      <ns0:c r="A222" s="32"/>
      <ns0:c r="B222" s="33"/>
      <ns0:c r="C222" s="35" t="s">
        <ns0:v>51</ns0:v>
      </ns0:c>
      <ns0:c r="D222" s="31" t="s">
        <ns0:v>48</ns0:v>
      </ns0:c>
      <ns0:c r="E222" s="31">
        <ns0:f>AVERAGE(F222:AC222)</ns0:f>
        <ns0:v>296.304166666667</ns0:v>
      </ns0:c>
      <ns0:c r="F222" s="43">
        <ns0:v>321.14</ns0:v>
      </ns0:c>
      <ns0:c r="G222" s="43">
        <ns0:v>304.18</ns0:v>
      </ns0:c>
      <ns0:c r="H222" s="43">
        <ns0:v>302.66</ns0:v>
      </ns0:c>
      <ns0:c r="I222" s="43">
        <ns0:v>287.87</ns0:v>
      </ns0:c>
      <ns0:c r="J222" s="43">
        <ns0:v>277.9</ns0:v>
      </ns0:c>
      <ns0:c r="K222" s="43">
        <ns0:v>270.82</ns0:v>
      </ns0:c>
      <ns0:c r="L222" s="43">
        <ns0:v>282.68</ns0:v>
      </ns0:c>
      <ns0:c r="M222" s="43">
        <ns0:v>290.4</ns0:v>
      </ns0:c>
      <ns0:c r="N222" s="43">
        <ns0:v>305.99</ns0:v>
      </ns0:c>
      <ns0:c r="O222" s="43">
        <ns0:v>304.58</ns0:v>
      </ns0:c>
      <ns0:c r="P222" s="43">
        <ns0:v>265.76</ns0:v>
      </ns0:c>
      <ns0:c r="Q222" s="43">
        <ns0:v>240.16</ns0:v>
      </ns0:c>
      <ns0:c r="R222" s="43">
        <ns0:v>218.8</ns0:v>
      </ns0:c>
      <ns0:c r="S222" s="43">
        <ns0:v>222.66</ns0:v>
      </ns0:c>
      <ns0:c r="T222" s="43">
        <ns0:v>229.22</ns0:v>
      </ns0:c>
      <ns0:c r="U222" s="43">
        <ns0:v>262.38</ns0:v>
      </ns0:c>
      <ns0:c r="V222" s="43">
        <ns0:v>300.55</ns0:v>
      </ns0:c>
      <ns0:c r="W222" s="43">
        <ns0:v>350.4</ns0:v>
      </ns0:c>
      <ns0:c r="X222" s="43">
        <ns0:v>385.15</ns0:v>
      </ns0:c>
      <ns0:c r="Y222" s="43">
        <ns0:v>372</ns0:v>
      </ns0:c>
      <ns0:c r="Z222" s="43">
        <ns0:v>374.7</ns0:v>
      </ns0:c>
      <ns0:c r="AA222" s="43">
        <ns0:v>370.48</ns0:v>
      </ns0:c>
      <ns0:c r="AB222" s="43">
        <ns0:v>309.05</ns0:v>
      </ns0:c>
      <ns0:c r="AC222" s="43">
        <ns0:v>261.77</ns0:v>
      </ns0:c>
    </ns0:row>
    <ns0:row r="223" spans="1:29">
      <ns0:c r="A223" s="32"/>
      <ns0:c r="B223" s="33"/>
      <ns0:c r="C223" s="32"/>
      <ns0:c r="D223" s="31" t="s">
        <ns0:v>49</ns0:v>
      </ns0:c>
      <ns0:c r="E223" s="31">
        <ns0:f>AVERAGE(F223:AC223)</ns0:f>
        <ns0:v>273.830833333333</ns0:v>
      </ns0:c>
      <ns0:c r="F223" s="43">
        <ns0:v>316.03</ns0:v>
      </ns0:c>
      <ns0:c r="G223" s="43">
        <ns0:v>326.42</ns0:v>
      </ns0:c>
      <ns0:c r="H223" s="43">
        <ns0:v>300.81</ns0:v>
      </ns0:c>
      <ns0:c r="I223" s="43">
        <ns0:v>282.78</ns0:v>
      </ns0:c>
      <ns0:c r="J223" s="43">
        <ns0:v>274.38</ns0:v>
      </ns0:c>
      <ns0:c r="K223" s="43">
        <ns0:v>275.86</ns0:v>
      </ns0:c>
      <ns0:c r="L223" s="43">
        <ns0:v>285.65</ns0:v>
      </ns0:c>
      <ns0:c r="M223" s="43">
        <ns0:v>287.79</ns0:v>
      </ns0:c>
      <ns0:c r="N223" s="43">
        <ns0:v>333.26</ns0:v>
      </ns0:c>
      <ns0:c r="O223" s="43">
        <ns0:v>312.2</ns0:v>
      </ns0:c>
      <ns0:c r="P223" s="43">
        <ns0:v>294.16</ns0:v>
      </ns0:c>
      <ns0:c r="Q223" s="43">
        <ns0:v>229.93</ns0:v>
      </ns0:c>
      <ns0:c r="R223" s="43">
        <ns0:v>149.3</ns0:v>
      </ns0:c>
      <ns0:c r="S223" s="43">
        <ns0:v>224.32</ns0:v>
      </ns0:c>
      <ns0:c r="T223" s="43">
        <ns0:v>224.56</ns0:v>
      </ns0:c>
      <ns0:c r="U223" s="43">
        <ns0:v>218.49</ns0:v>
      </ns0:c>
      <ns0:c r="V223" s="43">
        <ns0:v>283.31</ns0:v>
      </ns0:c>
      <ns0:c r="W223" s="43">
        <ns0:v>299.3</ns0:v>
      </ns0:c>
      <ns0:c r="X223" s="43">
        <ns0:v>293.87</ns0:v>
      </ns0:c>
      <ns0:c r="Y223" s="43">
        <ns0:v>287.92</ns0:v>
      </ns0:c>
      <ns0:c r="Z223" s="43">
        <ns0:v>285.95</ns0:v>
      </ns0:c>
      <ns0:c r="AA223" s="43">
        <ns0:v>287.11</ns0:v>
      </ns0:c>
      <ns0:c r="AB223" s="43">
        <ns0:v>269.27</ns0:v>
      </ns0:c>
      <ns0:c r="AC223" s="43">
        <ns0:v>229.27</ns0:v>
      </ns0:c>
    </ns0:row>
    <ns0:row r="224" spans="1:29">
      <ns0:c r="A224" s="32"/>
      <ns0:c r="B224" s="33"/>
      <ns0:c r="C224" s="34"/>
      <ns0:c r="D224" s="31" t="s">
        <ns0:v>50</ns0:v>
      </ns0:c>
      <ns0:c r="E224" s="26">
        <ns0:f t="shared" ref="E224:AC224" si="145">E222-E223</ns0:f>
        <ns0:v>22.4733333333332</ns0:v>
      </ns0:c>
      <ns0:c r="F224" s="26">
        <ns0:f t="shared" si="145"/>
        <ns0:v>5.11000000000001</ns0:v>
      </ns0:c>
      <ns0:c r="G224" s="26">
        <ns0:f t="shared" si="145"/>
        <ns0:v>-22.24</ns0:v>
      </ns0:c>
      <ns0:c r="H224" s="26">
        <ns0:f t="shared" si="145"/>
        <ns0:v>1.85000000000002</ns0:v>
      </ns0:c>
      <ns0:c r="I224" s="26">
        <ns0:f t="shared" si="145"/>
        <ns0:v>5.09000000000003</ns0:v>
      </ns0:c>
      <ns0:c r="J224" s="26">
        <ns0:f t="shared" si="145"/>
        <ns0:v>3.51999999999998</ns0:v>
      </ns0:c>
      <ns0:c r="K224" s="26">
        <ns0:f t="shared" si="145"/>
        <ns0:v>-5.04000000000002</ns0:v>
      </ns0:c>
      <ns0:c r="L224" s="26">
        <ns0:f t="shared" si="145"/>
        <ns0:v>-2.96999999999997</ns0:v>
      </ns0:c>
      <ns0:c r="M224" s="26">
        <ns0:f t="shared" si="145"/>
        <ns0:v>2.60999999999996</ns0:v>
      </ns0:c>
      <ns0:c r="N224" s="26">
        <ns0:f t="shared" si="145"/>
        <ns0:v>-27.27</ns0:v>
      </ns0:c>
      <ns0:c r="O224" s="26">
        <ns0:f t="shared" si="145"/>
        <ns0:v>-7.62</ns0:v>
      </ns0:c>
      <ns0:c r="P224" s="26">
        <ns0:f t="shared" si="145"/>
        <ns0:v>-28.4</ns0:v>
      </ns0:c>
      <ns0:c r="Q224" s="26">
        <ns0:f t="shared" si="145"/>
        <ns0:v>10.23</ns0:v>
      </ns0:c>
      <ns0:c r="R224" s="26">
        <ns0:f t="shared" si="145"/>
        <ns0:v>69.5</ns0:v>
      </ns0:c>
      <ns0:c r="S224" s="26">
        <ns0:f t="shared" si="145"/>
        <ns0:v>-1.66</ns0:v>
      </ns0:c>
      <ns0:c r="T224" s="26">
        <ns0:f t="shared" si="145"/>
        <ns0:v>4.66</ns0:v>
      </ns0:c>
      <ns0:c r="U224" s="26">
        <ns0:f t="shared" si="145"/>
        <ns0:v>43.89</ns0:v>
      </ns0:c>
      <ns0:c r="V224" s="26">
        <ns0:f t="shared" si="145"/>
        <ns0:v>17.24</ns0:v>
      </ns0:c>
      <ns0:c r="W224" s="26">
        <ns0:f t="shared" si="145"/>
        <ns0:v>51.1</ns0:v>
      </ns0:c>
      <ns0:c r="X224" s="26">
        <ns0:f t="shared" si="145"/>
        <ns0:v>91.28</ns0:v>
      </ns0:c>
      <ns0:c r="Y224" s="26">
        <ns0:f t="shared" si="145"/>
        <ns0:v>84.08</ns0:v>
      </ns0:c>
      <ns0:c r="Z224" s="26">
        <ns0:f t="shared" si="145"/>
        <ns0:v>88.75</ns0:v>
      </ns0:c>
      <ns0:c r="AA224" s="26">
        <ns0:f t="shared" si="145"/>
        <ns0:v>83.37</ns0:v>
      </ns0:c>
      <ns0:c r="AB224" s="26">
        <ns0:f t="shared" si="145"/>
        <ns0:v>39.78</ns0:v>
      </ns0:c>
      <ns0:c r="AC224" s="26">
        <ns0:f t="shared" si="145"/>
        <ns0:v>32.5</ns0:v>
      </ns0:c>
    </ns0:row>
    <ns0:row r="225" spans="1:29">
      <ns0:c r="A225" s="32"/>
      <ns0:c r="B225" s="33"/>
      <ns0:c r="C225" s="36" t="s">
        <ns0:v>52</ns0:v>
      </ns0:c>
      <ns0:c r="D225" s="37"/>
      <ns0:c r="E225" s="26">
        <ns0:f t="shared" ref="E225:E229" si="146">SUM(F225:AC225)</ns0:f>
        <ns0:v>267.588281</ns0:v>
      </ns0:c>
      <ns0:c r="F225" s="48">
        <ns0:f t="shared" ref="F225:AC225" si="147">-F221*F224</ns0:f>
        <ns0:v>0.993895000000001</ns0:v>
      </ns0:c>
      <ns0:c r="G225" s="48">
        <ns0:f t="shared" si="147"/>
        <ns0:v>2.502</ns0:v>
      </ns0:c>
      <ns0:c r="H225" s="48">
        <ns0:f t="shared" si="147"/>
        <ns0:v>0.369445000000004</ns0:v>
      </ns0:c>
      <ns0:c r="I225" s="48">
        <ns0:f t="shared" si="147"/>
        <ns0:v>0.916200000000005</ns0:v>
      </ns0:c>
      <ns0:c r="J225" s="48">
        <ns0:f t="shared" si="147"/>
        <ns0:v>0.846207999999995</ns0:v>
      </ns0:c>
      <ns0:c r="K225" s="48">
        <ns0:f t="shared" si="147"/>
        <ns0:v>0.942984000000004</ns0:v>
      </ns0:c>
      <ns0:c r="L225" s="48">
        <ns0:f t="shared" si="147"/>
        <ns0:v>-0.409859999999996</ns0:v>
      </ns0:c>
      <ns0:c r="M225" s="48">
        <ns0:f t="shared" si="147"/>
        <ns0:v>-0.405854999999994</ns0:v>
      </ns0:c>
      <ns0:c r="N225" s="48">
        <ns0:f t="shared" si="147"/>
        <ns0:v>17.586423</ns0:v>
      </ns0:c>
      <ns0:c r="O225" s="48">
        <ns0:f t="shared" si="147"/>
        <ns0:v>1.513332</ns0:v>
      </ns0:c>
      <ns0:c r="P225" s="48">
        <ns0:f t="shared" si="147"/>
        <ns0:v>1.7892</ns0:v>
      </ns0:c>
      <ns0:c r="Q225" s="48">
        <ns0:f t="shared" si="147"/>
        <ns0:v>7.228518</ns0:v>
      </ns0:c>
      <ns0:c r="R225" s="48">
        <ns0:f t="shared" si="147"/>
        <ns0:v>41.561</ns0:v>
      </ns0:c>
      <ns0:c r="S225" s="48">
        <ns0:f t="shared" si="147"/>
        <ns0:v>-1.731048</ns0:v>
      </ns0:c>
      <ns0:c r="T225" s="48">
        <ns0:f t="shared" si="147"/>
        <ns0:v>4.155322</ns0:v>
      </ns0:c>
      <ns0:c r="U225" s="48">
        <ns0:f t="shared" si="147"/>
        <ns0:v>36.024912</ns0:v>
      </ns0:c>
      <ns0:c r="V225" s="48">
        <ns0:f t="shared" si="147"/>
        <ns0:v>-7.97694800000001</ns0:v>
      </ns0:c>
      <ns0:c r="W225" s="48">
        <ns0:f t="shared" si="147"/>
        <ns0:v>-21.82992</ns0:v>
      </ns0:c>
      <ns0:c r="X225" s="48">
        <ns0:f t="shared" si="147"/>
        <ns0:v>-1.08623200000002</ns0:v>
      </ns0:c>
      <ns0:c r="Y225" s="48">
        <ns0:f t="shared" si="147"/>
        <ns0:v>66.776336</ns0:v>
      </ns0:c>
      <ns0:c r="Z225" s="48">
        <ns0:f t="shared" si="147"/>
        <ns0:v>47.428</ns0:v>
      </ns0:c>
      <ns0:c r="AA225" s="48">
        <ns0:f t="shared" si="147"/>
        <ns0:v>44.828049</ns0:v>
      </ns0:c>
      <ns0:c r="AB225" s="48">
        <ns0:f t="shared" si="147"/>
        <ns0:v>23.13207</ns0:v>
      </ns0:c>
      <ns0:c r="AC225" s="48">
        <ns0:f t="shared" si="147"/>
        <ns0:v>2.43425</ns0:v>
      </ns0:c>
    </ns0:row>
    <ns0:row r="226" spans="1:29">
      <ns0:c r="A226" s="32"/>
      <ns0:c r="B226" s="33"/>
      <ns0:c r="C226" s="38" t="s">
        <ns0:v>53</ns0:v>
      </ns0:c>
      <ns0:c r="D226" s="37"/>
      <ns0:c r="E226" s="26">
        <ns0:f t="shared" si="146"/>
        <ns0:v>251.7770878</ns0:v>
      </ns0:c>
      <ns0:c r="F226" s="48">
        <ns0:f t="shared" ref="F226:AC226" si="148">IF(F225&gt;0,ABS(MIN(F220*0.2,ABS(F221))*F224),F225)</ns0:f>
        <ns0:v>0.993895000000001</ns0:v>
      </ns0:c>
      <ns0:c r="G226" s="48">
        <ns0:f t="shared" si="148"/>
        <ns0:v>2.502</ns0:v>
      </ns0:c>
      <ns0:c r="H226" s="48">
        <ns0:f t="shared" si="148"/>
        <ns0:v>0.369445000000004</ns0:v>
      </ns0:c>
      <ns0:c r="I226" s="48">
        <ns0:f t="shared" si="148"/>
        <ns0:v>0.916200000000005</ns0:v>
      </ns0:c>
      <ns0:c r="J226" s="48">
        <ns0:f t="shared" si="148"/>
        <ns0:v>0.846207999999995</ns0:v>
      </ns0:c>
      <ns0:c r="K226" s="48">
        <ns0:f t="shared" si="148"/>
        <ns0:v>0.942984000000004</ns0:v>
      </ns0:c>
      <ns0:c r="L226" s="48">
        <ns0:f t="shared" si="148"/>
        <ns0:v>-0.409859999999996</ns0:v>
      </ns0:c>
      <ns0:c r="M226" s="48">
        <ns0:f t="shared" si="148"/>
        <ns0:v>-0.405854999999994</ns0:v>
      </ns0:c>
      <ns0:c r="N226" s="48">
        <ns0:f t="shared" si="148"/>
        <ns0:v>17.586423</ns0:v>
      </ns0:c>
      <ns0:c r="O226" s="48">
        <ns0:f t="shared" si="148"/>
        <ns0:v>1.513332</ns0:v>
      </ns0:c>
      <ns0:c r="P226" s="48">
        <ns0:f t="shared" si="148"/>
        <ns0:v>1.7892</ns0:v>
      </ns0:c>
      <ns0:c r="Q226" s="48">
        <ns0:f t="shared" si="148"/>
        <ns0:v>7.228518</ns0:v>
      </ns0:c>
      <ns0:c r="R226" s="48">
        <ns0:f t="shared" si="148"/>
        <ns0:v>41.561</ns0:v>
      </ns0:c>
      <ns0:c r="S226" s="48">
        <ns0:f t="shared" si="148"/>
        <ns0:v>-1.731048</ns0:v>
      </ns0:c>
      <ns0:c r="T226" s="48">
        <ns0:f t="shared" si="148"/>
        <ns0:v>3.8404924</ns0:v>
      </ns0:c>
      <ns0:c r="U226" s="48">
        <ns0:f t="shared" si="148"/>
        <ns0:v>34.1885544</ns0:v>
      </ns0:c>
      <ns0:c r="V226" s="48">
        <ns0:f t="shared" si="148"/>
        <ns0:v>-7.97694800000001</ns0:v>
      </ns0:c>
      <ns0:c r="W226" s="48">
        <ns0:f t="shared" si="148"/>
        <ns0:v>-21.82992</ns0:v>
      </ns0:c>
      <ns0:c r="X226" s="48">
        <ns0:f t="shared" si="148"/>
        <ns0:v>-1.08623200000002</ns0:v>
      </ns0:c>
      <ns0:c r="Y226" s="48">
        <ns0:f t="shared" si="148"/>
        <ns0:v>62.5420672</ns0:v>
      </ns0:c>
      <ns0:c r="Z226" s="48">
        <ns0:f t="shared" si="148"/>
        <ns0:v>47.428</ns0:v>
      </ns0:c>
      <ns0:c r="AA226" s="48">
        <ns0:f t="shared" si="148"/>
        <ns0:v>43.0639398</ns0:v>
      </ns0:c>
      <ns0:c r="AB226" s="48">
        <ns0:f t="shared" si="148"/>
        <ns0:v>15.470442</ns0:v>
      </ns0:c>
      <ns0:c r="AC226" s="48">
        <ns0:f t="shared" si="148"/>
        <ns0:v>2.43425</ns0:v>
      </ns0:c>
    </ns0:row>
    <ns0:row r="227" spans="1:29">
      <ns0:c r="A227" s="32"/>
      <ns0:c r="B227" s="33"/>
      <ns0:c r="C227" s="39" t="s">
        <ns0:v>50</ns0:v>
      </ns0:c>
      <ns0:c r="D227" s="37"/>
      <ns0:c r="E227" s="44">
        <ns0:f t="shared" ref="E227:AC227" si="149">E225-E226</ns0:f>
        <ns0:v>15.8111932</ns0:v>
      </ns0:c>
      <ns0:c r="F227" s="26">
        <ns0:f t="shared" si="149"/>
        <ns0:v>0</ns0:v>
      </ns0:c>
      <ns0:c r="G227" s="26">
        <ns0:f t="shared" si="149"/>
        <ns0:v>0</ns0:v>
      </ns0:c>
      <ns0:c r="H227" s="26">
        <ns0:f t="shared" si="149"/>
        <ns0:v>0</ns0:v>
      </ns0:c>
      <ns0:c r="I227" s="26">
        <ns0:f t="shared" si="149"/>
        <ns0:v>0</ns0:v>
      </ns0:c>
      <ns0:c r="J227" s="26">
        <ns0:f t="shared" si="149"/>
        <ns0:v>0</ns0:v>
      </ns0:c>
      <ns0:c r="K227" s="26">
        <ns0:f t="shared" si="149"/>
        <ns0:v>0</ns0:v>
      </ns0:c>
      <ns0:c r="L227" s="26">
        <ns0:f t="shared" si="149"/>
        <ns0:v>0</ns0:v>
      </ns0:c>
      <ns0:c r="M227" s="26">
        <ns0:f t="shared" si="149"/>
        <ns0:v>0</ns0:v>
      </ns0:c>
      <ns0:c r="N227" s="26">
        <ns0:f t="shared" si="149"/>
        <ns0:v>0</ns0:v>
      </ns0:c>
      <ns0:c r="O227" s="26">
        <ns0:f t="shared" si="149"/>
        <ns0:v>0</ns0:v>
      </ns0:c>
      <ns0:c r="P227" s="26">
        <ns0:f t="shared" si="149"/>
        <ns0:v>0</ns0:v>
      </ns0:c>
      <ns0:c r="Q227" s="26">
        <ns0:f t="shared" si="149"/>
        <ns0:v>0</ns0:v>
      </ns0:c>
      <ns0:c r="R227" s="26">
        <ns0:f t="shared" si="149"/>
        <ns0:v>0</ns0:v>
      </ns0:c>
      <ns0:c r="S227" s="26">
        <ns0:f t="shared" si="149"/>
        <ns0:v>0</ns0:v>
      </ns0:c>
      <ns0:c r="T227" s="26">
        <ns0:f t="shared" si="149"/>
        <ns0:v>0.3148296</ns0:v>
      </ns0:c>
      <ns0:c r="U227" s="26">
        <ns0:f t="shared" si="149"/>
        <ns0:v>1.8363576</ns0:v>
      </ns0:c>
      <ns0:c r="V227" s="26">
        <ns0:f t="shared" si="149"/>
        <ns0:v>0</ns0:v>
      </ns0:c>
      <ns0:c r="W227" s="26">
        <ns0:f t="shared" si="149"/>
        <ns0:v>0</ns0:v>
      </ns0:c>
      <ns0:c r="X227" s="26">
        <ns0:f t="shared" si="149"/>
        <ns0:v>0</ns0:v>
      </ns0:c>
      <ns0:c r="Y227" s="26">
        <ns0:f t="shared" si="149"/>
        <ns0:v>4.2342688</ns0:v>
      </ns0:c>
      <ns0:c r="Z227" s="26">
        <ns0:f t="shared" si="149"/>
        <ns0:v>0</ns0:v>
      </ns0:c>
      <ns0:c r="AA227" s="26">
        <ns0:f t="shared" si="149"/>
        <ns0:v>1.76410920000001</ns0:v>
      </ns0:c>
      <ns0:c r="AB227" s="26">
        <ns0:f t="shared" si="149"/>
        <ns0:v>7.66162799999999</ns0:v>
      </ns0:c>
      <ns0:c r="AC227" s="26">
        <ns0:f t="shared" si="149"/>
        <ns0:v>0</ns0:v>
      </ns0:c>
    </ns0:row>
    <ns0:row r="228" spans="1:29">
      <ns0:c r="A228" s="29">
        <ns0:v>46017</ns0:v>
      </ns0:c>
      <ns0:c r="B228" s="30">
        <ns0:f>E235</ns0:f>
        <ns0:v>-1300.992934</ns0:v>
      </ns0:c>
      <ns0:c r="C228" s="31" t="s">
        <ns0:v>47</ns0:v>
      </ns0:c>
      <ns0:c r="D228" s="31" t="s">
        <ns0:v>48</ns0:v>
      </ns0:c>
      <ns0:c r="E228" s="42">
        <ns0:f t="shared" si="146"/>
        <ns0:v>56.244</ns0:v>
      </ns0:c>
      <ns0:c r="F228" s="47">
        <ns0:v>1.472</ns0:v>
      </ns0:c>
      <ns0:c r="G228" s="47">
        <ns0:v>1.636</ns0:v>
      </ns0:c>
      <ns0:c r="H228" s="47">
        <ns0:v>1.473</ns0:v>
      </ns0:c>
      <ns0:c r="I228" s="47">
        <ns0:v>1.407</ns0:v>
      </ns0:c>
      <ns0:c r="J228" s="47">
        <ns0:v>1.55</ns0:v>
      </ns0:c>
      <ns0:c r="K228" s="47">
        <ns0:v>1.431</ns0:v>
      </ns0:c>
      <ns0:c r="L228" s="47">
        <ns0:v>1.374</ns0:v>
      </ns0:c>
      <ns0:c r="M228" s="47">
        <ns0:v>1.547</ns0:v>
      </ns0:c>
      <ns0:c r="N228" s="47">
        <ns0:v>4.105</ns0:v>
      </ns0:c>
      <ns0:c r="O228" s="47">
        <ns0:v>3.499</ns0:v>
      </ns0:c>
      <ns0:c r="P228" s="47">
        <ns0:v>2.777</ns0:v>
      </ns0:c>
      <ns0:c r="Q228" s="47">
        <ns0:v>2.679</ns0:v>
      </ns0:c>
      <ns0:c r="R228" s="47">
        <ns0:v>2.053</ns0:v>
      </ns0:c>
      <ns0:c r="S228" s="47">
        <ns0:v>2.45</ns0:v>
      </ns0:c>
      <ns0:c r="T228" s="47">
        <ns0:v>2.978</ns0:v>
      </ns0:c>
      <ns0:c r="U228" s="47">
        <ns0:v>3.253</ns0:v>
      </ns0:c>
      <ns0:c r="V228" s="47">
        <ns0:v>3.325</ns0:v>
      </ns0:c>
      <ns0:c r="W228" s="47">
        <ns0:v>3.914</ns0:v>
      </ns0:c>
      <ns0:c r="X228" s="47">
        <ns0:v>2.866</ns0:v>
      </ns0:c>
      <ns0:c r="Y228" s="47">
        <ns0:v>2.672</ns0:v>
      </ns0:c>
      <ns0:c r="Z228" s="47">
        <ns0:v>2.382</ns0:v>
      </ns0:c>
      <ns0:c r="AA228" s="47">
        <ns0:v>1.939</ns0:v>
      </ns0:c>
      <ns0:c r="AB228" s="47">
        <ns0:v>1.689</ns0:v>
      </ns0:c>
      <ns0:c r="AC228" s="47">
        <ns0:v>1.773</ns0:v>
      </ns0:c>
    </ns0:row>
    <ns0:row r="229" spans="1:29">
      <ns0:c r="A229" s="32"/>
      <ns0:c r="B229" s="33"/>
      <ns0:c r="C229" s="32"/>
      <ns0:c r="D229" s="6" t="s">
        <ns0:v>49</ns0:v>
      </ns0:c>
      <ns0:c r="E229" s="42">
        <ns0:f t="shared" si="146"/>
        <ns0:v>68.8664</ns0:v>
      </ns0:c>
      <ns0:c r="F229" s="46">
        <ns0:v>1.6789</ns0:v>
      </ns0:c>
      <ns0:c r="G229" s="46">
        <ns0:v>1.6041</ns0:v>
      </ns0:c>
      <ns0:c r="H229" s="46">
        <ns0:v>1.6788</ns0:v>
      </ns0:c>
      <ns0:c r="I229" s="46">
        <ns0:v>1.6366</ns0:v>
      </ns0:c>
      <ns0:c r="J229" s="46">
        <ns0:v>1.6497</ns0:v>
      </ns0:c>
      <ns0:c r="K229" s="46">
        <ns0:v>1.682</ns0:v>
      </ns0:c>
      <ns0:c r="L229" s="46">
        <ns0:v>1.6832</ns0:v>
      </ns0:c>
      <ns0:c r="M229" s="46">
        <ns0:v>2.1012</ns0:v>
      </ns0:c>
      <ns0:c r="N229" s="46">
        <ns0:v>4.1755</ns0:v>
      </ns0:c>
      <ns0:c r="O229" s="46">
        <ns0:v>4.5612</ns0:v>
      </ns0:c>
      <ns0:c r="P229" s="46">
        <ns0:v>3.9498</ns0:v>
      </ns0:c>
      <ns0:c r="Q229" s="46">
        <ns0:v>3.727</ns0:v>
      </ns0:c>
      <ns0:c r="R229" s="46">
        <ns0:v>3.1096</ns0:v>
      </ns0:c>
      <ns0:c r="S229" s="46">
        <ns0:v>3.6996</ns0:v>
      </ns0:c>
      <ns0:c r="T229" s="46">
        <ns0:v>4.2404</ns0:v>
      </ns0:c>
      <ns0:c r="U229" s="46">
        <ns0:v>4.0832</ns0:v>
      </ns0:c>
      <ns0:c r="V229" s="46">
        <ns0:v>4.0606</ns0:v>
      </ns0:c>
      <ns0:c r="W229" s="46">
        <ns0:v>3.6774</ns0:v>
      </ns0:c>
      <ns0:c r="X229" s="46">
        <ns0:v>3.3302</ns0:v>
      </ns0:c>
      <ns0:c r="Y229" s="46">
        <ns0:v>3.6571</ns0:v>
      </ns0:c>
      <ns0:c r="Z229" s="46">
        <ns0:v>3.1501</ns0:v>
      </ns0:c>
      <ns0:c r="AA229" s="46">
        <ns0:v>2.3734</ns0:v>
      </ns0:c>
      <ns0:c r="AB229" s="46">
        <ns0:v>1.7701</ns0:v>
      </ns0:c>
      <ns0:c r="AC229" s="46">
        <ns0:v>1.5867</ns0:v>
      </ns0:c>
    </ns0:row>
    <ns0:row r="230" spans="1:29">
      <ns0:c r="A230" s="32"/>
      <ns0:c r="B230" s="33"/>
      <ns0:c r="C230" s="34"/>
      <ns0:c r="D230" s="31" t="s">
        <ns0:v>50</ns0:v>
      </ns0:c>
      <ns0:c r="E230" s="26">
        <ns0:f t="shared" ref="E230:AC230" si="150">E228-E229</ns0:f>
        <ns0:v>-12.6224</ns0:v>
      </ns0:c>
      <ns0:c r="F230" s="26">
        <ns0:f t="shared" si="150"/>
        <ns0:v>-0.2069</ns0:v>
      </ns0:c>
      <ns0:c r="G230" s="26">
        <ns0:f t="shared" si="150"/>
        <ns0:v>0.0318999999999998</ns0:v>
      </ns0:c>
      <ns0:c r="H230" s="26">
        <ns0:f t="shared" si="150"/>
        <ns0:v>-0.2058</ns0:v>
      </ns0:c>
      <ns0:c r="I230" s="26">
        <ns0:f t="shared" si="150"/>
        <ns0:v>-0.2296</ns0:v>
      </ns0:c>
      <ns0:c r="J230" s="26">
        <ns0:f t="shared" si="150"/>
        <ns0:v>-0.0996999999999999</ns0:v>
      </ns0:c>
      <ns0:c r="K230" s="26">
        <ns0:f t="shared" si="150"/>
        <ns0:v>-0.251</ns0:v>
      </ns0:c>
      <ns0:c r="L230" s="26">
        <ns0:f t="shared" si="150"/>
        <ns0:v>-0.3092</ns0:v>
      </ns0:c>
      <ns0:c r="M230" s="26">
        <ns0:f t="shared" si="150"/>
        <ns0:v>-0.5542</ns0:v>
      </ns0:c>
      <ns0:c r="N230" s="26">
        <ns0:f t="shared" si="150"/>
        <ns0:v>-0.0705</ns0:v>
      </ns0:c>
      <ns0:c r="O230" s="26">
        <ns0:f t="shared" si="150"/>
        <ns0:v>-1.0622</ns0:v>
      </ns0:c>
      <ns0:c r="P230" s="26">
        <ns0:f t="shared" si="150"/>
        <ns0:v>-1.1728</ns0:v>
      </ns0:c>
      <ns0:c r="Q230" s="26">
        <ns0:f t="shared" si="150"/>
        <ns0:v>-1.048</ns0:v>
      </ns0:c>
      <ns0:c r="R230" s="26">
        <ns0:f t="shared" si="150"/>
        <ns0:v>-1.0566</ns0:v>
      </ns0:c>
      <ns0:c r="S230" s="26">
        <ns0:f t="shared" si="150"/>
        <ns0:v>-1.2496</ns0:v>
      </ns0:c>
      <ns0:c r="T230" s="26">
        <ns0:f t="shared" si="150"/>
        <ns0:v>-1.2624</ns0:v>
      </ns0:c>
      <ns0:c r="U230" s="26">
        <ns0:f t="shared" si="150"/>
        <ns0:v>-0.8302</ns0:v>
      </ns0:c>
      <ns0:c r="V230" s="26">
        <ns0:f t="shared" si="150"/>
        <ns0:v>-0.7356</ns0:v>
      </ns0:c>
      <ns0:c r="W230" s="26">
        <ns0:f t="shared" si="150"/>
        <ns0:v>0.2366</ns0:v>
      </ns0:c>
      <ns0:c r="X230" s="26">
        <ns0:f t="shared" si="150"/>
        <ns0:v>-0.4642</ns0:v>
      </ns0:c>
      <ns0:c r="Y230" s="26">
        <ns0:f t="shared" si="150"/>
        <ns0:v>-0.9851</ns0:v>
      </ns0:c>
      <ns0:c r="Z230" s="26">
        <ns0:f t="shared" si="150"/>
        <ns0:v>-0.7681</ns0:v>
      </ns0:c>
      <ns0:c r="AA230" s="26">
        <ns0:f t="shared" si="150"/>
        <ns0:v>-0.4344</ns0:v>
      </ns0:c>
      <ns0:c r="AB230" s="26">
        <ns0:f t="shared" si="150"/>
        <ns0:v>-0.0810999999999999</ns0:v>
      </ns0:c>
      <ns0:c r="AC230" s="26">
        <ns0:f t="shared" si="150"/>
        <ns0:v>0.1863</ns0:v>
      </ns0:c>
    </ns0:row>
    <ns0:row r="231" spans="1:29">
      <ns0:c r="A231" s="32"/>
      <ns0:c r="B231" s="33"/>
      <ns0:c r="C231" s="35" t="s">
        <ns0:v>51</ns0:v>
      </ns0:c>
      <ns0:c r="D231" s="31" t="s">
        <ns0:v>48</ns0:v>
      </ns0:c>
      <ns0:c r="E231" s="31">
        <ns0:f>AVERAGE(F231:AC231)</ns0:f>
        <ns0:v>288.079583333333</ns0:v>
      </ns0:c>
      <ns0:c r="F231" s="43">
        <ns0:v>276.19</ns0:v>
      </ns0:c>
      <ns0:c r="G231" s="43">
        <ns0:v>270.65</ns0:v>
      </ns0:c>
      <ns0:c r="H231" s="43">
        <ns0:v>263.9</ns0:v>
      </ns0:c>
      <ns0:c r="I231" s="43">
        <ns0:v>256.32</ns0:v>
      </ns0:c>
      <ns0:c r="J231" s="43">
        <ns0:v>254.63</ns0:v>
      </ns0:c>
      <ns0:c r="K231" s="43">
        <ns0:v>253.01</ns0:v>
      </ns0:c>
      <ns0:c r="L231" s="43">
        <ns0:v>275.9</ns0:v>
      </ns0:c>
      <ns0:c r="M231" s="43">
        <ns0:v>286.92</ns0:v>
      </ns0:c>
      <ns0:c r="N231" s="43">
        <ns0:v>316.61</ns0:v>
      </ns0:c>
      <ns0:c r="O231" s="43">
        <ns0:v>292.93</ns0:v>
      </ns0:c>
      <ns0:c r="P231" s="43">
        <ns0:v>237.7</ns0:v>
      </ns0:c>
      <ns0:c r="Q231" s="43">
        <ns0:v>174.94</ns0:v>
      </ns0:c>
      <ns0:c r="R231" s="43">
        <ns0:v>17.79</ns0:v>
      </ns0:c>
      <ns0:c r="S231" s="43">
        <ns0:v>81.39</ns0:v>
      </ns0:c>
      <ns0:c r="T231" s="43">
        <ns0:v>172.15</ns0:v>
      </ns0:c>
      <ns0:c r="U231" s="43">
        <ns0:v>237.84</ns0:v>
      </ns0:c>
      <ns0:c r="V231" s="43">
        <ns0:v>312.32</ns0:v>
      </ns0:c>
      <ns0:c r="W231" s="43">
        <ns0:v>385.91</ns0:v>
      </ns0:c>
      <ns0:c r="X231" s="43">
        <ns0:v>466.48</ns0:v>
      </ns0:c>
      <ns0:c r="Y231" s="43">
        <ns0:v>488.05</ns0:v>
      </ns0:c>
      <ns0:c r="Z231" s="43">
        <ns0:v>465.87</ns0:v>
      </ns0:c>
      <ns0:c r="AA231" s="43">
        <ns0:v>446.61</ns0:v>
      </ns0:c>
      <ns0:c r="AB231" s="43">
        <ns0:v>372.7</ns0:v>
      </ns0:c>
      <ns0:c r="AC231" s="43">
        <ns0:v>307.1</ns0:v>
      </ns0:c>
    </ns0:row>
    <ns0:row r="232" spans="1:29">
      <ns0:c r="A232" s="32"/>
      <ns0:c r="B232" s="33"/>
      <ns0:c r="C232" s="32"/>
      <ns0:c r="D232" s="31" t="s">
        <ns0:v>49</ns0:v>
      </ns0:c>
      <ns0:c r="E232" s="31">
        <ns0:f>AVERAGE(F232:AC232)</ns0:f>
        <ns0:v>341.117083333333</ns0:v>
      </ns0:c>
      <ns0:c r="F232" s="43">
        <ns0:v>261.19</ns0:v>
      </ns0:c>
      <ns0:c r="G232" s="43">
        <ns0:v>245.86</ns0:v>
      </ns0:c>
      <ns0:c r="H232" s="43">
        <ns0:v>230.12</ns0:v>
      </ns0:c>
      <ns0:c r="I232" s="43">
        <ns0:v>221.32</ns0:v>
      </ns0:c>
      <ns0:c r="J232" s="43">
        <ns0:v>226.33</ns0:v>
      </ns0:c>
      <ns0:c r="K232" s="43">
        <ns0:v>238.05</ns0:v>
      </ns0:c>
      <ns0:c r="L232" s="43">
        <ns0:v>275.73</ns0:v>
      </ns0:c>
      <ns0:c r="M232" s="43">
        <ns0:v>292.45</ns0:v>
      </ns0:c>
      <ns0:c r="N232" s="43">
        <ns0:v>431.14</ns0:v>
      </ns0:c>
      <ns0:c r="O232" s="43">
        <ns0:v>460.29</ns0:v>
      </ns0:c>
      <ns0:c r="P232" s="43">
        <ns0:v>337.69</ns0:v>
      </ns0:c>
      <ns0:c r="Q232" s="43">
        <ns0:v>254.19</ns0:v>
      </ns0:c>
      <ns0:c r="R232" s="43">
        <ns0:v>219.06</ns0:v>
      </ns0:c>
      <ns0:c r="S232" s="43">
        <ns0:v>240.58</ns0:v>
      </ns0:c>
      <ns0:c r="T232" s="43">
        <ns0:v>231.45</ns0:v>
      </ns0:c>
      <ns0:c r="U232" s="43">
        <ns0:v>295.02</ns0:v>
      </ns0:c>
      <ns0:c r="V232" s="43">
        <ns0:v>307.82</ns0:v>
      </ns0:c>
      <ns0:c r="W232" s="43">
        <ns0:v>391.21</ns0:v>
      </ns0:c>
      <ns0:c r="X232" s="43">
        <ns0:v>453.03</ns0:v>
      </ns0:c>
      <ns0:c r="Y232" s="43">
        <ns0:v>752.49</ns0:v>
      </ns0:c>
      <ns0:c r="Z232" s="43">
        <ns0:v>644.07</ns0:v>
      </ns0:c>
      <ns0:c r="AA232" s="43">
        <ns0:v>474.9</ns0:v>
      </ns0:c>
      <ns0:c r="AB232" s="43">
        <ns0:v>399.65</ns0:v>
      </ns0:c>
      <ns0:c r="AC232" s="43">
        <ns0:v>303.17</ns0:v>
      </ns0:c>
    </ns0:row>
    <ns0:row r="233" spans="1:29">
      <ns0:c r="A233" s="32"/>
      <ns0:c r="B233" s="33"/>
      <ns0:c r="C233" s="34"/>
      <ns0:c r="D233" s="31" t="s">
        <ns0:v>50</ns0:v>
      </ns0:c>
      <ns0:c r="E233" s="26">
        <ns0:f t="shared" ref="E233:AC233" si="151">E231-E232</ns0:f>
        <ns0:v>-53.0374999999999</ns0:v>
      </ns0:c>
      <ns0:c r="F233" s="26">
        <ns0:f t="shared" si="151"/>
        <ns0:v>15</ns0:v>
      </ns0:c>
      <ns0:c r="G233" s="26">
        <ns0:f t="shared" si="151"/>
        <ns0:v>24.79</ns0:v>
      </ns0:c>
      <ns0:c r="H233" s="26">
        <ns0:f t="shared" si="151"/>
        <ns0:v>33.78</ns0:v>
      </ns0:c>
      <ns0:c r="I233" s="26">
        <ns0:f t="shared" si="151"/>
        <ns0:v>35</ns0:v>
      </ns0:c>
      <ns0:c r="J233" s="26">
        <ns0:f t="shared" si="151"/>
        <ns0:v>28.3</ns0:v>
      </ns0:c>
      <ns0:c r="K233" s="26">
        <ns0:f t="shared" si="151"/>
        <ns0:v>14.96</ns0:v>
      </ns0:c>
      <ns0:c r="L233" s="26">
        <ns0:f t="shared" si="151"/>
        <ns0:v>0.169999999999959</ns0:v>
      </ns0:c>
      <ns0:c r="M233" s="26">
        <ns0:f t="shared" si="151"/>
        <ns0:v>-5.52999999999997</ns0:v>
      </ns0:c>
      <ns0:c r="N233" s="26">
        <ns0:f t="shared" si="151"/>
        <ns0:v>-114.53</ns0:v>
      </ns0:c>
      <ns0:c r="O233" s="26">
        <ns0:f t="shared" si="151"/>
        <ns0:v>-167.36</ns0:v>
      </ns0:c>
      <ns0:c r="P233" s="26">
        <ns0:f t="shared" si="151"/>
        <ns0:v>-99.99</ns0:v>
      </ns0:c>
      <ns0:c r="Q233" s="26">
        <ns0:f t="shared" si="151"/>
        <ns0:v>-79.25</ns0:v>
      </ns0:c>
      <ns0:c r="R233" s="26">
        <ns0:f t="shared" si="151"/>
        <ns0:v>-201.27</ns0:v>
      </ns0:c>
      <ns0:c r="S233" s="26">
        <ns0:f t="shared" si="151"/>
        <ns0:v>-159.19</ns0:v>
      </ns0:c>
      <ns0:c r="T233" s="26">
        <ns0:f t="shared" si="151"/>
        <ns0:v>-59.3</ns0:v>
      </ns0:c>
      <ns0:c r="U233" s="26">
        <ns0:f t="shared" si="151"/>
        <ns0:v>-57.18</ns0:v>
      </ns0:c>
      <ns0:c r="V233" s="26">
        <ns0:f t="shared" si="151"/>
        <ns0:v>4.5</ns0:v>
      </ns0:c>
      <ns0:c r="W233" s="26">
        <ns0:f t="shared" si="151"/>
        <ns0:v>-5.29999999999995</ns0:v>
      </ns0:c>
      <ns0:c r="X233" s="26">
        <ns0:f t="shared" si="151"/>
        <ns0:v>13.45</ns0:v>
      </ns0:c>
      <ns0:c r="Y233" s="26">
        <ns0:f t="shared" si="151"/>
        <ns0:v>-264.44</ns0:v>
      </ns0:c>
      <ns0:c r="Z233" s="26">
        <ns0:f t="shared" si="151"/>
        <ns0:v>-178.2</ns0:v>
      </ns0:c>
      <ns0:c r="AA233" s="26">
        <ns0:f t="shared" si="151"/>
        <ns0:v>-28.29</ns0:v>
      </ns0:c>
      <ns0:c r="AB233" s="26">
        <ns0:f t="shared" si="151"/>
        <ns0:v>-26.95</ns0:v>
      </ns0:c>
      <ns0:c r="AC233" s="26">
        <ns0:f t="shared" si="151"/>
        <ns0:v>3.93000000000001</ns0:v>
      </ns0:c>
    </ns0:row>
    <ns0:row r="234" spans="1:29">
      <ns0:c r="A234" s="32"/>
      <ns0:c r="B234" s="33"/>
      <ns0:c r="C234" s="36" t="s">
        <ns0:v>52</ns0:v>
      </ns0:c>
      <ns0:c r="D234" s="37"/>
      <ns0:c r="E234" s="26">
        <ns0:f t="shared" ref="E234:E238" si="152">SUM(F234:AC234)</ns0:f>
        <ns0:v>-1300.992934</ns0:v>
      </ns0:c>
      <ns0:c r="F234" s="48">
        <ns0:f t="shared" ref="F234:AC234" si="153">-F230*F233</ns0:f>
        <ns0:v>3.1035</ns0:v>
      </ns0:c>
      <ns0:c r="G234" s="48">
        <ns0:f t="shared" si="153"/>
        <ns0:v>-0.790800999999995</ns0:v>
      </ns0:c>
      <ns0:c r="H234" s="48">
        <ns0:f t="shared" si="153"/>
        <ns0:v>6.951924</ns0:v>
      </ns0:c>
      <ns0:c r="I234" s="48">
        <ns0:f t="shared" si="153"/>
        <ns0:v>8.036</ns0:v>
      </ns0:c>
      <ns0:c r="J234" s="48">
        <ns0:f t="shared" si="153"/>
        <ns0:v>2.82151</ns0:v>
      </ns0:c>
      <ns0:c r="K234" s="48">
        <ns0:f t="shared" si="153"/>
        <ns0:v>3.75496</ns0:v>
      </ns0:c>
      <ns0:c r="L234" s="48">
        <ns0:f t="shared" si="153"/>
        <ns0:v>0.0525639999999873</ns0:v>
      </ns0:c>
      <ns0:c r="M234" s="48">
        <ns0:f t="shared" si="153"/>
        <ns0:v>-3.06472599999998</ns0:v>
      </ns0:c>
      <ns0:c r="N234" s="48">
        <ns0:f t="shared" si="153"/>
        <ns0:v>-8.074365</ns0:v>
      </ns0:c>
      <ns0:c r="O234" s="48">
        <ns0:f t="shared" si="153"/>
        <ns0:v>-177.769792</ns0:v>
      </ns0:c>
      <ns0:c r="P234" s="48">
        <ns0:f t="shared" si="153"/>
        <ns0:v>-117.268272</ns0:v>
      </ns0:c>
      <ns0:c r="Q234" s="48">
        <ns0:f t="shared" si="153"/>
        <ns0:v>-83.054</ns0:v>
      </ns0:c>
      <ns0:c r="R234" s="48">
        <ns0:f t="shared" si="153"/>
        <ns0:v>-212.661882</ns0:v>
      </ns0:c>
      <ns0:c r="S234" s="48">
        <ns0:f t="shared" si="153"/>
        <ns0:v>-198.923824</ns0:v>
      </ns0:c>
      <ns0:c r="T234" s="48">
        <ns0:f t="shared" si="153"/>
        <ns0:v>-74.86032</ns0:v>
      </ns0:c>
      <ns0:c r="U234" s="48">
        <ns0:f t="shared" si="153"/>
        <ns0:v>-47.470836</ns0:v>
      </ns0:c>
      <ns0:c r="V234" s="48">
        <ns0:f t="shared" si="153"/>
        <ns0:v>3.3102</ns0:v>
      </ns0:c>
      <ns0:c r="W234" s="48">
        <ns0:f t="shared" si="153"/>
        <ns0:v>1.25397999999999</ns0:v>
      </ns0:c>
      <ns0:c r="X234" s="48">
        <ns0:f t="shared" si="153"/>
        <ns0:v>6.24349</ns0:v>
      </ns0:c>
      <ns0:c r="Y234" s="48">
        <ns0:f t="shared" si="153"/>
        <ns0:v>-260.499844</ns0:v>
      </ns0:c>
      <ns0:c r="Z234" s="48">
        <ns0:f t="shared" si="153"/>
        <ns0:v>-136.87542</ns0:v>
      </ns0:c>
      <ns0:c r="AA234" s="48">
        <ns0:f t="shared" si="153"/>
        <ns0:v>-12.289176</ns0:v>
      </ns0:c>
      <ns0:c r="AB234" s="48">
        <ns0:f t="shared" si="153"/>
        <ns0:v>-2.185645</ns0:v>
      </ns0:c>
      <ns0:c r="AC234" s="48">
        <ns0:f t="shared" si="153"/>
        <ns0:v>-0.732159000000001</ns0:v>
      </ns0:c>
    </ns0:row>
    <ns0:row r="235" spans="1:29">
      <ns0:c r="A235" s="32"/>
      <ns0:c r="B235" s="33"/>
      <ns0:c r="C235" s="38" t="s">
        <ns0:v>53</ns0:v>
      </ns0:c>
      <ns0:c r="D235" s="37"/>
      <ns0:c r="E235" s="26">
        <ns0:f t="shared" si="152"/>
        <ns0:v>-1300.992934</ns0:v>
      </ns0:c>
      <ns0:c r="F235" s="48">
        <ns0:f t="shared" ref="F235:AC235" si="154">IF(F234&gt;0,ABS(MIN(F229*0.2,ABS(F230))*F233),F234)</ns0:f>
        <ns0:v>3.1035</ns0:v>
      </ns0:c>
      <ns0:c r="G235" s="48">
        <ns0:f t="shared" si="154"/>
        <ns0:v>-0.790800999999995</ns0:v>
      </ns0:c>
      <ns0:c r="H235" s="48">
        <ns0:f t="shared" si="154"/>
        <ns0:v>6.951924</ns0:v>
      </ns0:c>
      <ns0:c r="I235" s="48">
        <ns0:f t="shared" si="154"/>
        <ns0:v>8.036</ns0:v>
      </ns0:c>
      <ns0:c r="J235" s="48">
        <ns0:f t="shared" si="154"/>
        <ns0:v>2.82151</ns0:v>
      </ns0:c>
      <ns0:c r="K235" s="48">
        <ns0:f t="shared" si="154"/>
        <ns0:v>3.75496</ns0:v>
      </ns0:c>
      <ns0:c r="L235" s="48">
        <ns0:f t="shared" si="154"/>
        <ns0:v>0.0525639999999873</ns0:v>
      </ns0:c>
      <ns0:c r="M235" s="48">
        <ns0:f t="shared" si="154"/>
        <ns0:v>-3.06472599999998</ns0:v>
      </ns0:c>
      <ns0:c r="N235" s="48">
        <ns0:f t="shared" si="154"/>
        <ns0:v>-8.074365</ns0:v>
      </ns0:c>
      <ns0:c r="O235" s="48">
        <ns0:f t="shared" si="154"/>
        <ns0:v>-177.769792</ns0:v>
      </ns0:c>
      <ns0:c r="P235" s="48">
        <ns0:f t="shared" si="154"/>
        <ns0:v>-117.268272</ns0:v>
      </ns0:c>
      <ns0:c r="Q235" s="48">
        <ns0:f t="shared" si="154"/>
        <ns0:v>-83.054</ns0:v>
      </ns0:c>
      <ns0:c r="R235" s="48">
        <ns0:f t="shared" si="154"/>
        <ns0:v>-212.661882</ns0:v>
      </ns0:c>
      <ns0:c r="S235" s="48">
        <ns0:f t="shared" si="154"/>
        <ns0:v>-198.923824</ns0:v>
      </ns0:c>
      <ns0:c r="T235" s="48">
        <ns0:f t="shared" si="154"/>
        <ns0:v>-74.86032</ns0:v>
      </ns0:c>
      <ns0:c r="U235" s="48">
        <ns0:f t="shared" si="154"/>
        <ns0:v>-47.470836</ns0:v>
      </ns0:c>
      <ns0:c r="V235" s="48">
        <ns0:f t="shared" si="154"/>
        <ns0:v>3.3102</ns0:v>
      </ns0:c>
      <ns0:c r="W235" s="48">
        <ns0:f t="shared" si="154"/>
        <ns0:v>1.25397999999999</ns0:v>
      </ns0:c>
      <ns0:c r="X235" s="48">
        <ns0:f t="shared" si="154"/>
        <ns0:v>6.24349</ns0:v>
      </ns0:c>
      <ns0:c r="Y235" s="48">
        <ns0:f t="shared" si="154"/>
        <ns0:v>-260.499844</ns0:v>
      </ns0:c>
      <ns0:c r="Z235" s="48">
        <ns0:f t="shared" si="154"/>
        <ns0:v>-136.87542</ns0:v>
      </ns0:c>
      <ns0:c r="AA235" s="48">
        <ns0:f t="shared" si="154"/>
        <ns0:v>-12.289176</ns0:v>
      </ns0:c>
      <ns0:c r="AB235" s="48">
        <ns0:f t="shared" si="154"/>
        <ns0:v>-2.185645</ns0:v>
      </ns0:c>
      <ns0:c r="AC235" s="48">
        <ns0:f t="shared" si="154"/>
        <ns0:v>-0.732159000000001</ns0:v>
      </ns0:c>
    </ns0:row>
    <ns0:row r="236" spans="1:29">
      <ns0:c r="A236" s="32"/>
      <ns0:c r="B236" s="33"/>
      <ns0:c r="C236" s="39" t="s">
        <ns0:v>50</ns0:v>
      </ns0:c>
      <ns0:c r="D236" s="37"/>
      <ns0:c r="E236" s="44">
        <ns0:f t="shared" ref="E236:AC236" si="155">E234-E235</ns0:f>
        <ns0:v>0</ns0:v>
      </ns0:c>
      <ns0:c r="F236" s="26">
        <ns0:f t="shared" si="155"/>
        <ns0:v>0</ns0:v>
      </ns0:c>
      <ns0:c r="G236" s="26">
        <ns0:f t="shared" si="155"/>
        <ns0:v>0</ns0:v>
      </ns0:c>
      <ns0:c r="H236" s="26">
        <ns0:f t="shared" si="155"/>
        <ns0:v>0</ns0:v>
      </ns0:c>
      <ns0:c r="I236" s="26">
        <ns0:f t="shared" si="155"/>
        <ns0:v>0</ns0:v>
      </ns0:c>
      <ns0:c r="J236" s="26">
        <ns0:f t="shared" si="155"/>
        <ns0:v>0</ns0:v>
      </ns0:c>
      <ns0:c r="K236" s="26">
        <ns0:f t="shared" si="155"/>
        <ns0:v>0</ns0:v>
      </ns0:c>
      <ns0:c r="L236" s="26">
        <ns0:f t="shared" si="155"/>
        <ns0:v>0</ns0:v>
      </ns0:c>
      <ns0:c r="M236" s="26">
        <ns0:f t="shared" si="155"/>
        <ns0:v>0</ns0:v>
      </ns0:c>
      <ns0:c r="N236" s="26">
        <ns0:f t="shared" si="155"/>
        <ns0:v>0</ns0:v>
      </ns0:c>
      <ns0:c r="O236" s="26">
        <ns0:f t="shared" si="155"/>
        <ns0:v>0</ns0:v>
      </ns0:c>
      <ns0:c r="P236" s="26">
        <ns0:f t="shared" si="155"/>
        <ns0:v>0</ns0:v>
      </ns0:c>
      <ns0:c r="Q236" s="26">
        <ns0:f t="shared" si="155"/>
        <ns0:v>0</ns0:v>
      </ns0:c>
      <ns0:c r="R236" s="26">
        <ns0:f t="shared" si="155"/>
        <ns0:v>0</ns0:v>
      </ns0:c>
      <ns0:c r="S236" s="26">
        <ns0:f t="shared" si="155"/>
        <ns0:v>0</ns0:v>
      </ns0:c>
      <ns0:c r="T236" s="26">
        <ns0:f t="shared" si="155"/>
        <ns0:v>0</ns0:v>
      </ns0:c>
      <ns0:c r="U236" s="26">
        <ns0:f t="shared" si="155"/>
        <ns0:v>0</ns0:v>
      </ns0:c>
      <ns0:c r="V236" s="26">
        <ns0:f t="shared" si="155"/>
        <ns0:v>0</ns0:v>
      </ns0:c>
      <ns0:c r="W236" s="26">
        <ns0:f t="shared" si="155"/>
        <ns0:v>0</ns0:v>
      </ns0:c>
      <ns0:c r="X236" s="26">
        <ns0:f t="shared" si="155"/>
        <ns0:v>0</ns0:v>
      </ns0:c>
      <ns0:c r="Y236" s="26">
        <ns0:f t="shared" si="155"/>
        <ns0:v>0</ns0:v>
      </ns0:c>
      <ns0:c r="Z236" s="26">
        <ns0:f t="shared" si="155"/>
        <ns0:v>0</ns0:v>
      </ns0:c>
      <ns0:c r="AA236" s="26">
        <ns0:f t="shared" si="155"/>
        <ns0:v>0</ns0:v>
      </ns0:c>
      <ns0:c r="AB236" s="26">
        <ns0:f t="shared" si="155"/>
        <ns0:v>0</ns0:v>
      </ns0:c>
      <ns0:c r="AC236" s="26">
        <ns0:f t="shared" si="155"/>
        <ns0:v>0</ns0:v>
      </ns0:c>
    </ns0:row>
    <ns0:row r="237" spans="1:29">
      <ns0:c r="A237" s="29">
        <ns0:v>46018</ns0:v>
      </ns0:c>
      <ns0:c r="B237" s="30">
        <ns0:f>E244</ns0:f>
        <ns0:v>69.8965929999999</ns0:v>
      </ns0:c>
      <ns0:c r="C237" s="31" t="s">
        <ns0:v>47</ns0:v>
      </ns0:c>
      <ns0:c r="D237" s="31" t="s">
        <ns0:v>48</ns0:v>
      </ns0:c>
      <ns0:c r="E237" s="42">
        <ns0:f t="shared" si="152"/>
        <ns0:v>61.696</ns0:v>
      </ns0:c>
      <ns0:c r="F237" s="47">
        <ns0:v>1.912</ns0:v>
      </ns0:c>
      <ns0:c r="G237" s="47">
        <ns0:v>2.136</ns0:v>
      </ns0:c>
      <ns0:c r="H237" s="47">
        <ns0:v>1.929</ns0:v>
      </ns0:c>
      <ns0:c r="I237" s="47">
        <ns0:v>1.927</ns0:v>
      </ns0:c>
      <ns0:c r="J237" s="47">
        <ns0:v>1.902</ns0:v>
      </ns0:c>
      <ns0:c r="K237" s="47">
        <ns0:v>1.913</ns0:v>
      </ns0:c>
      <ns0:c r="L237" s="47">
        <ns0:v>1.499</ns0:v>
      </ns0:c>
      <ns0:c r="M237" s="47">
        <ns0:v>1.781</ns0:v>
      </ns0:c>
      <ns0:c r="N237" s="47">
        <ns0:v>4.386</ns0:v>
      </ns0:c>
      <ns0:c r="O237" s="47">
        <ns0:v>3.402</ns0:v>
      </ns0:c>
      <ns0:c r="P237" s="47">
        <ns0:v>3.246</ns0:v>
      </ns0:c>
      <ns0:c r="Q237" s="47">
        <ns0:v>3.806</ns0:v>
      </ns0:c>
      <ns0:c r="R237" s="47">
        <ns0:v>2.556</ns0:v>
      </ns0:c>
      <ns0:c r="S237" s="47">
        <ns0:v>3.436</ns0:v>
      </ns0:c>
      <ns0:c r="T237" s="47">
        <ns0:v>3.488</ns0:v>
      </ns0:c>
      <ns0:c r="U237" s="47">
        <ns0:v>3.027</ns0:v>
      </ns0:c>
      <ns0:c r="V237" s="47">
        <ns0:v>3.069</ns0:v>
      </ns0:c>
      <ns0:c r="W237" s="47">
        <ns0:v>3.246</ns0:v>
      </ns0:c>
      <ns0:c r="X237" s="47">
        <ns0:v>3.338</ns0:v>
      </ns0:c>
      <ns0:c r="Y237" s="47">
        <ns0:v>2.806</ns0:v>
      </ns0:c>
      <ns0:c r="Z237" s="47">
        <ns0:v>2.255</ns0:v>
      </ns0:c>
      <ns0:c r="AA237" s="47">
        <ns0:v>1.955</ns0:v>
      </ns0:c>
      <ns0:c r="AB237" s="47">
        <ns0:v>1.322</ns0:v>
      </ns0:c>
      <ns0:c r="AC237" s="47">
        <ns0:v>1.359</ns0:v>
      </ns0:c>
    </ns0:row>
    <ns0:row r="238" spans="1:29">
      <ns0:c r="A238" s="32"/>
      <ns0:c r="B238" s="33"/>
      <ns0:c r="C238" s="32"/>
      <ns0:c r="D238" s="6" t="s">
        <ns0:v>49</ns0:v>
      </ns0:c>
      <ns0:c r="E238" s="42">
        <ns0:f t="shared" si="152"/>
        <ns0:v>59.5489</ns0:v>
      </ns0:c>
      <ns0:c r="F238" s="46">
        <ns0:v>1.6157</ns0:v>
      </ns0:c>
      <ns0:c r="G238" s="46">
        <ns0:v>1.5353</ns0:v>
      </ns0:c>
      <ns0:c r="H238" s="46">
        <ns0:v>1.545</ns0:v>
      </ns0:c>
      <ns0:c r="I238" s="46">
        <ns0:v>1.4864</ns0:v>
      </ns0:c>
      <ns0:c r="J238" s="46">
        <ns0:v>1.4318</ns0:v>
      </ns0:c>
      <ns0:c r="K238" s="46">
        <ns0:v>1.4136</ns0:v>
      </ns0:c>
      <ns0:c r="L238" s="46">
        <ns0:v>1.3556</ns0:v>
      </ns0:c>
      <ns0:c r="M238" s="46">
        <ns0:v>1.806</ns0:v>
      </ns0:c>
      <ns0:c r="N238" s="46">
        <ns0:v>3.7893</ns0:v>
      </ns0:c>
      <ns0:c r="O238" s="46">
        <ns0:v>4.0305</ns0:v>
      </ns0:c>
      <ns0:c r="P238" s="46">
        <ns0:v>3.3604</ns0:v>
      </ns0:c>
      <ns0:c r="Q238" s="46">
        <ns0:v>3.0744</ns0:v>
      </ns0:c>
      <ns0:c r="R238" s="46">
        <ns0:v>2.4993</ns0:v>
      </ns0:c>
      <ns0:c r="S238" s="46">
        <ns0:v>3.2962</ns0:v>
      </ns0:c>
      <ns0:c r="T238" s="46">
        <ns0:v>3.5676</ns0:v>
      </ns0:c>
      <ns0:c r="U238" s="46">
        <ns0:v>3.3599</ns0:v>
      </ns0:c>
      <ns0:c r="V238" s="46">
        <ns0:v>3.3965</ns0:v>
      </ns0:c>
      <ns0:c r="W238" s="46">
        <ns0:v>3.2543</ns0:v>
      </ns0:c>
      <ns0:c r="X238" s="46">
        <ns0:v>2.8012</ns0:v>
      </ns0:c>
      <ns0:c r="Y238" s="46">
        <ns0:v>2.953</ns0:v>
      </ns0:c>
      <ns0:c r="Z238" s="46">
        <ns0:v>2.6156</ns0:v>
      </ns0:c>
      <ns0:c r="AA238" s="46">
        <ns0:v>2.1089</ns0:v>
      </ns0:c>
      <ns0:c r="AB238" s="46">
        <ns0:v>1.7209</ns0:v>
      </ns0:c>
      <ns0:c r="AC238" s="46">
        <ns0:v>1.5315</ns0:v>
      </ns0:c>
    </ns0:row>
    <ns0:row r="239" spans="1:29">
      <ns0:c r="A239" s="32"/>
      <ns0:c r="B239" s="33"/>
      <ns0:c r="C239" s="34"/>
      <ns0:c r="D239" s="31" t="s">
        <ns0:v>50</ns0:v>
      </ns0:c>
      <ns0:c r="E239" s="26">
        <ns0:f t="shared" ref="E239:AC239" si="156">E237-E238</ns0:f>
        <ns0:v>2.1471</ns0:v>
      </ns0:c>
      <ns0:c r="F239" s="26">
        <ns0:f t="shared" si="156"/>
        <ns0:v>0.2963</ns0:v>
      </ns0:c>
      <ns0:c r="G239" s="26">
        <ns0:f t="shared" si="156"/>
        <ns0:v>0.6007</ns0:v>
      </ns0:c>
      <ns0:c r="H239" s="26">
        <ns0:f t="shared" si="156"/>
        <ns0:v>0.384</ns0:v>
      </ns0:c>
      <ns0:c r="I239" s="26">
        <ns0:f t="shared" si="156"/>
        <ns0:v>0.4406</ns0:v>
      </ns0:c>
      <ns0:c r="J239" s="26">
        <ns0:f t="shared" si="156"/>
        <ns0:v>0.4702</ns0:v>
      </ns0:c>
      <ns0:c r="K239" s="26">
        <ns0:f t="shared" si="156"/>
        <ns0:v>0.4994</ns0:v>
      </ns0:c>
      <ns0:c r="L239" s="26">
        <ns0:f t="shared" si="156"/>
        <ns0:v>0.1434</ns0:v>
      </ns0:c>
      <ns0:c r="M239" s="26">
        <ns0:f t="shared" si="156"/>
        <ns0:v>-0.0250000000000001</ns0:v>
      </ns0:c>
      <ns0:c r="N239" s="26">
        <ns0:f t="shared" si="156"/>
        <ns0:v>0.5967</ns0:v>
      </ns0:c>
      <ns0:c r="O239" s="26">
        <ns0:f t="shared" si="156"/>
        <ns0:v>-0.6285</ns0:v>
      </ns0:c>
      <ns0:c r="P239" s="26">
        <ns0:f t="shared" si="156"/>
        <ns0:v>-0.1144</ns0:v>
      </ns0:c>
      <ns0:c r="Q239" s="26">
        <ns0:f t="shared" si="156"/>
        <ns0:v>0.7316</ns0:v>
      </ns0:c>
      <ns0:c r="R239" s="26">
        <ns0:f t="shared" si="156"/>
        <ns0:v>0.0567000000000002</ns0:v>
      </ns0:c>
      <ns0:c r="S239" s="26">
        <ns0:f t="shared" si="156"/>
        <ns0:v>0.1398</ns0:v>
      </ns0:c>
      <ns0:c r="T239" s="26">
        <ns0:f t="shared" si="156"/>
        <ns0:v>-0.0796000000000001</ns0:v>
      </ns0:c>
      <ns0:c r="U239" s="26">
        <ns0:f t="shared" si="156"/>
        <ns0:v>-0.3329</ns0:v>
      </ns0:c>
      <ns0:c r="V239" s="26">
        <ns0:f t="shared" si="156"/>
        <ns0:v>-0.3275</ns0:v>
      </ns0:c>
      <ns0:c r="W239" s="26">
        <ns0:f t="shared" si="156"/>
        <ns0:v>-0.0083000000000002</ns0:v>
      </ns0:c>
      <ns0:c r="X239" s="26">
        <ns0:f t="shared" si="156"/>
        <ns0:v>0.5368</ns0:v>
      </ns0:c>
      <ns0:c r="Y239" s="26">
        <ns0:f t="shared" si="156"/>
        <ns0:v>-0.147</ns0:v>
      </ns0:c>
      <ns0:c r="Z239" s="26">
        <ns0:f t="shared" si="156"/>
        <ns0:v>-0.3606</ns0:v>
      </ns0:c>
      <ns0:c r="AA239" s="26">
        <ns0:f t="shared" si="156"/>
        <ns0:v>-0.1539</ns0:v>
      </ns0:c>
      <ns0:c r="AB239" s="26">
        <ns0:f t="shared" si="156"/>
        <ns0:v>-0.3989</ns0:v>
      </ns0:c>
      <ns0:c r="AC239" s="26">
        <ns0:f t="shared" si="156"/>
        <ns0:v>-0.1725</ns0:v>
      </ns0:c>
    </ns0:row>
    <ns0:row r="240" spans="1:29">
      <ns0:c r="A240" s="32"/>
      <ns0:c r="B240" s="33"/>
      <ns0:c r="C240" s="35" t="s">
        <ns0:v>51</ns0:v>
      </ns0:c>
      <ns0:c r="D240" s="31" t="s">
        <ns0:v>48</ns0:v>
      </ns0:c>
      <ns0:c r="E240" s="31">
        <ns0:f>AVERAGE(F240:AC240)</ns0:f>
        <ns0:v>328.478333333333</ns0:v>
      </ns0:c>
      <ns0:c r="F240" s="43">
        <ns0:v>367.69</ns0:v>
      </ns0:c>
      <ns0:c r="G240" s="43">
        <ns0:v>352.4</ns0:v>
      </ns0:c>
      <ns0:c r="H240" s="43">
        <ns0:v>333.49</ns0:v>
      </ns0:c>
      <ns0:c r="I240" s="43">
        <ns0:v>308.72</ns0:v>
      </ns0:c>
      <ns0:c r="J240" s="43">
        <ns0:v>301.26</ns0:v>
      </ns0:c>
      <ns0:c r="K240" s="43">
        <ns0:v>301.17</ns0:v>
      </ns0:c>
      <ns0:c r="L240" s="43">
        <ns0:v>315.44</ns0:v>
      </ns0:c>
      <ns0:c r="M240" s="43">
        <ns0:v>319.97</ns0:v>
      </ns0:c>
      <ns0:c r="N240" s="43">
        <ns0:v>360.43</ns0:v>
      </ns0:c>
      <ns0:c r="O240" s="43">
        <ns0:v>332.65</ns0:v>
      </ns0:c>
      <ns0:c r="P240" s="43">
        <ns0:v>262.9</ns0:v>
      </ns0:c>
      <ns0:c r="Q240" s="43">
        <ns0:v>217.29</ns0:v>
      </ns0:c>
      <ns0:c r="R240" s="43">
        <ns0:v>62.4</ns0:v>
      </ns0:c>
      <ns0:c r="S240" s="43">
        <ns0:v>107.47</ns0:v>
      </ns0:c>
      <ns0:c r="T240" s="43">
        <ns0:v>185.39</ns0:v>
      </ns0:c>
      <ns0:c r="U240" s="43">
        <ns0:v>240.71</ns0:v>
      </ns0:c>
      <ns0:c r="V240" s="43">
        <ns0:v>306.53</ns0:v>
      </ns0:c>
      <ns0:c r="W240" s="43">
        <ns0:v>403.33</ns0:v>
      </ns0:c>
      <ns0:c r="X240" s="43">
        <ns0:v>463.15</ns0:v>
      </ns0:c>
      <ns0:c r="Y240" s="43">
        <ns0:v>558.93</ns0:v>
      </ns0:c>
      <ns0:c r="Z240" s="43">
        <ns0:v>541.77</ns0:v>
      </ns0:c>
      <ns0:c r="AA240" s="43">
        <ns0:v>467.91</ns0:v>
      </ns0:c>
      <ns0:c r="AB240" s="43">
        <ns0:v>413.21</ns0:v>
      </ns0:c>
      <ns0:c r="AC240" s="43">
        <ns0:v>359.27</ns0:v>
      </ns0:c>
    </ns0:row>
    <ns0:row r="241" spans="1:29">
      <ns0:c r="A241" s="32"/>
      <ns0:c r="B241" s="33"/>
      <ns0:c r="C241" s="32"/>
      <ns0:c r="D241" s="31" t="s">
        <ns0:v>49</ns0:v>
      </ns0:c>
      <ns0:c r="E241" s="31">
        <ns0:f>AVERAGE(F241:AC241)</ns0:f>
        <ns0:v>312.464583333333</ns0:v>
      </ns0:c>
      <ns0:c r="F241" s="43">
        <ns0:v>392.56</ns0:v>
      </ns0:c>
      <ns0:c r="G241" s="43">
        <ns0:v>387.48</ns0:v>
      </ns0:c>
      <ns0:c r="H241" s="43">
        <ns0:v>365.33</ns0:v>
      </ns0:c>
      <ns0:c r="I241" s="43">
        <ns0:v>312.1</ns0:v>
      </ns0:c>
      <ns0:c r="J241" s="43">
        <ns0:v>303.42</ns0:v>
      </ns0:c>
      <ns0:c r="K241" s="43">
        <ns0:v>304.88</ns0:v>
      </ns0:c>
      <ns0:c r="L241" s="43">
        <ns0:v>308.6</ns0:v>
      </ns0:c>
      <ns0:c r="M241" s="43">
        <ns0:v>315.59</ns0:v>
      </ns0:c>
      <ns0:c r="N241" s="43">
        <ns0:v>363.24</ns0:v>
      </ns0:c>
      <ns0:c r="O241" s="43">
        <ns0:v>278.12</ns0:v>
      </ns0:c>
      <ns0:c r="P241" s="43">
        <ns0:v>186.04</ns0:v>
      </ns0:c>
      <ns0:c r="Q241" s="43">
        <ns0:v>91.84</ns0:v>
      </ns0:c>
      <ns0:c r="R241" s="43">
        <ns0:v>-44.94</ns0:v>
      </ns0:c>
      <ns0:c r="S241" s="43">
        <ns0:v>4.2</ns0:v>
      </ns0:c>
      <ns0:c r="T241" s="43">
        <ns0:v>26.03</ns0:v>
      </ns0:c>
      <ns0:c r="U241" s="43">
        <ns0:v>166.57</ns0:v>
      </ns0:c>
      <ns0:c r="V241" s="43">
        <ns0:v>403.8</ns0:v>
      </ns0:c>
      <ns0:c r="W241" s="43">
        <ns0:v>461.13</ns0:v>
      </ns0:c>
      <ns0:c r="X241" s="43">
        <ns0:v>631.5</ns0:v>
      </ns0:c>
      <ns0:c r="Y241" s="43">
        <ns0:v>467.61</ns0:v>
      </ns0:c>
      <ns0:c r="Z241" s="43">
        <ns0:v>526.53</ns0:v>
      </ns0:c>
      <ns0:c r="AA241" s="43">
        <ns0:v>426.41</ns0:v>
      </ns0:c>
      <ns0:c r="AB241" s="43">
        <ns0:v>433.71</ns0:v>
      </ns0:c>
      <ns0:c r="AC241" s="43">
        <ns0:v>387.4</ns0:v>
      </ns0:c>
    </ns0:row>
    <ns0:row r="242" spans="1:29">
      <ns0:c r="A242" s="32"/>
      <ns0:c r="B242" s="33"/>
      <ns0:c r="C242" s="34"/>
      <ns0:c r="D242" s="31" t="s">
        <ns0:v>50</ns0:v>
      </ns0:c>
      <ns0:c r="E242" s="26">
        <ns0:f t="shared" ref="E242:AC242" si="157">E240-E241</ns0:f>
        <ns0:v>16.01375</ns0:v>
      </ns0:c>
      <ns0:c r="F242" s="26">
        <ns0:f t="shared" si="157"/>
        <ns0:v>-24.87</ns0:v>
      </ns0:c>
      <ns0:c r="G242" s="26">
        <ns0:f t="shared" si="157"/>
        <ns0:v>-35.08</ns0:v>
      </ns0:c>
      <ns0:c r="H242" s="26">
        <ns0:f t="shared" si="157"/>
        <ns0:v>-31.84</ns0:v>
      </ns0:c>
      <ns0:c r="I242" s="26">
        <ns0:f t="shared" si="157"/>
        <ns0:v>-3.38</ns0:v>
      </ns0:c>
      <ns0:c r="J242" s="26">
        <ns0:f t="shared" si="157"/>
        <ns0:v>-2.16000000000002</ns0:v>
      </ns0:c>
      <ns0:c r="K242" s="26">
        <ns0:f t="shared" si="157"/>
        <ns0:v>-3.70999999999998</ns0:v>
      </ns0:c>
      <ns0:c r="L242" s="26">
        <ns0:f t="shared" si="157"/>
        <ns0:v>6.83999999999997</ns0:v>
      </ns0:c>
      <ns0:c r="M242" s="26">
        <ns0:f t="shared" si="157"/>
        <ns0:v>4.38000000000005</ns0:v>
      </ns0:c>
      <ns0:c r="N242" s="26">
        <ns0:f t="shared" si="157"/>
        <ns0:v>-2.81</ns0:v>
      </ns0:c>
      <ns0:c r="O242" s="26">
        <ns0:f t="shared" si="157"/>
        <ns0:v>54.53</ns0:v>
      </ns0:c>
      <ns0:c r="P242" s="26">
        <ns0:f t="shared" si="157"/>
        <ns0:v>76.86</ns0:v>
      </ns0:c>
      <ns0:c r="Q242" s="26">
        <ns0:f t="shared" si="157"/>
        <ns0:v>125.45</ns0:v>
      </ns0:c>
      <ns0:c r="R242" s="26">
        <ns0:f t="shared" si="157"/>
        <ns0:v>107.34</ns0:v>
      </ns0:c>
      <ns0:c r="S242" s="26">
        <ns0:f t="shared" si="157"/>
        <ns0:v>103.27</ns0:v>
      </ns0:c>
      <ns0:c r="T242" s="26">
        <ns0:f t="shared" si="157"/>
        <ns0:v>159.36</ns0:v>
      </ns0:c>
      <ns0:c r="U242" s="26">
        <ns0:f t="shared" si="157"/>
        <ns0:v>74.14</ns0:v>
      </ns0:c>
      <ns0:c r="V242" s="26">
        <ns0:f t="shared" si="157"/>
        <ns0:v>-97.27</ns0:v>
      </ns0:c>
      <ns0:c r="W242" s="26">
        <ns0:f t="shared" si="157"/>
        <ns0:v>-57.8</ns0:v>
      </ns0:c>
      <ns0:c r="X242" s="26">
        <ns0:f t="shared" si="157"/>
        <ns0:v>-168.35</ns0:v>
      </ns0:c>
      <ns0:c r="Y242" s="26">
        <ns0:f t="shared" si="157"/>
        <ns0:v>91.3199999999999</ns0:v>
      </ns0:c>
      <ns0:c r="Z242" s="26">
        <ns0:f t="shared" si="157"/>
        <ns0:v>15.24</ns0:v>
      </ns0:c>
      <ns0:c r="AA242" s="26">
        <ns0:f t="shared" si="157"/>
        <ns0:v>41.5</ns0:v>
      </ns0:c>
      <ns0:c r="AB242" s="26">
        <ns0:f t="shared" si="157"/>
        <ns0:v>-20.5</ns0:v>
      </ns0:c>
      <ns0:c r="AC242" s="26">
        <ns0:f t="shared" si="157"/>
        <ns0:v>-28.13</ns0:v>
      </ns0:c>
    </ns0:row>
    <ns0:row r="243" spans="1:29">
      <ns0:c r="A243" s="32"/>
      <ns0:c r="B243" s="33"/>
      <ns0:c r="C243" s="36" t="s">
        <ns0:v>52</ns0:v>
      </ns0:c>
      <ns0:c r="D243" s="37"/>
      <ns0:c r="E243" s="26">
        <ns0:f t="shared" ref="E243:E247" si="158">SUM(F243:AC243)</ns0:f>
        <ns0:v>84.2708829999999</ns0:v>
      </ns0:c>
      <ns0:c r="F243" s="48">
        <ns0:f t="shared" ref="F243:AC243" si="159">-F239*F242</ns0:f>
        <ns0:v>7.368981</ns0:v>
      </ns0:c>
      <ns0:c r="G243" s="48">
        <ns0:f t="shared" si="159"/>
        <ns0:v>21.072556</ns0:v>
      </ns0:c>
      <ns0:c r="H243" s="48">
        <ns0:f t="shared" si="159"/>
        <ns0:v>12.22656</ns0:v>
      </ns0:c>
      <ns0:c r="I243" s="48">
        <ns0:f t="shared" si="159"/>
        <ns0:v>1.489228</ns0:v>
      </ns0:c>
      <ns0:c r="J243" s="48">
        <ns0:f t="shared" si="159"/>
        <ns0:v>1.01563200000001</ns0:v>
      </ns0:c>
      <ns0:c r="K243" s="48">
        <ns0:f t="shared" si="159"/>
        <ns0:v>1.85277399999999</ns0:v>
      </ns0:c>
      <ns0:c r="L243" s="48">
        <ns0:f t="shared" si="159"/>
        <ns0:v>-0.980855999999997</ns0:v>
      </ns0:c>
      <ns0:c r="M243" s="48">
        <ns0:f t="shared" si="159"/>
        <ns0:v>0.109500000000002</ns0:v>
      </ns0:c>
      <ns0:c r="N243" s="48">
        <ns0:f t="shared" si="159"/>
        <ns0:v>1.676727</ns0:v>
      </ns0:c>
      <ns0:c r="O243" s="48">
        <ns0:f t="shared" si="159"/>
        <ns0:v>34.272105</ns0:v>
      </ns0:c>
      <ns0:c r="P243" s="48">
        <ns0:f t="shared" si="159"/>
        <ns0:v>8.79278399999999</ns0:v>
      </ns0:c>
      <ns0:c r="Q243" s="48">
        <ns0:f t="shared" si="159"/>
        <ns0:v>-91.77922</ns0:v>
      </ns0:c>
      <ns0:c r="R243" s="48">
        <ns0:f t="shared" si="159"/>
        <ns0:v>-6.08617800000002</ns0:v>
      </ns0:c>
      <ns0:c r="S243" s="48">
        <ns0:f t="shared" si="159"/>
        <ns0:v>-14.437146</ns0:v>
      </ns0:c>
      <ns0:c r="T243" s="48">
        <ns0:f t="shared" si="159"/>
        <ns0:v>12.685056</ns0:v>
      </ns0:c>
      <ns0:c r="U243" s="48">
        <ns0:f t="shared" si="159"/>
        <ns0:v>24.681206</ns0:v>
      </ns0:c>
      <ns0:c r="V243" s="48">
        <ns0:f t="shared" si="159"/>
        <ns0:v>-31.855925</ns0:v>
      </ns0:c>
      <ns0:c r="W243" s="48">
        <ns0:f t="shared" si="159"/>
        <ns0:v>-0.479740000000011</ns0:v>
      </ns0:c>
      <ns0:c r="X243" s="48">
        <ns0:f t="shared" si="159"/>
        <ns0:v>90.37028</ns0:v>
      </ns0:c>
      <ns0:c r="Y243" s="48">
        <ns0:f t="shared" si="159"/>
        <ns0:v>13.42404</ns0:v>
      </ns0:c>
      <ns0:c r="Z243" s="48">
        <ns0:f t="shared" si="159"/>
        <ns0:v>5.495544</ns0:v>
      </ns0:c>
      <ns0:c r="AA243" s="48">
        <ns0:f t="shared" si="159"/>
        <ns0:v>6.38685000000001</ns0:v>
      </ns0:c>
      <ns0:c r="AB243" s="48">
        <ns0:f t="shared" si="159"/>
        <ns0:v>-8.17745</ns0:v>
      </ns0:c>
      <ns0:c r="AC243" s="48">
        <ns0:f t="shared" si="159"/>
        <ns0:v>-4.852425</ns0:v>
      </ns0:c>
    </ns0:row>
    <ns0:row r="244" spans="1:29">
      <ns0:c r="A244" s="32"/>
      <ns0:c r="B244" s="33"/>
      <ns0:c r="C244" s="38" t="s">
        <ns0:v>53</ns0:v>
      </ns0:c>
      <ns0:c r="D244" s="37"/>
      <ns0:c r="E244" s="26">
        <ns0:f t="shared" si="158"/>
        <ns0:v>69.8965929999999</ns0:v>
      </ns0:c>
      <ns0:c r="F244" s="48">
        <ns0:f t="shared" ref="F244:AC244" si="160">IF(F243&gt;0,ABS(MIN(F238*0.2,ABS(F239))*F242),F243)</ns0:f>
        <ns0:v>7.368981</ns0:v>
      </ns0:c>
      <ns0:c r="G244" s="48">
        <ns0:f t="shared" si="160"/>
        <ns0:v>10.7716648</ns0:v>
      </ns0:c>
      <ns0:c r="H244" s="48">
        <ns0:f t="shared" si="160"/>
        <ns0:v>9.83856</ns0:v>
      </ns0:c>
      <ns0:c r="I244" s="48">
        <ns0:f t="shared" si="160"/>
        <ns0:v>1.0048064</ns0:v>
      </ns0:c>
      <ns0:c r="J244" s="48">
        <ns0:f t="shared" si="160"/>
        <ns0:v>0.618537600000006</ns0:v>
      </ns0:c>
      <ns0:c r="K244" s="48">
        <ns0:f t="shared" si="160"/>
        <ns0:v>1.04889119999999</ns0:v>
      </ns0:c>
      <ns0:c r="L244" s="48">
        <ns0:f t="shared" si="160"/>
        <ns0:v>-0.980855999999997</ns0:v>
      </ns0:c>
      <ns0:c r="M244" s="48">
        <ns0:f t="shared" si="160"/>
        <ns0:v>0.109500000000002</ns0:v>
      </ns0:c>
      <ns0:c r="N244" s="48">
        <ns0:f t="shared" si="160"/>
        <ns0:v>1.676727</ns0:v>
      </ns0:c>
      <ns0:c r="O244" s="48">
        <ns0:f t="shared" si="160"/>
        <ns0:v>34.272105</ns0:v>
      </ns0:c>
      <ns0:c r="P244" s="48">
        <ns0:f t="shared" si="160"/>
        <ns0:v>8.79278399999999</ns0:v>
      </ns0:c>
      <ns0:c r="Q244" s="48">
        <ns0:f t="shared" si="160"/>
        <ns0:v>-91.77922</ns0:v>
      </ns0:c>
      <ns0:c r="R244" s="48">
        <ns0:f t="shared" si="160"/>
        <ns0:v>-6.08617800000002</ns0:v>
      </ns0:c>
      <ns0:c r="S244" s="48">
        <ns0:f t="shared" si="160"/>
        <ns0:v>-14.437146</ns0:v>
      </ns0:c>
      <ns0:c r="T244" s="48">
        <ns0:f t="shared" si="160"/>
        <ns0:v>12.685056</ns0:v>
      </ns0:c>
      <ns0:c r="U244" s="48">
        <ns0:f t="shared" si="160"/>
        <ns0:v>24.681206</ns0:v>
      </ns0:c>
      <ns0:c r="V244" s="48">
        <ns0:f t="shared" si="160"/>
        <ns0:v>-31.855925</ns0:v>
      </ns0:c>
      <ns0:c r="W244" s="48">
        <ns0:f t="shared" si="160"/>
        <ns0:v>-0.479740000000011</ns0:v>
      </ns0:c>
      <ns0:c r="X244" s="48">
        <ns0:f t="shared" si="160"/>
        <ns0:v>90.37028</ns0:v>
      </ns0:c>
      <ns0:c r="Y244" s="48">
        <ns0:f t="shared" si="160"/>
        <ns0:v>13.42404</ns0:v>
      </ns0:c>
      <ns0:c r="Z244" s="48">
        <ns0:f t="shared" si="160"/>
        <ns0:v>5.495544</ns0:v>
      </ns0:c>
      <ns0:c r="AA244" s="48">
        <ns0:f t="shared" si="160"/>
        <ns0:v>6.38685000000001</ns0:v>
      </ns0:c>
      <ns0:c r="AB244" s="48">
        <ns0:f t="shared" si="160"/>
        <ns0:v>-8.17745</ns0:v>
      </ns0:c>
      <ns0:c r="AC244" s="48">
        <ns0:f t="shared" si="160"/>
        <ns0:v>-4.852425</ns0:v>
      </ns0:c>
    </ns0:row>
    <ns0:row r="245" spans="1:29">
      <ns0:c r="A245" s="32"/>
      <ns0:c r="B245" s="33"/>
      <ns0:c r="C245" s="39" t="s">
        <ns0:v>50</ns0:v>
      </ns0:c>
      <ns0:c r="D245" s="37"/>
      <ns0:c r="E245" s="44">
        <ns0:f t="shared" ref="E245:AC245" si="161">E243-E244</ns0:f>
        <ns0:v>14.37429</ns0:v>
      </ns0:c>
      <ns0:c r="F245" s="26">
        <ns0:f t="shared" si="161"/>
        <ns0:v>0</ns0:v>
      </ns0:c>
      <ns0:c r="G245" s="26">
        <ns0:f t="shared" si="161"/>
        <ns0:v>10.3008912</ns0:v>
      </ns0:c>
      <ns0:c r="H245" s="26">
        <ns0:f t="shared" si="161"/>
        <ns0:v>2.38800000000001</ns0:v>
      </ns0:c>
      <ns0:c r="I245" s="26">
        <ns0:f t="shared" si="161"/>
        <ns0:v>0.4844216</ns0:v>
      </ns0:c>
      <ns0:c r="J245" s="26">
        <ns0:f t="shared" si="161"/>
        <ns0:v>0.397094400000004</ns0:v>
      </ns0:c>
      <ns0:c r="K245" s="26">
        <ns0:f t="shared" si="161"/>
        <ns0:v>0.803882799999996</ns0:v>
      </ns0:c>
      <ns0:c r="L245" s="26">
        <ns0:f t="shared" si="161"/>
        <ns0:v>0</ns0:v>
      </ns0:c>
      <ns0:c r="M245" s="26">
        <ns0:f t="shared" si="161"/>
        <ns0:v>0</ns0:v>
      </ns0:c>
      <ns0:c r="N245" s="26">
        <ns0:f t="shared" si="161"/>
        <ns0:v>0</ns0:v>
      </ns0:c>
      <ns0:c r="O245" s="26">
        <ns0:f t="shared" si="161"/>
        <ns0:v>0</ns0:v>
      </ns0:c>
      <ns0:c r="P245" s="26">
        <ns0:f t="shared" si="161"/>
        <ns0:v>0</ns0:v>
      </ns0:c>
      <ns0:c r="Q245" s="26">
        <ns0:f t="shared" si="161"/>
        <ns0:v>0</ns0:v>
      </ns0:c>
      <ns0:c r="R245" s="26">
        <ns0:f t="shared" si="161"/>
        <ns0:v>0</ns0:v>
      </ns0:c>
      <ns0:c r="S245" s="26">
        <ns0:f t="shared" si="161"/>
        <ns0:v>0</ns0:v>
      </ns0:c>
      <ns0:c r="T245" s="26">
        <ns0:f t="shared" si="161"/>
        <ns0:v>0</ns0:v>
      </ns0:c>
      <ns0:c r="U245" s="26">
        <ns0:f t="shared" si="161"/>
        <ns0:v>0</ns0:v>
      </ns0:c>
      <ns0:c r="V245" s="26">
        <ns0:f t="shared" si="161"/>
        <ns0:v>0</ns0:v>
      </ns0:c>
      <ns0:c r="W245" s="26">
        <ns0:f t="shared" si="161"/>
        <ns0:v>0</ns0:v>
      </ns0:c>
      <ns0:c r="X245" s="26">
        <ns0:f t="shared" si="161"/>
        <ns0:v>0</ns0:v>
      </ns0:c>
      <ns0:c r="Y245" s="26">
        <ns0:f t="shared" si="161"/>
        <ns0:v>0</ns0:v>
      </ns0:c>
      <ns0:c r="Z245" s="26">
        <ns0:f t="shared" si="161"/>
        <ns0:v>0</ns0:v>
      </ns0:c>
      <ns0:c r="AA245" s="26">
        <ns0:f t="shared" si="161"/>
        <ns0:v>0</ns0:v>
      </ns0:c>
      <ns0:c r="AB245" s="26">
        <ns0:f t="shared" si="161"/>
        <ns0:v>0</ns0:v>
      </ns0:c>
      <ns0:c r="AC245" s="26">
        <ns0:f t="shared" si="161"/>
        <ns0:v>0</ns0:v>
      </ns0:c>
    </ns0:row>
    <ns0:row r="246" spans="1:29">
      <ns0:c r="A246" s="29">
        <ns0:v>46019</ns0:v>
      </ns0:c>
      <ns0:c r="B246" s="30">
        <ns0:f>E253</ns0:f>
        <ns0:v>-30.5003588</ns0:v>
      </ns0:c>
      <ns0:c r="C246" s="31" t="s">
        <ns0:v>47</ns0:v>
      </ns0:c>
      <ns0:c r="D246" s="31" t="s">
        <ns0:v>48</ns0:v>
      </ns0:c>
      <ns0:c r="E246" s="42">
        <ns0:f t="shared" si="158"/>
        <ns0:v>43.773</ns0:v>
      </ns0:c>
      <ns0:c r="F246" s="47">
        <ns0:v>1.828</ns0:v>
      </ns0:c>
      <ns0:c r="G246" s="47">
        <ns0:v>1.874</ns0:v>
      </ns0:c>
      <ns0:c r="H246" s="47">
        <ns0:v>1.802</ns0:v>
      </ns0:c>
      <ns0:c r="I246" s="47">
        <ns0:v>1.403</ns0:v>
      </ns0:c>
      <ns0:c r="J246" s="47">
        <ns0:v>1.401</ns0:v>
      </ns0:c>
      <ns0:c r="K246" s="47">
        <ns0:v>1.393</ns0:v>
      </ns0:c>
      <ns0:c r="L246" s="47">
        <ns0:v>1.316</ns0:v>
      </ns0:c>
      <ns0:c r="M246" s="47">
        <ns0:v>1.264</ns0:v>
      </ns0:c>
      <ns0:c r="N246" s="47">
        <ns0:v>2.706</ns0:v>
      </ns0:c>
      <ns0:c r="O246" s="47">
        <ns0:v>2.936</ns0:v>
      </ns0:c>
      <ns0:c r="P246" s="47">
        <ns0:v>2.51</ns0:v>
      </ns0:c>
      <ns0:c r="Q246" s="47">
        <ns0:v>2.433</ns0:v>
      </ns0:c>
      <ns0:c r="R246" s="47">
        <ns0:v>1.821</ns0:v>
      </ns0:c>
      <ns0:c r="S246" s="47">
        <ns0:v>1.799</ns0:v>
      </ns0:c>
      <ns0:c r="T246" s="47">
        <ns0:v>2.175</ns0:v>
      </ns0:c>
      <ns0:c r="U246" s="47">
        <ns0:v>2.104</ns0:v>
      </ns0:c>
      <ns0:c r="V246" s="47">
        <ns0:v>2.144</ns0:v>
      </ns0:c>
      <ns0:c r="W246" s="47">
        <ns0:v>2.5</ns0:v>
      </ns0:c>
      <ns0:c r="X246" s="47">
        <ns0:v>1.881</ns0:v>
      </ns0:c>
      <ns0:c r="Y246" s="47">
        <ns0:v>1.666</ns0:v>
      </ns0:c>
      <ns0:c r="Z246" s="47">
        <ns0:v>1.283</ns0:v>
      </ns0:c>
      <ns0:c r="AA246" s="47">
        <ns0:v>1.244</ns0:v>
      </ns0:c>
      <ns0:c r="AB246" s="47">
        <ns0:v>1.159</ns0:v>
      </ns0:c>
      <ns0:c r="AC246" s="47">
        <ns0:v>1.131</ns0:v>
      </ns0:c>
    </ns0:row>
    <ns0:row r="247" spans="1:29">
      <ns0:c r="A247" s="32"/>
      <ns0:c r="B247" s="33"/>
      <ns0:c r="C247" s="32"/>
      <ns0:c r="D247" s="6" t="s">
        <ns0:v>49</ns0:v>
      </ns0:c>
      <ns0:c r="E247" s="42">
        <ns0:f t="shared" si="158"/>
        <ns0:v>44.121</ns0:v>
      </ns0:c>
      <ns0:c r="F247" s="46">
        <ns0:v>1.5047</ns0:v>
      </ns0:c>
      <ns0:c r="G247" s="46">
        <ns0:v>1.5097</ns0:v>
      </ns0:c>
      <ns0:c r="H247" s="46">
        <ns0:v>1.4577</ns0:v>
      </ns0:c>
      <ns0:c r="I247" s="46">
        <ns0:v>1.4233</ns0:v>
      </ns0:c>
      <ns0:c r="J247" s="46">
        <ns0:v>1.4076</ns0:v>
      </ns0:c>
      <ns0:c r="K247" s="46">
        <ns0:v>1.3959</ns0:v>
      </ns0:c>
      <ns0:c r="L247" s="46">
        <ns0:v>1.2655</ns0:v>
      </ns0:c>
      <ns0:c r="M247" s="46">
        <ns0:v>1.389</ns0:v>
      </ns0:c>
      <ns0:c r="N247" s="46">
        <ns0:v>2.4585</ns0:v>
      </ns0:c>
      <ns0:c r="O247" s="46">
        <ns0:v>2.755</ns0:v>
      </ns0:c>
      <ns0:c r="P247" s="46">
        <ns0:v>2.6065</ns0:v>
      </ns0:c>
      <ns0:c r="Q247" s="46">
        <ns0:v>2.4707</ns0:v>
      </ns0:c>
      <ns0:c r="R247" s="46">
        <ns0:v>1.8421</ns0:v>
      </ns0:c>
      <ns0:c r="S247" s="46">
        <ns0:v>1.8964</ns0:v>
      </ns0:c>
      <ns0:c r="T247" s="46">
        <ns0:v>2.3033</ns0:v>
      </ns0:c>
      <ns0:c r="U247" s="46">
        <ns0:v>2.4956</ns0:v>
      </ns0:c>
      <ns0:c r="V247" s="46">
        <ns0:v>2.4194</ns0:v>
      </ns0:c>
      <ns0:c r="W247" s="46">
        <ns0:v>2.3504</ns0:v>
      </ns0:c>
      <ns0:c r="X247" s="46">
        <ns0:v>1.7818</ns0:v>
      </ns0:c>
      <ns0:c r="Y247" s="46">
        <ns0:v>1.7578</ns0:v>
      </ns0:c>
      <ns0:c r="Z247" s="46">
        <ns0:v>1.5008</ns0:v>
      </ns0:c>
      <ns0:c r="AA247" s="46">
        <ns0:v>1.4068</ns0:v>
      </ns0:c>
      <ns0:c r="AB247" s="46">
        <ns0:v>1.3423</ns0:v>
      </ns0:c>
      <ns0:c r="AC247" s="46">
        <ns0:v>1.3802</ns0:v>
      </ns0:c>
    </ns0:row>
    <ns0:row r="248" spans="1:29">
      <ns0:c r="A248" s="32"/>
      <ns0:c r="B248" s="33"/>
      <ns0:c r="C248" s="34"/>
      <ns0:c r="D248" s="31" t="s">
        <ns0:v>50</ns0:v>
      </ns0:c>
      <ns0:c r="E248" s="26">
        <ns0:f t="shared" ref="E248:AC248" si="162">E246-E247</ns0:f>
        <ns0:v>-0.347999999999999</ns0:v>
      </ns0:c>
      <ns0:c r="F248" s="26">
        <ns0:f t="shared" si="162"/>
        <ns0:v>0.3233</ns0:v>
      </ns0:c>
      <ns0:c r="G248" s="26">
        <ns0:f t="shared" si="162"/>
        <ns0:v>0.3643</ns0:v>
      </ns0:c>
      <ns0:c r="H248" s="26">
        <ns0:f t="shared" si="162"/>
        <ns0:v>0.3443</ns0:v>
      </ns0:c>
      <ns0:c r="I248" s="26">
        <ns0:f t="shared" si="162"/>
        <ns0:v>-0.0203</ns0:v>
      </ns0:c>
      <ns0:c r="J248" s="26">
        <ns0:f t="shared" si="162"/>
        <ns0:v>-0.00659999999999994</ns0:v>
      </ns0:c>
      <ns0:c r="K248" s="26">
        <ns0:f t="shared" si="162"/>
        <ns0:v>-0.0028999999999999</ns0:v>
      </ns0:c>
      <ns0:c r="L248" s="26">
        <ns0:f t="shared" si="162"/>
        <ns0:v>0.0505</ns0:v>
      </ns0:c>
      <ns0:c r="M248" s="26">
        <ns0:f t="shared" si="162"/>
        <ns0:v>-0.125</ns0:v>
      </ns0:c>
      <ns0:c r="N248" s="26">
        <ns0:f t="shared" si="162"/>
        <ns0:v>0.2475</ns0:v>
      </ns0:c>
      <ns0:c r="O248" s="26">
        <ns0:f t="shared" si="162"/>
        <ns0:v>0.181</ns0:v>
      </ns0:c>
      <ns0:c r="P248" s="26">
        <ns0:f t="shared" si="162"/>
        <ns0:v>-0.0965000000000003</ns0:v>
      </ns0:c>
      <ns0:c r="Q248" s="26">
        <ns0:f t="shared" si="162"/>
        <ns0:v>-0.0377000000000001</ns0:v>
      </ns0:c>
      <ns0:c r="R248" s="26">
        <ns0:f t="shared" si="162"/>
        <ns0:v>-0.0211000000000001</ns0:v>
      </ns0:c>
      <ns0:c r="S248" s="26">
        <ns0:f t="shared" si="162"/>
        <ns0:v>-0.0974000000000002</ns0:v>
      </ns0:c>
      <ns0:c r="T248" s="26">
        <ns0:f t="shared" si="162"/>
        <ns0:v>-0.1283</ns0:v>
      </ns0:c>
      <ns0:c r="U248" s="26">
        <ns0:f t="shared" si="162"/>
        <ns0:v>-0.3916</ns0:v>
      </ns0:c>
      <ns0:c r="V248" s="26">
        <ns0:f t="shared" si="162"/>
        <ns0:v>-0.2754</ns0:v>
      </ns0:c>
      <ns0:c r="W248" s="26">
        <ns0:f t="shared" si="162"/>
        <ns0:v>0.1496</ns0:v>
      </ns0:c>
      <ns0:c r="X248" s="26">
        <ns0:f t="shared" si="162"/>
        <ns0:v>0.0992</ns0:v>
      </ns0:c>
      <ns0:c r="Y248" s="26">
        <ns0:f t="shared" si="162"/>
        <ns0:v>-0.0918000000000001</ns0:v>
      </ns0:c>
      <ns0:c r="Z248" s="26">
        <ns0:f t="shared" si="162"/>
        <ns0:v>-0.2178</ns0:v>
      </ns0:c>
      <ns0:c r="AA248" s="26">
        <ns0:f t="shared" si="162"/>
        <ns0:v>-0.1628</ns0:v>
      </ns0:c>
      <ns0:c r="AB248" s="26">
        <ns0:f t="shared" si="162"/>
        <ns0:v>-0.1833</ns0:v>
      </ns0:c>
      <ns0:c r="AC248" s="26">
        <ns0:f t="shared" si="162"/>
        <ns0:v>-0.2492</ns0:v>
      </ns0:c>
    </ns0:row>
    <ns0:row r="249" spans="1:29">
      <ns0:c r="A249" s="32"/>
      <ns0:c r="B249" s="33"/>
      <ns0:c r="C249" s="35" t="s">
        <ns0:v>51</ns0:v>
      </ns0:c>
      <ns0:c r="D249" s="31" t="s">
        <ns0:v>48</ns0:v>
      </ns0:c>
      <ns0:c r="E249" s="31">
        <ns0:f>AVERAGE(F249:AC249)</ns0:f>
        <ns0:v>349.369583333333</ns0:v>
      </ns0:c>
      <ns0:c r="F249" s="43">
        <ns0:v>433.59</ns0:v>
      </ns0:c>
      <ns0:c r="G249" s="43">
        <ns0:v>428.96</ns0:v>
      </ns0:c>
      <ns0:c r="H249" s="43">
        <ns0:v>406.07</ns0:v>
      </ns0:c>
      <ns0:c r="I249" s="43">
        <ns0:v>376.25</ns0:v>
      </ns0:c>
      <ns0:c r="J249" s="43">
        <ns0:v>341.54</ns0:v>
      </ns0:c>
      <ns0:c r="K249" s="43">
        <ns0:v>323.94</ns0:v>
      </ns0:c>
      <ns0:c r="L249" s="43">
        <ns0:v>367.47</ns0:v>
      </ns0:c>
      <ns0:c r="M249" s="43">
        <ns0:v>398.22</ns0:v>
      </ns0:c>
      <ns0:c r="N249" s="43">
        <ns0:v>411.78</ns0:v>
      </ns0:c>
      <ns0:c r="O249" s="43">
        <ns0:v>340.5</ns0:v>
      </ns0:c>
      <ns0:c r="P249" s="43">
        <ns0:v>262.7</ns0:v>
      </ns0:c>
      <ns0:c r="Q249" s="43">
        <ns0:v>214.86</ns0:v>
      </ns0:c>
      <ns0:c r="R249" s="43">
        <ns0:v>109.72</ns0:v>
      </ns0:c>
      <ns0:c r="S249" s="43">
        <ns0:v>145.21</ns0:v>
      </ns0:c>
      <ns0:c r="T249" s="43">
        <ns0:v>143.56</ns0:v>
      </ns0:c>
      <ns0:c r="U249" s="43">
        <ns0:v>227.58</ns0:v>
      </ns0:c>
      <ns0:c r="V249" s="43">
        <ns0:v>317.66</ns0:v>
      </ns0:c>
      <ns0:c r="W249" s="43">
        <ns0:v>425.57</ns0:v>
      </ns0:c>
      <ns0:c r="X249" s="43">
        <ns0:v>470.09</ns0:v>
      </ns0:c>
      <ns0:c r="Y249" s="43">
        <ns0:v>484.8</ns0:v>
      </ns0:c>
      <ns0:c r="Z249" s="43">
        <ns0:v>475.46</ns0:v>
      </ns0:c>
      <ns0:c r="AA249" s="43">
        <ns0:v>481.28</ns0:v>
      </ns0:c>
      <ns0:c r="AB249" s="43">
        <ns0:v>440.7</ns0:v>
      </ns0:c>
      <ns0:c r="AC249" s="43">
        <ns0:v>357.36</ns0:v>
      </ns0:c>
    </ns0:row>
    <ns0:row r="250" spans="1:29">
      <ns0:c r="A250" s="32"/>
      <ns0:c r="B250" s="33"/>
      <ns0:c r="C250" s="32"/>
      <ns0:c r="D250" s="31" t="s">
        <ns0:v>49</ns0:v>
      </ns0:c>
      <ns0:c r="E250" s="31">
        <ns0:f>AVERAGE(F250:AC250)</ns0:f>
        <ns0:v>393.950416666667</ns0:v>
      </ns0:c>
      <ns0:c r="F250" s="43">
        <ns0:v>567.78</ns0:v>
      </ns0:c>
      <ns0:c r="G250" s="43">
        <ns0:v>453.01</ns0:v>
      </ns0:c>
      <ns0:c r="H250" s="43">
        <ns0:v>419.86</ns0:v>
      </ns0:c>
      <ns0:c r="I250" s="43">
        <ns0:v>361.53</ns0:v>
      </ns0:c>
      <ns0:c r="J250" s="43">
        <ns0:v>332.68</ns0:v>
      </ns0:c>
      <ns0:c r="K250" s="43">
        <ns0:v>322.44</ns0:v>
      </ns0:c>
      <ns0:c r="L250" s="43">
        <ns0:v>353.02</ns0:v>
      </ns0:c>
      <ns0:c r="M250" s="43">
        <ns0:v>380.29</ns0:v>
      </ns0:c>
      <ns0:c r="N250" s="43">
        <ns0:v>408.83</ns0:v>
      </ns0:c>
      <ns0:c r="O250" s="43">
        <ns0:v>299.59</ns0:v>
      </ns0:c>
      <ns0:c r="P250" s="43">
        <ns0:v>248.72</ns0:v>
      </ns0:c>
      <ns0:c r="Q250" s="43">
        <ns0:v>119.16</ns0:v>
      </ns0:c>
      <ns0:c r="R250" s="43">
        <ns0:v>0.81</ns0:v>
      </ns0:c>
      <ns0:c r="S250" s="43">
        <ns0:v>147.38</ns0:v>
      </ns0:c>
      <ns0:c r="T250" s="43">
        <ns0:v>6.28</ns0:v>
      </ns0:c>
      <ns0:c r="U250" s="43">
        <ns0:v>147.91</ns0:v>
      </ns0:c>
      <ns0:c r="V250" s="43">
        <ns0:v>382.24</ns0:v>
      </ns0:c>
      <ns0:c r="W250" s="43">
        <ns0:v>609.1</ns0:v>
      </ns0:c>
      <ns0:c r="X250" s="43">
        <ns0:v>745.78</ns0:v>
      </ns0:c>
      <ns0:c r="Y250" s="43">
        <ns0:v>611.83</ns0:v>
      </ns0:c>
      <ns0:c r="Z250" s="43">
        <ns0:v>970.49</ns0:v>
      </ns0:c>
      <ns0:c r="AA250" s="43">
        <ns0:v>722.08</ns0:v>
      </ns0:c>
      <ns0:c r="AB250" s="43">
        <ns0:v>461.2</ns0:v>
      </ns0:c>
      <ns0:c r="AC250" s="43">
        <ns0:v>382.8</ns0:v>
      </ns0:c>
    </ns0:row>
    <ns0:row r="251" spans="1:29">
      <ns0:c r="A251" s="32"/>
      <ns0:c r="B251" s="33"/>
      <ns0:c r="C251" s="34"/>
      <ns0:c r="D251" s="31" t="s">
        <ns0:v>50</ns0:v>
      </ns0:c>
      <ns0:c r="E251" s="26">
        <ns0:f t="shared" ref="E251:AC251" si="163">E249-E250</ns0:f>
        <ns0:v>-44.5808333333333</ns0:v>
      </ns0:c>
      <ns0:c r="F251" s="26">
        <ns0:f t="shared" si="163"/>
        <ns0:v>-134.19</ns0:v>
      </ns0:c>
      <ns0:c r="G251" s="26">
        <ns0:f t="shared" si="163"/>
        <ns0:v>-24.05</ns0:v>
      </ns0:c>
      <ns0:c r="H251" s="26">
        <ns0:f t="shared" si="163"/>
        <ns0:v>-13.79</ns0:v>
      </ns0:c>
      <ns0:c r="I251" s="26">
        <ns0:f t="shared" si="163"/>
        <ns0:v>14.72</ns0:v>
      </ns0:c>
      <ns0:c r="J251" s="26">
        <ns0:f t="shared" si="163"/>
        <ns0:v>8.86000000000001</ns0:v>
      </ns0:c>
      <ns0:c r="K251" s="26">
        <ns0:f t="shared" si="163"/>
        <ns0:v>1.5</ns0:v>
      </ns0:c>
      <ns0:c r="L251" s="26">
        <ns0:f t="shared" si="163"/>
        <ns0:v>14.45</ns0:v>
      </ns0:c>
      <ns0:c r="M251" s="26">
        <ns0:f t="shared" si="163"/>
        <ns0:v>17.93</ns0:v>
      </ns0:c>
      <ns0:c r="N251" s="26">
        <ns0:f t="shared" si="163"/>
        <ns0:v>2.94999999999999</ns0:v>
      </ns0:c>
      <ns0:c r="O251" s="26">
        <ns0:f t="shared" si="163"/>
        <ns0:v>40.91</ns0:v>
      </ns0:c>
      <ns0:c r="P251" s="26">
        <ns0:f t="shared" si="163"/>
        <ns0:v>13.98</ns0:v>
      </ns0:c>
      <ns0:c r="Q251" s="26">
        <ns0:f t="shared" si="163"/>
        <ns0:v>95.7</ns0:v>
      </ns0:c>
      <ns0:c r="R251" s="26">
        <ns0:f t="shared" si="163"/>
        <ns0:v>108.91</ns0:v>
      </ns0:c>
      <ns0:c r="S251" s="26">
        <ns0:f t="shared" si="163"/>
        <ns0:v>-2.16999999999999</ns0:v>
      </ns0:c>
      <ns0:c r="T251" s="26">
        <ns0:f t="shared" si="163"/>
        <ns0:v>137.28</ns0:v>
      </ns0:c>
      <ns0:c r="U251" s="26">
        <ns0:f t="shared" si="163"/>
        <ns0:v>79.67</ns0:v>
      </ns0:c>
      <ns0:c r="V251" s="26">
        <ns0:f t="shared" si="163"/>
        <ns0:v>-64.58</ns0:v>
      </ns0:c>
      <ns0:c r="W251" s="26">
        <ns0:f t="shared" si="163"/>
        <ns0:v>-183.53</ns0:v>
      </ns0:c>
      <ns0:c r="X251" s="26">
        <ns0:f t="shared" si="163"/>
        <ns0:v>-275.69</ns0:v>
      </ns0:c>
      <ns0:c r="Y251" s="26">
        <ns0:f t="shared" si="163"/>
        <ns0:v>-127.03</ns0:v>
      </ns0:c>
      <ns0:c r="Z251" s="26">
        <ns0:f t="shared" si="163"/>
        <ns0:v>-495.03</ns0:v>
      </ns0:c>
      <ns0:c r="AA251" s="26">
        <ns0:f t="shared" si="163"/>
        <ns0:v>-240.8</ns0:v>
      </ns0:c>
      <ns0:c r="AB251" s="26">
        <ns0:f t="shared" si="163"/>
        <ns0:v>-20.5</ns0:v>
      </ns0:c>
      <ns0:c r="AC251" s="26">
        <ns0:f t="shared" si="163"/>
        <ns0:v>-25.44</ns0:v>
      </ns0:c>
    </ns0:row>
    <ns0:row r="252" spans="1:29">
      <ns0:c r="A252" s="32"/>
      <ns0:c r="B252" s="33"/>
      <ns0:c r="C252" s="36" t="s">
        <ns0:v>52</ns0:v>
      </ns0:c>
      <ns0:c r="D252" s="37"/>
      <ns0:c r="E252" s="26">
        <ns0:f t="shared" ref="E252:E256" si="164">SUM(F252:AC252)</ns0:f>
        <ns0:v>-25.2725519999999</ns0:v>
      </ns0:c>
      <ns0:c r="F252" s="48">
        <ns0:f t="shared" ref="F252:AC252" si="165">-F248*F251</ns0:f>
        <ns0:v>43.383627</ns0:v>
      </ns0:c>
      <ns0:c r="G252" s="48">
        <ns0:f t="shared" si="165"/>
        <ns0:v>8.761415</ns0:v>
      </ns0:c>
      <ns0:c r="H252" s="48">
        <ns0:f t="shared" si="165"/>
        <ns0:v>4.747897</ns0:v>
      </ns0:c>
      <ns0:c r="I252" s="48">
        <ns0:f t="shared" si="165"/>
        <ns0:v>0.298816</ns0:v>
      </ns0:c>
      <ns0:c r="J252" s="48">
        <ns0:f t="shared" si="165"/>
        <ns0:v>0.0584759999999995</ns0:v>
      </ns0:c>
      <ns0:c r="K252" s="48">
        <ns0:f t="shared" si="165"/>
        <ns0:v>0.00434999999999985</ns0:v>
      </ns0:c>
      <ns0:c r="L252" s="48">
        <ns0:f t="shared" si="165"/>
        <ns0:v>-0.729725</ns0:v>
      </ns0:c>
      <ns0:c r="M252" s="48">
        <ns0:f t="shared" si="165"/>
        <ns0:v>2.24125</ns0:v>
      </ns0:c>
      <ns0:c r="N252" s="48">
        <ns0:f t="shared" si="165"/>
        <ns0:v>-0.730124999999998</ns0:v>
      </ns0:c>
      <ns0:c r="O252" s="48">
        <ns0:f t="shared" si="165"/>
        <ns0:v>-7.40471</ns0:v>
      </ns0:c>
      <ns0:c r="P252" s="48">
        <ns0:f t="shared" si="165"/>
        <ns0:v>1.34907</ns0:v>
      </ns0:c>
      <ns0:c r="Q252" s="48">
        <ns0:f t="shared" si="165"/>
        <ns0:v>3.60789000000001</ns0:v>
      </ns0:c>
      <ns0:c r="R252" s="48">
        <ns0:f t="shared" si="165"/>
        <ns0:v>2.29800100000001</ns0:v>
      </ns0:c>
      <ns0:c r="S252" s="48">
        <ns0:f t="shared" si="165"/>
        <ns0:v>-0.211357999999999</ns0:v>
      </ns0:c>
      <ns0:c r="T252" s="48">
        <ns0:f t="shared" si="165"/>
        <ns0:v>17.613024</ns0:v>
      </ns0:c>
      <ns0:c r="U252" s="48">
        <ns0:f t="shared" si="165"/>
        <ns0:v>31.198772</ns0:v>
      </ns0:c>
      <ns0:c r="V252" s="48">
        <ns0:f t="shared" si="165"/>
        <ns0:v>-17.785332</ns0:v>
      </ns0:c>
      <ns0:c r="W252" s="48">
        <ns0:f t="shared" si="165"/>
        <ns0:v>27.456088</ns0:v>
      </ns0:c>
      <ns0:c r="X252" s="48">
        <ns0:f t="shared" si="165"/>
        <ns0:v>27.348448</ns0:v>
      </ns0:c>
      <ns0:c r="Y252" s="48">
        <ns0:f t="shared" si="165"/>
        <ns0:v>-11.661354</ns0:v>
      </ns0:c>
      <ns0:c r="Z252" s="48">
        <ns0:f t="shared" si="165"/>
        <ns0:v>-107.817534</ns0:v>
      </ns0:c>
      <ns0:c r="AA252" s="48">
        <ns0:f t="shared" si="165"/>
        <ns0:v>-39.20224</ns0:v>
      </ns0:c>
      <ns0:c r="AB252" s="48">
        <ns0:f t="shared" si="165"/>
        <ns0:v>-3.75765</ns0:v>
      </ns0:c>
      <ns0:c r="AC252" s="48">
        <ns0:f t="shared" si="165"/>
        <ns0:v>-6.339648</ns0:v>
      </ns0:c>
    </ns0:row>
    <ns0:row r="253" spans="1:29">
      <ns0:c r="A253" s="32"/>
      <ns0:c r="B253" s="33"/>
      <ns0:c r="C253" s="38" t="s">
        <ns0:v>53</ns0:v>
      </ns0:c>
      <ns0:c r="D253" s="37"/>
      <ns0:c r="E253" s="26">
        <ns0:f t="shared" si="164"/>
        <ns0:v>-30.5003588</ns0:v>
      </ns0:c>
      <ns0:c r="F253" s="48">
        <ns0:f t="shared" ref="F253:AC253" si="166">IF(F252&gt;0,ABS(MIN(F247*0.2,ABS(F248))*F251),F252)</ns0:f>
        <ns0:v>40.3831386</ns0:v>
      </ns0:c>
      <ns0:c r="G253" s="48">
        <ns0:f t="shared" si="166"/>
        <ns0:v>7.261657</ns0:v>
      </ns0:c>
      <ns0:c r="H253" s="48">
        <ns0:f t="shared" si="166"/>
        <ns0:v>4.0203366</ns0:v>
      </ns0:c>
      <ns0:c r="I253" s="48">
        <ns0:f t="shared" si="166"/>
        <ns0:v>0.298816</ns0:v>
      </ns0:c>
      <ns0:c r="J253" s="48">
        <ns0:f t="shared" si="166"/>
        <ns0:v>0.0584759999999995</ns0:v>
      </ns0:c>
      <ns0:c r="K253" s="48">
        <ns0:f t="shared" si="166"/>
        <ns0:v>0.00434999999999985</ns0:v>
      </ns0:c>
      <ns0:c r="L253" s="48">
        <ns0:f t="shared" si="166"/>
        <ns0:v>-0.729725</ns0:v>
      </ns0:c>
      <ns0:c r="M253" s="48">
        <ns0:f t="shared" si="166"/>
        <ns0:v>2.24125</ns0:v>
      </ns0:c>
      <ns0:c r="N253" s="48">
        <ns0:f t="shared" si="166"/>
        <ns0:v>-0.730124999999998</ns0:v>
      </ns0:c>
      <ns0:c r="O253" s="48">
        <ns0:f t="shared" si="166"/>
        <ns0:v>-7.40471</ns0:v>
      </ns0:c>
      <ns0:c r="P253" s="48">
        <ns0:f t="shared" si="166"/>
        <ns0:v>1.34907</ns0:v>
      </ns0:c>
      <ns0:c r="Q253" s="48">
        <ns0:f t="shared" si="166"/>
        <ns0:v>3.60789000000001</ns0:v>
      </ns0:c>
      <ns0:c r="R253" s="48">
        <ns0:f t="shared" si="166"/>
        <ns0:v>2.29800100000001</ns0:v>
      </ns0:c>
      <ns0:c r="S253" s="48">
        <ns0:f t="shared" si="166"/>
        <ns0:v>-0.211357999999999</ns0:v>
      </ns0:c>
      <ns0:c r="T253" s="48">
        <ns0:f t="shared" si="166"/>
        <ns0:v>17.613024</ns0:v>
      </ns0:c>
      <ns0:c r="U253" s="48">
        <ns0:f t="shared" si="166"/>
        <ns0:v>31.198772</ns0:v>
      </ns0:c>
      <ns0:c r="V253" s="48">
        <ns0:f t="shared" si="166"/>
        <ns0:v>-17.785332</ns0:v>
      </ns0:c>
      <ns0:c r="W253" s="48">
        <ns0:f t="shared" si="166"/>
        <ns0:v>27.456088</ns0:v>
      </ns0:c>
      <ns0:c r="X253" s="48">
        <ns0:f t="shared" si="166"/>
        <ns0:v>27.348448</ns0:v>
      </ns0:c>
      <ns0:c r="Y253" s="48">
        <ns0:f t="shared" si="166"/>
        <ns0:v>-11.661354</ns0:v>
      </ns0:c>
      <ns0:c r="Z253" s="48">
        <ns0:f t="shared" si="166"/>
        <ns0:v>-107.817534</ns0:v>
      </ns0:c>
      <ns0:c r="AA253" s="48">
        <ns0:f t="shared" si="166"/>
        <ns0:v>-39.20224</ns0:v>
      </ns0:c>
      <ns0:c r="AB253" s="48">
        <ns0:f t="shared" si="166"/>
        <ns0:v>-3.75765</ns0:v>
      </ns0:c>
      <ns0:c r="AC253" s="48">
        <ns0:f t="shared" si="166"/>
        <ns0:v>-6.339648</ns0:v>
      </ns0:c>
    </ns0:row>
    <ns0:row r="254" spans="1:29">
      <ns0:c r="A254" s="32"/>
      <ns0:c r="B254" s="33"/>
      <ns0:c r="C254" s="39" t="s">
        <ns0:v>50</ns0:v>
      </ns0:c>
      <ns0:c r="D254" s="37"/>
      <ns0:c r="E254" s="44">
        <ns0:f t="shared" ref="E254:AC254" si="167">E252-E253</ns0:f>
        <ns0:v>5.22780680000002</ns0:v>
      </ns0:c>
      <ns0:c r="F254" s="26">
        <ns0:f t="shared" si="167"/>
        <ns0:v>3.00048840000002</ns0:v>
      </ns0:c>
      <ns0:c r="G254" s="26">
        <ns0:f t="shared" si="167"/>
        <ns0:v>1.499758</ns0:v>
      </ns0:c>
      <ns0:c r="H254" s="26">
        <ns0:f t="shared" si="167"/>
        <ns0:v>0.7275604</ns0:v>
      </ns0:c>
      <ns0:c r="I254" s="26">
        <ns0:f t="shared" si="167"/>
        <ns0:v>0</ns0:v>
      </ns0:c>
      <ns0:c r="J254" s="26">
        <ns0:f t="shared" si="167"/>
        <ns0:v>0</ns0:v>
      </ns0:c>
      <ns0:c r="K254" s="26">
        <ns0:f t="shared" si="167"/>
        <ns0:v>0</ns0:v>
      </ns0:c>
      <ns0:c r="L254" s="26">
        <ns0:f t="shared" si="167"/>
        <ns0:v>0</ns0:v>
      </ns0:c>
      <ns0:c r="M254" s="26">
        <ns0:f t="shared" si="167"/>
        <ns0:v>0</ns0:v>
      </ns0:c>
      <ns0:c r="N254" s="26">
        <ns0:f t="shared" si="167"/>
        <ns0:v>0</ns0:v>
      </ns0:c>
      <ns0:c r="O254" s="26">
        <ns0:f t="shared" si="167"/>
        <ns0:v>0</ns0:v>
      </ns0:c>
      <ns0:c r="P254" s="26">
        <ns0:f t="shared" si="167"/>
        <ns0:v>0</ns0:v>
      </ns0:c>
      <ns0:c r="Q254" s="26">
        <ns0:f t="shared" si="167"/>
        <ns0:v>0</ns0:v>
      </ns0:c>
      <ns0:c r="R254" s="26">
        <ns0:f t="shared" si="167"/>
        <ns0:v>0</ns0:v>
      </ns0:c>
      <ns0:c r="S254" s="26">
        <ns0:f t="shared" si="167"/>
        <ns0:v>0</ns0:v>
      </ns0:c>
      <ns0:c r="T254" s="26">
        <ns0:f t="shared" si="167"/>
        <ns0:v>0</ns0:v>
      </ns0:c>
      <ns0:c r="U254" s="26">
        <ns0:f t="shared" si="167"/>
        <ns0:v>0</ns0:v>
      </ns0:c>
      <ns0:c r="V254" s="26">
        <ns0:f t="shared" si="167"/>
        <ns0:v>0</ns0:v>
      </ns0:c>
      <ns0:c r="W254" s="26">
        <ns0:f t="shared" si="167"/>
        <ns0:v>0</ns0:v>
      </ns0:c>
      <ns0:c r="X254" s="26">
        <ns0:f t="shared" si="167"/>
        <ns0:v>0</ns0:v>
      </ns0:c>
      <ns0:c r="Y254" s="26">
        <ns0:f t="shared" si="167"/>
        <ns0:v>0</ns0:v>
      </ns0:c>
      <ns0:c r="Z254" s="26">
        <ns0:f t="shared" si="167"/>
        <ns0:v>0</ns0:v>
      </ns0:c>
      <ns0:c r="AA254" s="26">
        <ns0:f t="shared" si="167"/>
        <ns0:v>0</ns0:v>
      </ns0:c>
      <ns0:c r="AB254" s="26">
        <ns0:f t="shared" si="167"/>
        <ns0:v>0</ns0:v>
      </ns0:c>
      <ns0:c r="AC254" s="26">
        <ns0:f t="shared" si="167"/>
        <ns0:v>0</ns0:v>
      </ns0:c>
    </ns0:row>
    <ns0:row r="255" spans="1:29">
      <ns0:c r="A255" s="29">
        <ns0:v>46020</ns0:v>
      </ns0:c>
      <ns0:c r="B255" s="30">
        <ns0:f>E262</ns0:f>
        <ns0:v>119.372592</ns0:v>
      </ns0:c>
      <ns0:c r="C255" s="31" t="s">
        <ns0:v>47</ns0:v>
      </ns0:c>
      <ns0:c r="D255" s="31" t="s">
        <ns0:v>48</ns0:v>
      </ns0:c>
      <ns0:c r="E255" s="42">
        <ns0:f t="shared" si="164"/>
        <ns0:v>57.428</ns0:v>
      </ns0:c>
      <ns0:c r="F255" s="47">
        <ns0:v>1.414</ns0:v>
      </ns0:c>
      <ns0:c r="G255" s="47">
        <ns0:v>1.212</ns0:v>
      </ns0:c>
      <ns0:c r="H255" s="47">
        <ns0:v>1.214</ns0:v>
      </ns0:c>
      <ns0:c r="I255" s="47">
        <ns0:v>1.214</ns0:v>
      </ns0:c>
      <ns0:c r="J255" s="47">
        <ns0:v>1.171</ns0:v>
      </ns0:c>
      <ns0:c r="K255" s="47">
        <ns0:v>1.169</ns0:v>
      </ns0:c>
      <ns0:c r="L255" s="47">
        <ns0:v>1.116</ns0:v>
      </ns0:c>
      <ns0:c r="M255" s="47">
        <ns0:v>1.898</ns0:v>
      </ns0:c>
      <ns0:c r="N255" s="47">
        <ns0:v>4.073</ns0:v>
      </ns0:c>
      <ns0:c r="O255" s="47">
        <ns0:v>3.612</ns0:v>
      </ns0:c>
      <ns0:c r="P255" s="47">
        <ns0:v>3.067</ns0:v>
      </ns0:c>
      <ns0:c r="Q255" s="47">
        <ns0:v>2.959</ns0:v>
      </ns0:c>
      <ns0:c r="R255" s="47">
        <ns0:v>2.507</ns0:v>
      </ns0:c>
      <ns0:c r="S255" s="47">
        <ns0:v>2.958</ns0:v>
      </ns0:c>
      <ns0:c r="T255" s="47">
        <ns0:v>3.487</ns0:v>
      </ns0:c>
      <ns0:c r="U255" s="47">
        <ns0:v>3.362</ns0:v>
      </ns0:c>
      <ns0:c r="V255" s="47">
        <ns0:v>3.503</ns0:v>
      </ns0:c>
      <ns0:c r="W255" s="47">
        <ns0:v>3.257</ns0:v>
      </ns0:c>
      <ns0:c r="X255" s="47">
        <ns0:v>2.935</ns0:v>
      </ns0:c>
      <ns0:c r="Y255" s="47">
        <ns0:v>3.08</ns0:v>
      </ns0:c>
      <ns0:c r="Z255" s="47">
        <ns0:v>2.749</ns0:v>
      </ns0:c>
      <ns0:c r="AA255" s="47">
        <ns0:v>2.278</ns0:v>
      </ns0:c>
      <ns0:c r="AB255" s="47">
        <ns0:v>1.737</ns0:v>
      </ns0:c>
      <ns0:c r="AC255" s="47">
        <ns0:v>1.456</ns0:v>
      </ns0:c>
    </ns0:row>
    <ns0:row r="256" spans="1:29">
      <ns0:c r="A256" s="32"/>
      <ns0:c r="B256" s="33"/>
      <ns0:c r="C256" s="32"/>
      <ns0:c r="D256" s="6" t="s">
        <ns0:v>49</ns0:v>
      </ns0:c>
      <ns0:c r="E256" s="42">
        <ns0:f t="shared" si="164"/>
        <ns0:v>58.3935</ns0:v>
      </ns0:c>
      <ns0:c r="F256" s="46">
        <ns0:v>1.3506</ns0:v>
      </ns0:c>
      <ns0:c r="G256" s="46">
        <ns0:v>1.3936</ns0:v>
      </ns0:c>
      <ns0:c r="H256" s="46">
        <ns0:v>1.3094</ns0:v>
      </ns0:c>
      <ns0:c r="I256" s="46">
        <ns0:v>1.251</ns0:v>
      </ns0:c>
      <ns0:c r="J256" s="46">
        <ns0:v>1.2444</ns0:v>
      </ns0:c>
      <ns0:c r="K256" s="46">
        <ns0:v>1.1999</ns0:v>
      </ns0:c>
      <ns0:c r="L256" s="46">
        <ns0:v>1.2099</ns0:v>
      </ns0:c>
      <ns0:c r="M256" s="46">
        <ns0:v>1.5834</ns0:v>
      </ns0:c>
      <ns0:c r="N256" s="46">
        <ns0:v>3.3467</ns0:v>
      </ns0:c>
      <ns0:c r="O256" s="46">
        <ns0:v>3.7245</ns0:v>
      </ns0:c>
      <ns0:c r="P256" s="46">
        <ns0:v>3.2724</ns0:v>
      </ns0:c>
      <ns0:c r="Q256" s="46">
        <ns0:v>3.0803</ns0:v>
      </ns0:c>
      <ns0:c r="R256" s="46">
        <ns0:v>2.5099</ns0:v>
      </ns0:c>
      <ns0:c r="S256" s="46">
        <ns0:v>3.0327</ns0:v>
      </ns0:c>
      <ns0:c r="T256" s="46">
        <ns0:v>3.4737</ns0:v>
      </ns0:c>
      <ns0:c r="U256" s="46">
        <ns0:v>3.4905</ns0:v>
      </ns0:c>
      <ns0:c r="V256" s="46">
        <ns0:v>3.4587</ns0:v>
      </ns0:c>
      <ns0:c r="W256" s="46">
        <ns0:v>3.4699</ns0:v>
      </ns0:c>
      <ns0:c r="X256" s="46">
        <ns0:v>3.0395</ns0:v>
      </ns0:c>
      <ns0:c r="Y256" s="46">
        <ns0:v>3.27</ns0:v>
      </ns0:c>
      <ns0:c r="Z256" s="46">
        <ns0:v>2.9219</ns0:v>
      </ns0:c>
      <ns0:c r="AA256" s="46">
        <ns0:v>2.3838</ns0:v>
      </ns0:c>
      <ns0:c r="AB256" s="46">
        <ns0:v>1.8026</ns0:v>
      </ns0:c>
      <ns0:c r="AC256" s="46">
        <ns0:v>1.5742</ns0:v>
      </ns0:c>
    </ns0:row>
    <ns0:row r="257" spans="1:29">
      <ns0:c r="A257" s="32"/>
      <ns0:c r="B257" s="33"/>
      <ns0:c r="C257" s="34"/>
      <ns0:c r="D257" s="31" t="s">
        <ns0:v>50</ns0:v>
      </ns0:c>
      <ns0:c r="E257" s="26">
        <ns0:f t="shared" ref="E257:AC257" si="168">E255-E256</ns0:f>
        <ns0:v>-0.965499999999984</ns0:v>
      </ns0:c>
      <ns0:c r="F257" s="26">
        <ns0:f t="shared" si="168"/>
        <ns0:v>0.0633999999999999</ns0:v>
      </ns0:c>
      <ns0:c r="G257" s="26">
        <ns0:f t="shared" si="168"/>
        <ns0:v>-0.1816</ns0:v>
      </ns0:c>
      <ns0:c r="H257" s="26">
        <ns0:f t="shared" si="168"/>
        <ns0:v>-0.0953999999999999</ns0:v>
      </ns0:c>
      <ns0:c r="I257" s="26">
        <ns0:f t="shared" si="168"/>
        <ns0:v>-0.0369999999999999</ns0:v>
      </ns0:c>
      <ns0:c r="J257" s="26">
        <ns0:f t="shared" si="168"/>
        <ns0:v>-0.0733999999999999</ns0:v>
      </ns0:c>
      <ns0:c r="K257" s="26">
        <ns0:f t="shared" si="168"/>
        <ns0:v>-0.0308999999999999</ns0:v>
      </ns0:c>
      <ns0:c r="L257" s="26">
        <ns0:f t="shared" si="168"/>
        <ns0:v>-0.0938999999999999</ns0:v>
      </ns0:c>
      <ns0:c r="M257" s="26">
        <ns0:f t="shared" si="168"/>
        <ns0:v>0.3146</ns0:v>
      </ns0:c>
      <ns0:c r="N257" s="26">
        <ns0:f t="shared" si="168"/>
        <ns0:v>0.726300000000001</ns0:v>
      </ns0:c>
      <ns0:c r="O257" s="26">
        <ns0:f t="shared" si="168"/>
        <ns0:v>-0.1125</ns0:v>
      </ns0:c>
      <ns0:c r="P257" s="26">
        <ns0:f t="shared" si="168"/>
        <ns0:v>-0.2054</ns0:v>
      </ns0:c>
      <ns0:c r="Q257" s="26">
        <ns0:f t="shared" si="168"/>
        <ns0:v>-0.1213</ns0:v>
      </ns0:c>
      <ns0:c r="R257" s="26">
        <ns0:f t="shared" si="168"/>
        <ns0:v>-0.0028999999999999</ns0:v>
      </ns0:c>
      <ns0:c r="S257" s="26">
        <ns0:f t="shared" si="168"/>
        <ns0:v>-0.0747</ns0:v>
      </ns0:c>
      <ns0:c r="T257" s="26">
        <ns0:f t="shared" si="168"/>
        <ns0:v>0.0133000000000001</ns0:v>
      </ns0:c>
      <ns0:c r="U257" s="26">
        <ns0:f t="shared" si="168"/>
        <ns0:v>-0.1285</ns0:v>
      </ns0:c>
      <ns0:c r="V257" s="26">
        <ns0:f t="shared" si="168"/>
        <ns0:v>0.0443000000000002</ns0:v>
      </ns0:c>
      <ns0:c r="W257" s="26">
        <ns0:f t="shared" si="168"/>
        <ns0:v>-0.2129</ns0:v>
      </ns0:c>
      <ns0:c r="X257" s="26">
        <ns0:f t="shared" si="168"/>
        <ns0:v>-0.1045</ns0:v>
      </ns0:c>
      <ns0:c r="Y257" s="26">
        <ns0:f t="shared" si="168"/>
        <ns0:v>-0.19</ns0:v>
      </ns0:c>
      <ns0:c r="Z257" s="26">
        <ns0:f t="shared" si="168"/>
        <ns0:v>-0.1729</ns0:v>
      </ns0:c>
      <ns0:c r="AA257" s="26">
        <ns0:f t="shared" si="168"/>
        <ns0:v>-0.1058</ns0:v>
      </ns0:c>
      <ns0:c r="AB257" s="26">
        <ns0:f t="shared" si="168"/>
        <ns0:v>-0.0655999999999999</ns0:v>
      </ns0:c>
      <ns0:c r="AC257" s="26">
        <ns0:f t="shared" si="168"/>
        <ns0:v>-0.1182</ns0:v>
      </ns0:c>
    </ns0:row>
    <ns0:row r="258" spans="1:29">
      <ns0:c r="A258" s="32"/>
      <ns0:c r="B258" s="33"/>
      <ns0:c r="C258" s="35" t="s">
        <ns0:v>51</ns0:v>
      </ns0:c>
      <ns0:c r="D258" s="31" t="s">
        <ns0:v>48</ns0:v>
      </ns0:c>
      <ns0:c r="E258" s="31">
        <ns0:f>AVERAGE(F258:AC258)</ns0:f>
        <ns0:v>351.8025</ns0:v>
      </ns0:c>
      <ns0:c r="F258" s="43">
        <ns0:v>357.17</ns0:v>
      </ns0:c>
      <ns0:c r="G258" s="43">
        <ns0:v>332.35</ns0:v>
      </ns0:c>
      <ns0:c r="H258" s="43">
        <ns0:v>322.13</ns0:v>
      </ns0:c>
      <ns0:c r="I258" s="43">
        <ns0:v>296.16</ns0:v>
      </ns0:c>
      <ns0:c r="J258" s="43">
        <ns0:v>294.99</ns0:v>
      </ns0:c>
      <ns0:c r="K258" s="43">
        <ns0:v>293.18</ns0:v>
      </ns0:c>
      <ns0:c r="L258" s="43">
        <ns0:v>327.58</ns0:v>
      </ns0:c>
      <ns0:c r="M258" s="43">
        <ns0:v>366.96</ns0:v>
      </ns0:c>
      <ns0:c r="N258" s="43">
        <ns0:v>390.52</ns0:v>
      </ns0:c>
      <ns0:c r="O258" s="43">
        <ns0:v>366.12</ns0:v>
      </ns0:c>
      <ns0:c r="P258" s="43">
        <ns0:v>279.74</ns0:v>
      </ns0:c>
      <ns0:c r="Q258" s="43">
        <ns0:v>241.82</ns0:v>
      </ns0:c>
      <ns0:c r="R258" s="43">
        <ns0:v>160.18</ns0:v>
      </ns0:c>
      <ns0:c r="S258" s="43">
        <ns0:v>214.27</ns0:v>
      </ns0:c>
      <ns0:c r="T258" s="43">
        <ns0:v>230.98</ns0:v>
      </ns0:c>
      <ns0:c r="U258" s="43">
        <ns0:v>263.2</ns0:v>
      </ns0:c>
      <ns0:c r="V258" s="43">
        <ns0:v>342.65</ns0:v>
      </ns0:c>
      <ns0:c r="W258" s="43">
        <ns0:v>408.91</ns0:v>
      </ns0:c>
      <ns0:c r="X258" s="43">
        <ns0:v>555.33</ns0:v>
      </ns0:c>
      <ns0:c r="Y258" s="43">
        <ns0:v>646.88</ns0:v>
      </ns0:c>
      <ns0:c r="Z258" s="43">
        <ns0:v>565.37</ns0:v>
      </ns0:c>
      <ns0:c r="AA258" s="43">
        <ns0:v>438.17</ns0:v>
      </ns0:c>
      <ns0:c r="AB258" s="43">
        <ns0:v>403.95</ns0:v>
      </ns0:c>
      <ns0:c r="AC258" s="43">
        <ns0:v>344.65</ns0:v>
      </ns0:c>
    </ns0:row>
    <ns0:row r="259" spans="1:29">
      <ns0:c r="A259" s="32"/>
      <ns0:c r="B259" s="33"/>
      <ns0:c r="C259" s="32"/>
      <ns0:c r="D259" s="31" t="s">
        <ns0:v>49</ns0:v>
      </ns0:c>
      <ns0:c r="E259" s="31">
        <ns0:f>AVERAGE(F259:AC259)</ns0:f>
        <ns0:v>310.340833333333</ns0:v>
      </ns0:c>
      <ns0:c r="F259" s="43">
        <ns0:v>385.13</ns0:v>
      </ns0:c>
      <ns0:c r="G259" s="43">
        <ns0:v>322.65</ns0:v>
      </ns0:c>
      <ns0:c r="H259" s="43">
        <ns0:v>313.98</ns0:v>
      </ns0:c>
      <ns0:c r="I259" s="43">
        <ns0:v>292.83</ns0:v>
      </ns0:c>
      <ns0:c r="J259" s="43">
        <ns0:v>281.8</ns0:v>
      </ns0:c>
      <ns0:c r="K259" s="43">
        <ns0:v>279.76</ns0:v>
      </ns0:c>
      <ns0:c r="L259" s="43">
        <ns0:v>325.92</ns0:v>
      </ns0:c>
      <ns0:c r="M259" s="43">
        <ns0:v>361.99</ns0:v>
      </ns0:c>
      <ns0:c r="N259" s="43">
        <ns0:v>404.72</ns0:v>
      </ns0:c>
      <ns0:c r="O259" s="43">
        <ns0:v>336.81</ns0:v>
      </ns0:c>
      <ns0:c r="P259" s="43">
        <ns0:v>259.86</ns0:v>
      </ns0:c>
      <ns0:c r="Q259" s="43">
        <ns0:v>187.48</ns0:v>
      </ns0:c>
      <ns0:c r="R259" s="43">
        <ns0:v>-5.75</ns0:v>
      </ns0:c>
      <ns0:c r="S259" s="43">
        <ns0:v>100.61</ns0:v>
      </ns0:c>
      <ns0:c r="T259" s="43">
        <ns0:v>190.37</ns0:v>
      </ns0:c>
      <ns0:c r="U259" s="43">
        <ns0:v>246.71</ns0:v>
      </ns0:c>
      <ns0:c r="V259" s="43">
        <ns0:v>320.89</ns0:v>
      </ns0:c>
      <ns0:c r="W259" s="43">
        <ns0:v>395.23</ns0:v>
      </ns0:c>
      <ns0:c r="X259" s="43">
        <ns0:v>466.81</ns0:v>
      </ns0:c>
      <ns0:c r="Y259" s="43">
        <ns0:v>435.25</ns0:v>
      </ns0:c>
      <ns0:c r="Z259" s="43">
        <ns0:v>427.11</ns0:v>
      </ns0:c>
      <ns0:c r="AA259" s="43">
        <ns0:v>445.31</ns0:v>
      </ns0:c>
      <ns0:c r="AB259" s="43">
        <ns0:v>354.65</ns0:v>
      </ns0:c>
      <ns0:c r="AC259" s="43">
        <ns0:v>318.06</ns0:v>
      </ns0:c>
    </ns0:row>
    <ns0:row r="260" spans="1:29">
      <ns0:c r="A260" s="32"/>
      <ns0:c r="B260" s="33"/>
      <ns0:c r="C260" s="34"/>
      <ns0:c r="D260" s="31" t="s">
        <ns0:v>50</ns0:v>
      </ns0:c>
      <ns0:c r="E260" s="26">
        <ns0:f t="shared" ref="E260:AC260" si="169">E258-E259</ns0:f>
        <ns0:v>41.4616666666666</ns0:v>
      </ns0:c>
      <ns0:c r="F260" s="26">
        <ns0:f t="shared" si="169"/>
        <ns0:v>-27.96</ns0:v>
      </ns0:c>
      <ns0:c r="G260" s="26">
        <ns0:f t="shared" si="169"/>
        <ns0:v>9.70000000000005</ns0:v>
      </ns0:c>
      <ns0:c r="H260" s="26">
        <ns0:f t="shared" si="169"/>
        <ns0:v>8.14999999999998</ns0:v>
      </ns0:c>
      <ns0:c r="I260" s="26">
        <ns0:f t="shared" si="169"/>
        <ns0:v>3.33000000000004</ns0:v>
      </ns0:c>
      <ns0:c r="J260" s="26">
        <ns0:f t="shared" si="169"/>
        <ns0:v>13.19</ns0:v>
      </ns0:c>
      <ns0:c r="K260" s="26">
        <ns0:f t="shared" si="169"/>
        <ns0:v>13.42</ns0:v>
      </ns0:c>
      <ns0:c r="L260" s="26">
        <ns0:f t="shared" si="169"/>
        <ns0:v>1.65999999999997</ns0:v>
      </ns0:c>
      <ns0:c r="M260" s="26">
        <ns0:f t="shared" si="169"/>
        <ns0:v>4.96999999999997</ns0:v>
      </ns0:c>
      <ns0:c r="N260" s="26">
        <ns0:f t="shared" si="169"/>
        <ns0:v>-14.2</ns0:v>
      </ns0:c>
      <ns0:c r="O260" s="26">
        <ns0:f t="shared" si="169"/>
        <ns0:v>29.31</ns0:v>
      </ns0:c>
      <ns0:c r="P260" s="26">
        <ns0:f t="shared" si="169"/>
        <ns0:v>19.88</ns0:v>
      </ns0:c>
      <ns0:c r="Q260" s="26">
        <ns0:f t="shared" si="169"/>
        <ns0:v>54.34</ns0:v>
      </ns0:c>
      <ns0:c r="R260" s="26">
        <ns0:f t="shared" si="169"/>
        <ns0:v>165.93</ns0:v>
      </ns0:c>
      <ns0:c r="S260" s="26">
        <ns0:f t="shared" si="169"/>
        <ns0:v>113.66</ns0:v>
      </ns0:c>
      <ns0:c r="T260" s="26">
        <ns0:f t="shared" si="169"/>
        <ns0:v>40.61</ns0:v>
      </ns0:c>
      <ns0:c r="U260" s="26">
        <ns0:f t="shared" si="169"/>
        <ns0:v>16.49</ns0:v>
      </ns0:c>
      <ns0:c r="V260" s="26">
        <ns0:f t="shared" si="169"/>
        <ns0:v>21.76</ns0:v>
      </ns0:c>
      <ns0:c r="W260" s="26">
        <ns0:f t="shared" si="169"/>
        <ns0:v>13.68</ns0:v>
      </ns0:c>
      <ns0:c r="X260" s="26">
        <ns0:f t="shared" si="169"/>
        <ns0:v>88.52</ns0:v>
      </ns0:c>
      <ns0:c r="Y260" s="26">
        <ns0:f t="shared" si="169"/>
        <ns0:v>211.63</ns0:v>
      </ns0:c>
      <ns0:c r="Z260" s="26">
        <ns0:f t="shared" si="169"/>
        <ns0:v>138.26</ns0:v>
      </ns0:c>
      <ns0:c r="AA260" s="26">
        <ns0:f t="shared" si="169"/>
        <ns0:v>-7.13999999999999</ns0:v>
      </ns0:c>
      <ns0:c r="AB260" s="26">
        <ns0:f t="shared" si="169"/>
        <ns0:v>49.3</ns0:v>
      </ns0:c>
      <ns0:c r="AC260" s="26">
        <ns0:f t="shared" si="169"/>
        <ns0:v>26.59</ns0:v>
      </ns0:c>
    </ns0:row>
    <ns0:row r="261" spans="1:29">
      <ns0:c r="A261" s="32"/>
      <ns0:c r="B261" s="33"/>
      <ns0:c r="C261" s="36" t="s">
        <ns0:v>52</ns0:v>
      </ns0:c>
      <ns0:c r="D261" s="37"/>
      <ns0:c r="E261" s="26">
        <ns0:f t="shared" ref="E261:E265" si="170">SUM(F261:AC261)</ns0:f>
        <ns0:v>120.181424</ns0:v>
      </ns0:c>
      <ns0:c r="F261" s="48">
        <ns0:f t="shared" ref="F261:AC261" si="171">-F257*F260</ns0:f>
        <ns0:v>1.772664</ns0:v>
      </ns0:c>
      <ns0:c r="G261" s="48">
        <ns0:f t="shared" si="171"/>
        <ns0:v>1.76152000000001</ns0:v>
      </ns0:c>
      <ns0:c r="H261" s="48">
        <ns0:f t="shared" si="171"/>
        <ns0:v>0.777509999999998</ns0:v>
      </ns0:c>
      <ns0:c r="I261" s="48">
        <ns0:f t="shared" si="171"/>
        <ns0:v>0.123210000000001</ns0:v>
      </ns0:c>
      <ns0:c r="J261" s="48">
        <ns0:f t="shared" si="171"/>
        <ns0:v>0.968145999999999</ns0:v>
      </ns0:c>
      <ns0:c r="K261" s="48">
        <ns0:f t="shared" si="171"/>
        <ns0:v>0.414677999999999</ns0:v>
      </ns0:c>
      <ns0:c r="L261" s="48">
        <ns0:f t="shared" si="171"/>
        <ns0:v>0.155873999999997</ns0:v>
      </ns0:c>
      <ns0:c r="M261" s="48">
        <ns0:f t="shared" si="171"/>
        <ns0:v>-1.56356199999999</ns0:v>
      </ns0:c>
      <ns0:c r="N261" s="48">
        <ns0:f t="shared" si="171"/>
        <ns0:v>10.31346</ns0:v>
      </ns0:c>
      <ns0:c r="O261" s="48">
        <ns0:f t="shared" si="171"/>
        <ns0:v>3.29737499999999</ns0:v>
      </ns0:c>
      <ns0:c r="P261" s="48">
        <ns0:f t="shared" si="171"/>
        <ns0:v>4.083352</ns0:v>
      </ns0:c>
      <ns0:c r="Q261" s="48">
        <ns0:f t="shared" si="171"/>
        <ns0:v>6.59144199999999</ns0:v>
      </ns0:c>
      <ns0:c r="R261" s="48">
        <ns0:f t="shared" si="171"/>
        <ns0:v>0.481196999999984</ns0:v>
      </ns0:c>
      <ns0:c r="S261" s="48">
        <ns0:f t="shared" si="171"/>
        <ns0:v>8.490402</ns0:v>
      </ns0:c>
      <ns0:c r="T261" s="48">
        <ns0:f t="shared" si="171"/>
        <ns0:v>-0.540113000000004</ns0:v>
      </ns0:c>
      <ns0:c r="U261" s="48">
        <ns0:f t="shared" si="171"/>
        <ns0:v>2.118965</ns0:v>
      </ns0:c>
      <ns0:c r="V261" s="48">
        <ns0:f t="shared" si="171"/>
        <ns0:v>-0.963968000000005</ns0:v>
      </ns0:c>
      <ns0:c r="W261" s="48">
        <ns0:f t="shared" si="171"/>
        <ns0:v>2.912472</ns0:v>
      </ns0:c>
      <ns0:c r="X261" s="48">
        <ns0:f t="shared" si="171"/>
        <ns0:v>9.25033999999998</ns0:v>
      </ns0:c>
      <ns0:c r="Y261" s="48">
        <ns0:f t="shared" si="171"/>
        <ns0:v>40.2097</ns0:v>
      </ns0:c>
      <ns0:c r="Z261" s="48">
        <ns0:f t="shared" si="171"/>
        <ns0:v>23.905154</ns0:v>
      </ns0:c>
      <ns0:c r="AA261" s="48">
        <ns0:f t="shared" si="171"/>
        <ns0:v>-0.755411999999998</ns0:v>
      </ns0:c>
      <ns0:c r="AB261" s="48">
        <ns0:f t="shared" si="171"/>
        <ns0:v>3.23407999999999</ns0:v>
      </ns0:c>
      <ns0:c r="AC261" s="48">
        <ns0:f t="shared" si="171"/>
        <ns0:v>3.142938</ns0:v>
      </ns0:c>
    </ns0:row>
    <ns0:row r="262" spans="1:29">
      <ns0:c r="A262" s="32"/>
      <ns0:c r="B262" s="33"/>
      <ns0:c r="C262" s="38" t="s">
        <ns0:v>53</ns0:v>
      </ns0:c>
      <ns0:c r="D262" s="37"/>
      <ns0:c r="E262" s="26">
        <ns0:f t="shared" si="170"/>
        <ns0:v>119.372592</ns0:v>
      </ns0:c>
      <ns0:c r="F262" s="48">
        <ns0:f t="shared" ref="F262:AC262" si="172">IF(F261&gt;0,ABS(MIN(F256*0.2,ABS(F257))*F260),F261)</ns0:f>
        <ns0:v>1.772664</ns0:v>
      </ns0:c>
      <ns0:c r="G262" s="48">
        <ns0:f t="shared" si="172"/>
        <ns0:v>1.76152000000001</ns0:v>
      </ns0:c>
      <ns0:c r="H262" s="48">
        <ns0:f t="shared" si="172"/>
        <ns0:v>0.777509999999998</ns0:v>
      </ns0:c>
      <ns0:c r="I262" s="48">
        <ns0:f t="shared" si="172"/>
        <ns0:v>0.123210000000001</ns0:v>
      </ns0:c>
      <ns0:c r="J262" s="48">
        <ns0:f t="shared" si="172"/>
        <ns0:v>0.968145999999999</ns0:v>
      </ns0:c>
      <ns0:c r="K262" s="48">
        <ns0:f t="shared" si="172"/>
        <ns0:v>0.414677999999999</ns0:v>
      </ns0:c>
      <ns0:c r="L262" s="48">
        <ns0:f t="shared" si="172"/>
        <ns0:v>0.155873999999997</ns0:v>
      </ns0:c>
      <ns0:c r="M262" s="48">
        <ns0:f t="shared" si="172"/>
        <ns0:v>-1.56356199999999</ns0:v>
      </ns0:c>
      <ns0:c r="N262" s="48">
        <ns0:f t="shared" si="172"/>
        <ns0:v>9.504628</ns0:v>
      </ns0:c>
      <ns0:c r="O262" s="48">
        <ns0:f t="shared" si="172"/>
        <ns0:v>3.29737499999999</ns0:v>
      </ns0:c>
      <ns0:c r="P262" s="48">
        <ns0:f t="shared" si="172"/>
        <ns0:v>4.083352</ns0:v>
      </ns0:c>
      <ns0:c r="Q262" s="48">
        <ns0:f t="shared" si="172"/>
        <ns0:v>6.59144199999999</ns0:v>
      </ns0:c>
      <ns0:c r="R262" s="48">
        <ns0:f t="shared" si="172"/>
        <ns0:v>0.481196999999984</ns0:v>
      </ns0:c>
      <ns0:c r="S262" s="48">
        <ns0:f t="shared" si="172"/>
        <ns0:v>8.490402</ns0:v>
      </ns0:c>
      <ns0:c r="T262" s="48">
        <ns0:f t="shared" si="172"/>
        <ns0:v>-0.540113000000004</ns0:v>
      </ns0:c>
      <ns0:c r="U262" s="48">
        <ns0:f t="shared" si="172"/>
        <ns0:v>2.118965</ns0:v>
      </ns0:c>
      <ns0:c r="V262" s="48">
        <ns0:f t="shared" si="172"/>
        <ns0:v>-0.963968000000005</ns0:v>
      </ns0:c>
      <ns0:c r="W262" s="48">
        <ns0:f t="shared" si="172"/>
        <ns0:v>2.912472</ns0:v>
      </ns0:c>
      <ns0:c r="X262" s="48">
        <ns0:f t="shared" si="172"/>
        <ns0:v>9.25033999999998</ns0:v>
      </ns0:c>
      <ns0:c r="Y262" s="48">
        <ns0:f t="shared" si="172"/>
        <ns0:v>40.2097</ns0:v>
      </ns0:c>
      <ns0:c r="Z262" s="48">
        <ns0:f t="shared" si="172"/>
        <ns0:v>23.905154</ns0:v>
      </ns0:c>
      <ns0:c r="AA262" s="48">
        <ns0:f t="shared" si="172"/>
        <ns0:v>-0.755411999999998</ns0:v>
      </ns0:c>
      <ns0:c r="AB262" s="48">
        <ns0:f t="shared" si="172"/>
        <ns0:v>3.23407999999999</ns0:v>
      </ns0:c>
      <ns0:c r="AC262" s="48">
        <ns0:f t="shared" si="172"/>
        <ns0:v>3.142938</ns0:v>
      </ns0:c>
    </ns0:row>
    <ns0:row r="263" spans="1:29">
      <ns0:c r="A263" s="32"/>
      <ns0:c r="B263" s="33"/>
      <ns0:c r="C263" s="39" t="s">
        <ns0:v>50</ns0:v>
      </ns0:c>
      <ns0:c r="D263" s="37"/>
      <ns0:c r="E263" s="44">
        <ns0:f t="shared" ref="E263:AC263" si="173">E261-E262</ns0:f>
        <ns0:v>0.808831999999995</ns0:v>
      </ns0:c>
      <ns0:c r="F263" s="26">
        <ns0:f t="shared" si="173"/>
        <ns0:v>0</ns0:v>
      </ns0:c>
      <ns0:c r="G263" s="26">
        <ns0:f t="shared" si="173"/>
        <ns0:v>0</ns0:v>
      </ns0:c>
      <ns0:c r="H263" s="26">
        <ns0:f t="shared" si="173"/>
        <ns0:v>0</ns0:v>
      </ns0:c>
      <ns0:c r="I263" s="26">
        <ns0:f t="shared" si="173"/>
        <ns0:v>0</ns0:v>
      </ns0:c>
      <ns0:c r="J263" s="26">
        <ns0:f t="shared" si="173"/>
        <ns0:v>0</ns0:v>
      </ns0:c>
      <ns0:c r="K263" s="26">
        <ns0:f t="shared" si="173"/>
        <ns0:v>0</ns0:v>
      </ns0:c>
      <ns0:c r="L263" s="26">
        <ns0:f t="shared" si="173"/>
        <ns0:v>0</ns0:v>
      </ns0:c>
      <ns0:c r="M263" s="26">
        <ns0:f t="shared" si="173"/>
        <ns0:v>0</ns0:v>
      </ns0:c>
      <ns0:c r="N263" s="26">
        <ns0:f t="shared" si="173"/>
        <ns0:v>0.808832000000008</ns0:v>
      </ns0:c>
      <ns0:c r="O263" s="26">
        <ns0:f t="shared" si="173"/>
        <ns0:v>0</ns0:v>
      </ns0:c>
      <ns0:c r="P263" s="26">
        <ns0:f t="shared" si="173"/>
        <ns0:v>0</ns0:v>
      </ns0:c>
      <ns0:c r="Q263" s="26">
        <ns0:f t="shared" si="173"/>
        <ns0:v>0</ns0:v>
      </ns0:c>
      <ns0:c r="R263" s="26">
        <ns0:f t="shared" si="173"/>
        <ns0:v>0</ns0:v>
      </ns0:c>
      <ns0:c r="S263" s="26">
        <ns0:f t="shared" si="173"/>
        <ns0:v>0</ns0:v>
      </ns0:c>
      <ns0:c r="T263" s="26">
        <ns0:f t="shared" si="173"/>
        <ns0:v>0</ns0:v>
      </ns0:c>
      <ns0:c r="U263" s="26">
        <ns0:f t="shared" si="173"/>
        <ns0:v>0</ns0:v>
      </ns0:c>
      <ns0:c r="V263" s="26">
        <ns0:f t="shared" si="173"/>
        <ns0:v>0</ns0:v>
      </ns0:c>
      <ns0:c r="W263" s="26">
        <ns0:f t="shared" si="173"/>
        <ns0:v>0</ns0:v>
      </ns0:c>
      <ns0:c r="X263" s="26">
        <ns0:f t="shared" si="173"/>
        <ns0:v>0</ns0:v>
      </ns0:c>
      <ns0:c r="Y263" s="26">
        <ns0:f t="shared" si="173"/>
        <ns0:v>0</ns0:v>
      </ns0:c>
      <ns0:c r="Z263" s="26">
        <ns0:f t="shared" si="173"/>
        <ns0:v>0</ns0:v>
      </ns0:c>
      <ns0:c r="AA263" s="26">
        <ns0:f t="shared" si="173"/>
        <ns0:v>0</ns0:v>
      </ns0:c>
      <ns0:c r="AB263" s="26">
        <ns0:f t="shared" si="173"/>
        <ns0:v>0</ns0:v>
      </ns0:c>
      <ns0:c r="AC263" s="26">
        <ns0:f t="shared" si="173"/>
        <ns0:v>0</ns0:v>
      </ns0:c>
    </ns0:row>
    <ns0:row r="264" spans="1:29">
      <ns0:c r="A264" s="29">
        <ns0:v>46021</ns0:v>
      </ns0:c>
      <ns0:c r="B264" s="30">
        <ns0:f>E271</ns0:f>
        <ns0:v>-187.198486</ns0:v>
      </ns0:c>
      <ns0:c r="C264" s="31" t="s">
        <ns0:v>47</ns0:v>
      </ns0:c>
      <ns0:c r="D264" s="31" t="s">
        <ns0:v>48</ns0:v>
      </ns0:c>
      <ns0:c r="E264" s="42">
        <ns0:f t="shared" si="170"/>
        <ns0:v>60.33</ns0:v>
      </ns0:c>
      <ns0:c r="F264" s="47">
        <ns0:v>1.436</ns0:v>
      </ns0:c>
      <ns0:c r="G264" s="47">
        <ns0:v>1.441</ns0:v>
      </ns0:c>
      <ns0:c r="H264" s="47">
        <ns0:v>1.398</ns0:v>
      </ns0:c>
      <ns0:c r="I264" s="47">
        <ns0:v>1.405</ns0:v>
      </ns0:c>
      <ns0:c r="J264" s="47">
        <ns0:v>1.42</ns0:v>
      </ns0:c>
      <ns0:c r="K264" s="47">
        <ns0:v>1.44</ns0:v>
      </ns0:c>
      <ns0:c r="L264" s="47">
        <ns0:v>1.362</ns0:v>
      </ns0:c>
      <ns0:c r="M264" s="47">
        <ns0:v>1.721</ns0:v>
      </ns0:c>
      <ns0:c r="N264" s="47">
        <ns0:v>3.448</ns0:v>
      </ns0:c>
      <ns0:c r="O264" s="47">
        <ns0:v>3.594</ns0:v>
      </ns0:c>
      <ns0:c r="P264" s="47">
        <ns0:v>3.087</ns0:v>
      </ns0:c>
      <ns0:c r="Q264" s="47">
        <ns0:v>3.02</ns0:v>
      </ns0:c>
      <ns0:c r="R264" s="47">
        <ns0:v>2.412</ns0:v>
      </ns0:c>
      <ns0:c r="S264" s="47">
        <ns0:v>2.925</ns0:v>
      </ns0:c>
      <ns0:c r="T264" s="47">
        <ns0:v>3.386</ns0:v>
      </ns0:c>
      <ns0:c r="U264" s="47">
        <ns0:v>3.254</ns0:v>
      </ns0:c>
      <ns0:c r="V264" s="47">
        <ns0:v>3.446</ns0:v>
      </ns0:c>
      <ns0:c r="W264" s="47">
        <ns0:v>3.654</ns0:v>
      </ns0:c>
      <ns0:c r="X264" s="47">
        <ns0:v>3.945</ns0:v>
      </ns0:c>
      <ns0:c r="Y264" s="47">
        <ns0:v>4.097</ns0:v>
      </ns0:c>
      <ns0:c r="Z264" s="47">
        <ns0:v>3.01</ns0:v>
      </ns0:c>
      <ns0:c r="AA264" s="47">
        <ns0:v>2.247</ns0:v>
      </ns0:c>
      <ns0:c r="AB264" s="47">
        <ns0:v>1.715</ns0:v>
      </ns0:c>
      <ns0:c r="AC264" s="47">
        <ns0:v>1.467</ns0:v>
      </ns0:c>
    </ns0:row>
    <ns0:row r="265" spans="1:29">
      <ns0:c r="A265" s="32"/>
      <ns0:c r="B265" s="33"/>
      <ns0:c r="C265" s="32"/>
      <ns0:c r="D265" s="6" t="s">
        <ns0:v>49</ns0:v>
      </ns0:c>
      <ns0:c r="E265" s="42">
        <ns0:f t="shared" si="170"/>
        <ns0:v>61.0196</ns0:v>
      </ns0:c>
      <ns0:c r="F265" s="46">
        <ns0:v>1.6095</ns0:v>
      </ns0:c>
      <ns0:c r="G265" s="46">
        <ns0:v>1.5538</ns0:v>
      </ns0:c>
      <ns0:c r="H265" s="46">
        <ns0:v>1.6343</ns0:v>
      </ns0:c>
      <ns0:c r="I265" s="46">
        <ns0:v>1.5118</ns0:v>
      </ns0:c>
      <ns0:c r="J265" s="46">
        <ns0:v>1.5532</ns0:v>
      </ns0:c>
      <ns0:c r="K265" s="46">
        <ns0:v>1.5586</ns0:v>
      </ns0:c>
      <ns0:c r="L265" s="46">
        <ns0:v>1.5414</ns0:v>
      </ns0:c>
      <ns0:c r="M265" s="46">
        <ns0:v>1.824</ns0:v>
      </ns0:c>
      <ns0:c r="N265" s="46">
        <ns0:v>3.6699</ns0:v>
      </ns0:c>
      <ns0:c r="O265" s="46">
        <ns0:v>3.8209</ns0:v>
      </ns0:c>
      <ns0:c r="P265" s="46">
        <ns0:v>3.3675</ns0:v>
      </ns0:c>
      <ns0:c r="Q265" s="46">
        <ns0:v>3.0189</ns0:v>
      </ns0:c>
      <ns0:c r="R265" s="46">
        <ns0:v>2.5315</ns0:v>
      </ns0:c>
      <ns0:c r="S265" s="46">
        <ns0:v>3.0254</ns0:v>
      </ns0:c>
      <ns0:c r="T265" s="46">
        <ns0:v>3.5417</ns0:v>
      </ns0:c>
      <ns0:c r="U265" s="46">
        <ns0:v>3.4406</ns0:v>
      </ns0:c>
      <ns0:c r="V265" s="46">
        <ns0:v>3.4092</ns0:v>
      </ns0:c>
      <ns0:c r="W265" s="46">
        <ns0:v>3.3272</ns0:v>
      </ns0:c>
      <ns0:c r="X265" s="46">
        <ns0:v>3.0456</ns0:v>
      </ns0:c>
      <ns0:c r="Y265" s="46">
        <ns0:v>3.0614</ns0:v>
      </ns0:c>
      <ns0:c r="Z265" s="46">
        <ns0:v>2.7636</ns0:v>
      </ns0:c>
      <ns0:c r="AA265" s="46">
        <ns0:v>2.5534</ns0:v>
      </ns0:c>
      <ns0:c r="AB265" s="46">
        <ns0:v>2.0067</ns0:v>
      </ns0:c>
      <ns0:c r="AC265" s="46">
        <ns0:v>1.6495</ns0:v>
      </ns0:c>
    </ns0:row>
    <ns0:row r="266" spans="1:29">
      <ns0:c r="A266" s="32"/>
      <ns0:c r="B266" s="33"/>
      <ns0:c r="C266" s="34"/>
      <ns0:c r="D266" s="31" t="s">
        <ns0:v>50</ns0:v>
      </ns0:c>
      <ns0:c r="E266" s="26">
        <ns0:f t="shared" ref="E266:AC266" si="174">E264-E265</ns0:f>
        <ns0:v>-0.689600000000013</ns0:v>
      </ns0:c>
      <ns0:c r="F266" s="26">
        <ns0:f t="shared" si="174"/>
        <ns0:v>-0.1735</ns0:v>
      </ns0:c>
      <ns0:c r="G266" s="26">
        <ns0:f t="shared" si="174"/>
        <ns0:v>-0.1128</ns0:v>
      </ns0:c>
      <ns0:c r="H266" s="26">
        <ns0:f t="shared" si="174"/>
        <ns0:v>-0.2363</ns0:v>
      </ns0:c>
      <ns0:c r="I266" s="26">
        <ns0:f t="shared" si="174"/>
        <ns0:v>-0.1068</ns0:v>
      </ns0:c>
      <ns0:c r="J266" s="26">
        <ns0:f t="shared" si="174"/>
        <ns0:v>-0.1332</ns0:v>
      </ns0:c>
      <ns0:c r="K266" s="26">
        <ns0:f t="shared" si="174"/>
        <ns0:v>-0.1186</ns0:v>
      </ns0:c>
      <ns0:c r="L266" s="26">
        <ns0:f t="shared" si="174"/>
        <ns0:v>-0.1794</ns0:v>
      </ns0:c>
      <ns0:c r="M266" s="26">
        <ns0:f t="shared" si="174"/>
        <ns0:v>-0.103</ns0:v>
      </ns0:c>
      <ns0:c r="N266" s="26">
        <ns0:f t="shared" si="174"/>
        <ns0:v>-0.2219</ns0:v>
      </ns0:c>
      <ns0:c r="O266" s="26">
        <ns0:f t="shared" si="174"/>
        <ns0:v>-0.2269</ns0:v>
      </ns0:c>
      <ns0:c r="P266" s="26">
        <ns0:f t="shared" si="174"/>
        <ns0:v>-0.2805</ns0:v>
      </ns0:c>
      <ns0:c r="Q266" s="26">
        <ns0:f t="shared" si="174"/>
        <ns0:v>0.0011000000000001</ns0:v>
      </ns0:c>
      <ns0:c r="R266" s="26">
        <ns0:f t="shared" si="174"/>
        <ns0:v>-0.1195</ns0:v>
      </ns0:c>
      <ns0:c r="S266" s="26">
        <ns0:f t="shared" si="174"/>
        <ns0:v>-0.1004</ns0:v>
      </ns0:c>
      <ns0:c r="T266" s="26">
        <ns0:f t="shared" si="174"/>
        <ns0:v>-0.1557</ns0:v>
      </ns0:c>
      <ns0:c r="U266" s="26">
        <ns0:f t="shared" si="174"/>
        <ns0:v>-0.1866</ns0:v>
      </ns0:c>
      <ns0:c r="V266" s="26">
        <ns0:f t="shared" si="174"/>
        <ns0:v>0.0368000000000004</ns0:v>
      </ns0:c>
      <ns0:c r="W266" s="26">
        <ns0:f t="shared" si="174"/>
        <ns0:v>0.3268</ns0:v>
      </ns0:c>
      <ns0:c r="X266" s="26">
        <ns0:f t="shared" si="174"/>
        <ns0:v>0.8994</ns0:v>
      </ns0:c>
      <ns0:c r="Y266" s="26">
        <ns0:f t="shared" si="174"/>
        <ns0:v>1.0356</ns0:v>
      </ns0:c>
      <ns0:c r="Z266" s="26">
        <ns0:f t="shared" si="174"/>
        <ns0:v>0.2464</ns0:v>
      </ns0:c>
      <ns0:c r="AA266" s="26">
        <ns0:f t="shared" si="174"/>
        <ns0:v>-0.3064</ns0:v>
      </ns0:c>
      <ns0:c r="AB266" s="26">
        <ns0:f t="shared" si="174"/>
        <ns0:v>-0.2917</ns0:v>
      </ns0:c>
      <ns0:c r="AC266" s="26">
        <ns0:f t="shared" si="174"/>
        <ns0:v>-0.1825</ns0:v>
      </ns0:c>
    </ns0:row>
    <ns0:row r="267" spans="1:29">
      <ns0:c r="A267" s="32"/>
      <ns0:c r="B267" s="33"/>
      <ns0:c r="C267" s="35" t="s">
        <ns0:v>51</ns0:v>
      </ns0:c>
      <ns0:c r="D267" s="31" t="s">
        <ns0:v>48</ns0:v>
      </ns0:c>
      <ns0:c r="E267" s="31">
        <ns0:f>AVERAGE(F267:AC267)</ns0:f>
        <ns0:v>343.850416666667</ns0:v>
      </ns0:c>
      <ns0:c r="F267" s="43">
        <ns0:v>376.68</ns0:v>
      </ns0:c>
      <ns0:c r="G267" s="43">
        <ns0:v>351.81</ns0:v>
      </ns0:c>
      <ns0:c r="H267" s="43">
        <ns0:v>343.8</ns0:v>
      </ns0:c>
      <ns0:c r="I267" s="43">
        <ns0:v>331.16</ns0:v>
      </ns0:c>
      <ns0:c r="J267" s="43">
        <ns0:v>319.1</ns0:v>
      </ns0:c>
      <ns0:c r="K267" s="43">
        <ns0:v>315.61</ns0:v>
      </ns0:c>
      <ns0:c r="L267" s="43">
        <ns0:v>341.89</ns0:v>
      </ns0:c>
      <ns0:c r="M267" s="43">
        <ns0:v>366.14</ns0:v>
      </ns0:c>
      <ns0:c r="N267" s="43">
        <ns0:v>394.12</ns0:v>
      </ns0:c>
      <ns0:c r="O267" s="43">
        <ns0:v>359.05</ns0:v>
      </ns0:c>
      <ns0:c r="P267" s="43">
        <ns0:v>290.6</ns0:v>
      </ns0:c>
      <ns0:c r="Q267" s="43">
        <ns0:v>247.11</ns0:v>
      </ns0:c>
      <ns0:c r="R267" s="43">
        <ns0:v>152.1</ns0:v>
      </ns0:c>
      <ns0:c r="S267" s="43">
        <ns0:v>234.7</ns0:v>
      </ns0:c>
      <ns0:c r="T267" s="43">
        <ns0:v>243.43</ns0:v>
      </ns0:c>
      <ns0:c r="U267" s="43">
        <ns0:v>261.97</ns0:v>
      </ns0:c>
      <ns0:c r="V267" s="43">
        <ns0:v>320.96</ns0:v>
      </ns0:c>
      <ns0:c r="W267" s="43">
        <ns0:v>384.64</ns0:v>
      </ns0:c>
      <ns0:c r="X267" s="43">
        <ns0:v>442.28</ns0:v>
      </ns0:c>
      <ns0:c r="Y267" s="43">
        <ns0:v>568.37</ns0:v>
      </ns0:c>
      <ns0:c r="Z267" s="43">
        <ns0:v>482.02</ns0:v>
      </ns0:c>
      <ns0:c r="AA267" s="43">
        <ns0:v>420.29</ns0:v>
      </ns0:c>
      <ns0:c r="AB267" s="43">
        <ns0:v>374.43</ns0:v>
      </ns0:c>
      <ns0:c r="AC267" s="43">
        <ns0:v>330.15</ns0:v>
      </ns0:c>
    </ns0:row>
    <ns0:row r="268" spans="1:29">
      <ns0:c r="A268" s="32"/>
      <ns0:c r="B268" s="33"/>
      <ns0:c r="C268" s="32"/>
      <ns0:c r="D268" s="31" t="s">
        <ns0:v>49</ns0:v>
      </ns0:c>
      <ns0:c r="E268" s="31">
        <ns0:f>AVERAGE(F268:AC268)</ns0:f>
        <ns0:v>272.42875</ns0:v>
      </ns0:c>
      <ns0:c r="F268" s="43">
        <ns0:v>365.91</ns0:v>
      </ns0:c>
      <ns0:c r="G268" s="43">
        <ns0:v>328.13</ns0:v>
      </ns0:c>
      <ns0:c r="H268" s="43">
        <ns0:v>317.37</ns0:v>
      </ns0:c>
      <ns0:c r="I268" s="43">
        <ns0:v>321.2</ns0:v>
      </ns0:c>
      <ns0:c r="J268" s="43">
        <ns0:v>321.35</ns0:v>
      </ns0:c>
      <ns0:c r="K268" s="43">
        <ns0:v>313.5</ns0:v>
      </ns0:c>
      <ns0:c r="L268" s="43">
        <ns0:v>341.12</ns0:v>
      </ns0:c>
      <ns0:c r="M268" s="43">
        <ns0:v>374.35</ns0:v>
      </ns0:c>
      <ns0:c r="N268" s="43">
        <ns0:v>374.92</ns0:v>
      </ns0:c>
      <ns0:c r="O268" s="43">
        <ns0:v>319.55</ns0:v>
      </ns0:c>
      <ns0:c r="P268" s="43">
        <ns0:v>218.02</ns0:v>
      </ns0:c>
      <ns0:c r="Q268" s="43">
        <ns0:v>136.46</ns0:v>
      </ns0:c>
      <ns0:c r="R268" s="43">
        <ns0:v>-31.03</ns0:v>
      </ns0:c>
      <ns0:c r="S268" s="43">
        <ns0:v>-15.67</ns0:v>
      </ns0:c>
      <ns0:c r="T268" s="43">
        <ns0:v>3.43</ns0:v>
      </ns0:c>
      <ns0:c r="U268" s="43">
        <ns0:v>171.69</ns0:v>
      </ns0:c>
      <ns0:c r="V268" s="43">
        <ns0:v>291.89</ns0:v>
      </ns0:c>
      <ns0:c r="W268" s="43">
        <ns0:v>365.88</ns0:v>
      </ns0:c>
      <ns0:c r="X268" s="43">
        <ns0:v>341</ns0:v>
      </ns0:c>
      <ns0:c r="Y268" s="43">
        <ns0:v>335.8</ns0:v>
      </ns0:c>
      <ns0:c r="Z268" s="43">
        <ns0:v>353.13</ns0:v>
      </ns0:c>
      <ns0:c r="AA268" s="43">
        <ns0:v>350.23</ns0:v>
      </ns0:c>
      <ns0:c r="AB268" s="43">
        <ns0:v>331.64</ns0:v>
      </ns0:c>
      <ns0:c r="AC268" s="43">
        <ns0:v>308.42</ns0:v>
      </ns0:c>
    </ns0:row>
    <ns0:row r="269" spans="1:29">
      <ns0:c r="A269" s="32"/>
      <ns0:c r="B269" s="33"/>
      <ns0:c r="C269" s="34"/>
      <ns0:c r="D269" s="31" t="s">
        <ns0:v>50</ns0:v>
      </ns0:c>
      <ns0:c r="E269" s="26">
        <ns0:f t="shared" ref="E269:AC269" si="175">E267-E268</ns0:f>
        <ns0:v>71.4216666666667</ns0:v>
      </ns0:c>
      <ns0:c r="F269" s="26">
        <ns0:f t="shared" si="175"/>
        <ns0:v>10.77</ns0:v>
      </ns0:c>
      <ns0:c r="G269" s="26">
        <ns0:f t="shared" si="175"/>
        <ns0:v>23.68</ns0:v>
      </ns0:c>
      <ns0:c r="H269" s="26">
        <ns0:f t="shared" si="175"/>
        <ns0:v>26.43</ns0:v>
      </ns0:c>
      <ns0:c r="I269" s="26">
        <ns0:f t="shared" si="175"/>
        <ns0:v>9.96000000000004</ns0:v>
      </ns0:c>
      <ns0:c r="J269" s="26">
        <ns0:f t="shared" si="175"/>
        <ns0:v>-2.25</ns0:v>
      </ns0:c>
      <ns0:c r="K269" s="26">
        <ns0:f t="shared" si="175"/>
        <ns0:v>2.11000000000001</ns0:v>
      </ns0:c>
      <ns0:c r="L269" s="26">
        <ns0:f t="shared" si="175"/>
        <ns0:v>0.769999999999982</ns0:v>
      </ns0:c>
      <ns0:c r="M269" s="26">
        <ns0:f t="shared" si="175"/>
        <ns0:v>-8.21000000000004</ns0:v>
      </ns0:c>
      <ns0:c r="N269" s="26">
        <ns0:f t="shared" si="175"/>
        <ns0:v>19.2</ns0:v>
      </ns0:c>
      <ns0:c r="O269" s="26">
        <ns0:f t="shared" si="175"/>
        <ns0:v>39.5</ns0:v>
      </ns0:c>
      <ns0:c r="P269" s="26">
        <ns0:f t="shared" si="175"/>
        <ns0:v>72.58</ns0:v>
      </ns0:c>
      <ns0:c r="Q269" s="26">
        <ns0:f t="shared" si="175"/>
        <ns0:v>110.65</ns0:v>
      </ns0:c>
      <ns0:c r="R269" s="26">
        <ns0:f t="shared" si="175"/>
        <ns0:v>183.13</ns0:v>
      </ns0:c>
      <ns0:c r="S269" s="26">
        <ns0:f t="shared" si="175"/>
        <ns0:v>250.37</ns0:v>
      </ns0:c>
      <ns0:c r="T269" s="26">
        <ns0:f t="shared" si="175"/>
        <ns0:v>240</ns0:v>
      </ns0:c>
      <ns0:c r="U269" s="26">
        <ns0:f t="shared" si="175"/>
        <ns0:v>90.28</ns0:v>
      </ns0:c>
      <ns0:c r="V269" s="26">
        <ns0:f t="shared" si="175"/>
        <ns0:v>29.07</ns0:v>
      </ns0:c>
      <ns0:c r="W269" s="26">
        <ns0:f t="shared" si="175"/>
        <ns0:v>18.76</ns0:v>
      </ns0:c>
      <ns0:c r="X269" s="26">
        <ns0:f t="shared" si="175"/>
        <ns0:v>101.28</ns0:v>
      </ns0:c>
      <ns0:c r="Y269" s="26">
        <ns0:f t="shared" si="175"/>
        <ns0:v>232.57</ns0:v>
      </ns0:c>
      <ns0:c r="Z269" s="26">
        <ns0:f t="shared" si="175"/>
        <ns0:v>128.89</ns0:v>
      </ns0:c>
      <ns0:c r="AA269" s="26">
        <ns0:f t="shared" si="175"/>
        <ns0:v>70.06</ns0:v>
      </ns0:c>
      <ns0:c r="AB269" s="26">
        <ns0:f t="shared" si="175"/>
        <ns0:v>42.79</ns0:v>
      </ns0:c>
      <ns0:c r="AC269" s="26">
        <ns0:f t="shared" si="175"/>
        <ns0:v>21.73</ns0:v>
      </ns0:c>
    </ns0:row>
    <ns0:row r="270" spans="1:29">
      <ns0:c r="A270" s="32"/>
      <ns0:c r="B270" s="33"/>
      <ns0:c r="C270" s="36" t="s">
        <ns0:v>52</ns0:v>
      </ns0:c>
      <ns0:c r="D270" s="37"/>
      <ns0:c r="E270" s="26">
        <ns0:f t="shared" ref="E270:E274" si="176">SUM(F270:AC270)</ns0:f>
        <ns0:v>-187.198486</ns0:v>
      </ns0:c>
      <ns0:c r="F270" s="48">
        <ns0:f t="shared" ref="F270:AC270" si="177">-F266*F269</ns0:f>
        <ns0:v>1.868595</ns0:v>
      </ns0:c>
      <ns0:c r="G270" s="48">
        <ns0:f t="shared" si="177"/>
        <ns0:v>2.671104</ns0:v>
      </ns0:c>
      <ns0:c r="H270" s="48">
        <ns0:f t="shared" si="177"/>
        <ns0:v>6.245409</ns0:v>
      </ns0:c>
      <ns0:c r="I270" s="48">
        <ns0:f t="shared" si="177"/>
        <ns0:v>1.063728</ns0:v>
      </ns0:c>
      <ns0:c r="J270" s="48">
        <ns0:f t="shared" si="177"/>
        <ns0:v>-0.2997</ns0:v>
      </ns0:c>
      <ns0:c r="K270" s="48">
        <ns0:f t="shared" si="177"/>
        <ns0:v>0.250246000000001</ns0:v>
      </ns0:c>
      <ns0:c r="L270" s="48">
        <ns0:f t="shared" si="177"/>
        <ns0:v>0.138137999999997</ns0:v>
      </ns0:c>
      <ns0:c r="M270" s="48">
        <ns0:f t="shared" si="177"/>
        <ns0:v>-0.845630000000004</ns0:v>
      </ns0:c>
      <ns0:c r="N270" s="48">
        <ns0:f t="shared" si="177"/>
        <ns0:v>4.26048</ns0:v>
      </ns0:c>
      <ns0:c r="O270" s="48">
        <ns0:f t="shared" si="177"/>
        <ns0:v>8.96255</ns0:v>
      </ns0:c>
      <ns0:c r="P270" s="48">
        <ns0:f t="shared" si="177"/>
        <ns0:v>20.35869</ns0:v>
      </ns0:c>
      <ns0:c r="Q270" s="48">
        <ns0:f t="shared" si="177"/>
        <ns0:v>-0.121715000000011</ns0:v>
      </ns0:c>
      <ns0:c r="R270" s="48">
        <ns0:f t="shared" si="177"/>
        <ns0:v>21.884035</ns0:v>
      </ns0:c>
      <ns0:c r="S270" s="48">
        <ns0:f t="shared" si="177"/>
        <ns0:v>25.137148</ns0:v>
      </ns0:c>
      <ns0:c r="T270" s="48">
        <ns0:f t="shared" si="177"/>
        <ns0:v>37.368</ns0:v>
      </ns0:c>
      <ns0:c r="U270" s="48">
        <ns0:f t="shared" si="177"/>
        <ns0:v>16.846248</ns0:v>
      </ns0:c>
      <ns0:c r="V270" s="48">
        <ns0:f t="shared" si="177"/>
        <ns0:v>-1.06977600000001</ns0:v>
      </ns0:c>
      <ns0:c r="W270" s="48">
        <ns0:f t="shared" si="177"/>
        <ns0:v>-6.130768</ns0:v>
      </ns0:c>
      <ns0:c r="X270" s="48">
        <ns0:f t="shared" si="177"/>
        <ns0:v>-91.091232</ns0:v>
      </ns0:c>
      <ns0:c r="Y270" s="48">
        <ns0:f t="shared" si="177"/>
        <ns0:v>-240.849492</ns0:v>
      </ns0:c>
      <ns0:c r="Z270" s="48">
        <ns0:f t="shared" si="177"/>
        <ns0:v>-31.758496</ns0:v>
      </ns0:c>
      <ns0:c r="AA270" s="48">
        <ns0:f t="shared" si="177"/>
        <ns0:v>21.466384</ns0:v>
      </ns0:c>
      <ns0:c r="AB270" s="48">
        <ns0:f t="shared" si="177"/>
        <ns0:v>12.481843</ns0:v>
      </ns0:c>
      <ns0:c r="AC270" s="48">
        <ns0:f t="shared" si="177"/>
        <ns0:v>3.965725</ns0:v>
      </ns0:c>
    </ns0:row>
    <ns0:row r="271" spans="1:29">
      <ns0:c r="A271" s="32"/>
      <ns0:c r="B271" s="33"/>
      <ns0:c r="C271" s="38" t="s">
        <ns0:v>54</ns0:v>
      </ns0:c>
      <ns0:c r="D271" s="37"/>
      <ns0:c r="E271" s="26">
        <ns0:f t="shared" si="176"/>
        <ns0:v>-187.198486</ns0:v>
      </ns0:c>
      <ns0:c r="F271" s="48">
        <ns0:f t="shared" ref="F271:AC271" si="178">IF(F270&gt;0,ABS(MIN(F265*0.2,ABS(F266))*F269),F270)</ns0:f>
        <ns0:v>1.868595</ns0:v>
      </ns0:c>
      <ns0:c r="G271" s="48">
        <ns0:f t="shared" si="178"/>
        <ns0:v>2.671104</ns0:v>
      </ns0:c>
      <ns0:c r="H271" s="48">
        <ns0:f t="shared" si="178"/>
        <ns0:v>6.245409</ns0:v>
      </ns0:c>
      <ns0:c r="I271" s="48">
        <ns0:f t="shared" si="178"/>
        <ns0:v>1.063728</ns0:v>
      </ns0:c>
      <ns0:c r="J271" s="48">
        <ns0:f t="shared" si="178"/>
        <ns0:v>-0.2997</ns0:v>
      </ns0:c>
      <ns0:c r="K271" s="48">
        <ns0:f t="shared" si="178"/>
        <ns0:v>0.250246000000001</ns0:v>
      </ns0:c>
      <ns0:c r="L271" s="48">
        <ns0:f t="shared" si="178"/>
        <ns0:v>0.138137999999997</ns0:v>
      </ns0:c>
      <ns0:c r="M271" s="48">
        <ns0:f t="shared" si="178"/>
        <ns0:v>-0.845630000000004</ns0:v>
      </ns0:c>
      <ns0:c r="N271" s="48">
        <ns0:f t="shared" si="178"/>
        <ns0:v>4.26048</ns0:v>
      </ns0:c>
      <ns0:c r="O271" s="48">
        <ns0:f t="shared" si="178"/>
        <ns0:v>8.96255</ns0:v>
      </ns0:c>
      <ns0:c r="P271" s="48">
        <ns0:f t="shared" si="178"/>
        <ns0:v>20.35869</ns0:v>
      </ns0:c>
      <ns0:c r="Q271" s="48">
        <ns0:f t="shared" si="178"/>
        <ns0:v>-0.121715000000011</ns0:v>
      </ns0:c>
      <ns0:c r="R271" s="48">
        <ns0:f t="shared" si="178"/>
        <ns0:v>21.884035</ns0:v>
      </ns0:c>
      <ns0:c r="S271" s="48">
        <ns0:f t="shared" si="178"/>
        <ns0:v>25.137148</ns0:v>
      </ns0:c>
      <ns0:c r="T271" s="48">
        <ns0:f t="shared" si="178"/>
        <ns0:v>37.368</ns0:v>
      </ns0:c>
      <ns0:c r="U271" s="48">
        <ns0:f t="shared" si="178"/>
        <ns0:v>16.846248</ns0:v>
      </ns0:c>
      <ns0:c r="V271" s="48">
        <ns0:f t="shared" si="178"/>
        <ns0:v>-1.06977600000001</ns0:v>
      </ns0:c>
      <ns0:c r="W271" s="48">
        <ns0:f t="shared" si="178"/>
        <ns0:v>-6.130768</ns0:v>
      </ns0:c>
      <ns0:c r="X271" s="48">
        <ns0:f t="shared" si="178"/>
        <ns0:v>-91.091232</ns0:v>
      </ns0:c>
      <ns0:c r="Y271" s="48">
        <ns0:f t="shared" si="178"/>
        <ns0:v>-240.849492</ns0:v>
      </ns0:c>
      <ns0:c r="Z271" s="48">
        <ns0:f t="shared" si="178"/>
        <ns0:v>-31.758496</ns0:v>
      </ns0:c>
      <ns0:c r="AA271" s="48">
        <ns0:f t="shared" si="178"/>
        <ns0:v>21.466384</ns0:v>
      </ns0:c>
      <ns0:c r="AB271" s="48">
        <ns0:f t="shared" si="178"/>
        <ns0:v>12.481843</ns0:v>
      </ns0:c>
      <ns0:c r="AC271" s="48">
        <ns0:f t="shared" si="178"/>
        <ns0:v>3.965725</ns0:v>
      </ns0:c>
    </ns0:row>
    <ns0:row r="272" spans="1:29">
      <ns0:c r="A272" s="32"/>
      <ns0:c r="B272" s="33"/>
      <ns0:c r="C272" s="51" t="s">
        <ns0:v>50</ns0:v>
      </ns0:c>
      <ns0:c r="D272" s="52"/>
      <ns0:c r="E272" s="44">
        <ns0:f t="shared" ref="E272:AC272" si="179">E270-E271</ns0:f>
        <ns0:v>0</ns0:v>
      </ns0:c>
      <ns0:c r="F272" s="26">
        <ns0:f t="shared" si="179"/>
        <ns0:v>0</ns0:v>
      </ns0:c>
      <ns0:c r="G272" s="26">
        <ns0:f t="shared" si="179"/>
        <ns0:v>0</ns0:v>
      </ns0:c>
      <ns0:c r="H272" s="26">
        <ns0:f t="shared" si="179"/>
        <ns0:v>0</ns0:v>
      </ns0:c>
      <ns0:c r="I272" s="26">
        <ns0:f t="shared" si="179"/>
        <ns0:v>0</ns0:v>
      </ns0:c>
      <ns0:c r="J272" s="26">
        <ns0:f t="shared" si="179"/>
        <ns0:v>0</ns0:v>
      </ns0:c>
      <ns0:c r="K272" s="26">
        <ns0:f t="shared" si="179"/>
        <ns0:v>0</ns0:v>
      </ns0:c>
      <ns0:c r="L272" s="26">
        <ns0:f t="shared" si="179"/>
        <ns0:v>0</ns0:v>
      </ns0:c>
      <ns0:c r="M272" s="26">
        <ns0:f t="shared" si="179"/>
        <ns0:v>0</ns0:v>
      </ns0:c>
      <ns0:c r="N272" s="26">
        <ns0:f t="shared" si="179"/>
        <ns0:v>0</ns0:v>
      </ns0:c>
      <ns0:c r="O272" s="26">
        <ns0:f t="shared" si="179"/>
        <ns0:v>0</ns0:v>
      </ns0:c>
      <ns0:c r="P272" s="26">
        <ns0:f t="shared" si="179"/>
        <ns0:v>0</ns0:v>
      </ns0:c>
      <ns0:c r="Q272" s="26">
        <ns0:f t="shared" si="179"/>
        <ns0:v>0</ns0:v>
      </ns0:c>
      <ns0:c r="R272" s="26">
        <ns0:f t="shared" si="179"/>
        <ns0:v>0</ns0:v>
      </ns0:c>
      <ns0:c r="S272" s="26">
        <ns0:f t="shared" si="179"/>
        <ns0:v>0</ns0:v>
      </ns0:c>
      <ns0:c r="T272" s="26">
        <ns0:f t="shared" si="179"/>
        <ns0:v>0</ns0:v>
      </ns0:c>
      <ns0:c r="U272" s="26">
        <ns0:f t="shared" si="179"/>
        <ns0:v>0</ns0:v>
      </ns0:c>
      <ns0:c r="V272" s="26">
        <ns0:f t="shared" si="179"/>
        <ns0:v>0</ns0:v>
      </ns0:c>
      <ns0:c r="W272" s="26">
        <ns0:f t="shared" si="179"/>
        <ns0:v>0</ns0:v>
      </ns0:c>
      <ns0:c r="X272" s="26">
        <ns0:f t="shared" si="179"/>
        <ns0:v>0</ns0:v>
      </ns0:c>
      <ns0:c r="Y272" s="26">
        <ns0:f t="shared" si="179"/>
        <ns0:v>0</ns0:v>
      </ns0:c>
      <ns0:c r="Z272" s="26">
        <ns0:f t="shared" si="179"/>
        <ns0:v>0</ns0:v>
      </ns0:c>
      <ns0:c r="AA272" s="26">
        <ns0:f t="shared" si="179"/>
        <ns0:v>0</ns0:v>
      </ns0:c>
      <ns0:c r="AB272" s="26">
        <ns0:f t="shared" si="179"/>
        <ns0:v>0</ns0:v>
      </ns0:c>
      <ns0:c r="AC272" s="26">
        <ns0:f t="shared" si="179"/>
        <ns0:v>0</ns0:v>
      </ns0:c>
    </ns0:row>
    <ns0:row r="273" spans="1:29">
      <ns0:c r="A273" s="29">
        <ns0:v>46022</ns0:v>
      </ns0:c>
      <ns0:c r="B273" s="30">
        <ns0:f>E280</ns0:f>
        <ns0:v>356.8262348</ns0:v>
      </ns0:c>
      <ns0:c r="C273" s="31" t="s">
        <ns0:v>47</ns0:v>
      </ns0:c>
      <ns0:c r="D273" s="31" t="s">
        <ns0:v>48</ns0:v>
      </ns0:c>
      <ns0:c r="E273" s="42">
        <ns0:f t="shared" si="176"/>
        <ns0:v>63.425</ns0:v>
      </ns0:c>
      <ns0:c r="F273" s="47">
        <ns0:v>1.512</ns0:v>
      </ns0:c>
      <ns0:c r="G273" s="47">
        <ns0:v>1.864</ns0:v>
      </ns0:c>
      <ns0:c r="H273" s="47">
        <ns0:v>1.322</ns0:v>
      </ns0:c>
      <ns0:c r="I273" s="47">
        <ns0:v>1.486</ns0:v>
      </ns0:c>
      <ns0:c r="J273" s="47">
        <ns0:v>1.517</ns0:v>
      </ns0:c>
      <ns0:c r="K273" s="47">
        <ns0:v>1.33</ns0:v>
      </ns0:c>
      <ns0:c r="L273" s="47">
        <ns0:v>1.747</ns0:v>
      </ns0:c>
      <ns0:c r="M273" s="47">
        <ns0:v>2.161</ns0:v>
      </ns0:c>
      <ns0:c r="N273" s="47">
        <ns0:v>4.819</ns0:v>
      </ns0:c>
      <ns0:c r="O273" s="47">
        <ns0:v>4.326</ns0:v>
      </ns0:c>
      <ns0:c r="P273" s="47">
        <ns0:v>3.005</ns0:v>
      </ns0:c>
      <ns0:c r="Q273" s="47">
        <ns0:v>2.879</ns0:v>
      </ns0:c>
      <ns0:c r="R273" s="47">
        <ns0:v>2.32</ns0:v>
      </ns0:c>
      <ns0:c r="S273" s="47">
        <ns0:v>3.091</ns0:v>
      </ns0:c>
      <ns0:c r="T273" s="47">
        <ns0:v>3.205</ns0:v>
      </ns0:c>
      <ns0:c r="U273" s="47">
        <ns0:v>2.659</ns0:v>
      </ns0:c>
      <ns0:c r="V273" s="47">
        <ns0:v>4.388</ns0:v>
      </ns0:c>
      <ns0:c r="W273" s="47">
        <ns0:v>4.066</ns0:v>
      </ns0:c>
      <ns0:c r="X273" s="47">
        <ns0:v>3.742</ns0:v>
      </ns0:c>
      <ns0:c r="Y273" s="47">
        <ns0:v>2.878</ns0:v>
      </ns0:c>
      <ns0:c r="Z273" s="47">
        <ns0:v>3.452</ns0:v>
      </ns0:c>
      <ns0:c r="AA273" s="47">
        <ns0:v>2.306</ns0:v>
      </ns0:c>
      <ns0:c r="AB273" s="47">
        <ns0:v>1.782</ns0:v>
      </ns0:c>
      <ns0:c r="AC273" s="47">
        <ns0:v>1.568</ns0:v>
      </ns0:c>
    </ns0:row>
    <ns0:row r="274" spans="1:29">
      <ns0:c r="A274" s="32"/>
      <ns0:c r="B274" s="33"/>
      <ns0:c r="C274" s="32"/>
      <ns0:c r="D274" s="6" t="s">
        <ns0:v>49</ns0:v>
      </ns0:c>
      <ns0:c r="E274" s="42">
        <ns0:f t="shared" si="176"/>
        <ns0:v>65.2793</ns0:v>
      </ns0:c>
      <ns0:c r="F274" s="46">
        <ns0:v>1.7356</ns0:v>
      </ns0:c>
      <ns0:c r="G274" s="46">
        <ns0:v>1.733</ns0:v>
      </ns0:c>
      <ns0:c r="H274" s="46">
        <ns0:v>1.7353</ns0:v>
      </ns0:c>
      <ns0:c r="I274" s="46">
        <ns0:v>1.7277</ns0:v>
      </ns0:c>
      <ns0:c r="J274" s="46">
        <ns0:v>1.655</ns0:v>
      </ns0:c>
      <ns0:c r="K274" s="46">
        <ns0:v>1.6331</ns0:v>
      </ns0:c>
      <ns0:c r="L274" s="46">
        <ns0:v>1.6269</ns0:v>
      </ns0:c>
      <ns0:c r="M274" s="46">
        <ns0:v>2.0913</ns0:v>
      </ns0:c>
      <ns0:c r="N274" s="46">
        <ns0:v>4.5506</ns0:v>
      </ns0:c>
      <ns0:c r="O274" s="46">
        <ns0:v>4.7365</ns0:v>
      </ns0:c>
      <ns0:c r="P274" s="46">
        <ns0:v>4.3133</ns0:v>
      </ns0:c>
      <ns0:c r="Q274" s="46">
        <ns0:v>3.8531</ns0:v>
      </ns0:c>
      <ns0:c r="R274" s="46">
        <ns0:v>2.8212</ns0:v>
      </ns0:c>
      <ns0:c r="S274" s="46">
        <ns0:v>3.5752</ns0:v>
      </ns0:c>
      <ns0:c r="T274" s="46">
        <ns0:v>4.288</ns0:v>
      </ns0:c>
      <ns0:c r="U274" s="46">
        <ns0:v>4.1042</ns0:v>
      </ns0:c>
      <ns0:c r="V274" s="46">
        <ns0:v>4.0239</ns0:v>
      </ns0:c>
      <ns0:c r="W274" s="46">
        <ns0:v>3.4929</ns0:v>
      </ns0:c>
      <ns0:c r="X274" s="46">
        <ns0:v>2.8079</ns0:v>
      </ns0:c>
      <ns0:c r="Y274" s="46">
        <ns0:v>2.6478</ns0:v>
      </ns0:c>
      <ns0:c r="Z274" s="46">
        <ns0:v>2.1253</ns0:v>
      </ns0:c>
      <ns0:c r="AA274" s="46">
        <ns0:v>1.6265</ns0:v>
      </ns0:c>
      <ns0:c r="AB274" s="46">
        <ns0:v>1.2981</ns0:v>
      </ns0:c>
      <ns0:c r="AC274" s="46">
        <ns0:v>1.0769</ns0:v>
      </ns0:c>
    </ns0:row>
    <ns0:row r="275" spans="1:29">
      <ns0:c r="A275" s="32"/>
      <ns0:c r="B275" s="33"/>
      <ns0:c r="C275" s="34"/>
      <ns0:c r="D275" s="31" t="s">
        <ns0:v>50</ns0:v>
      </ns0:c>
      <ns0:c r="E275" s="26">
        <ns0:f t="shared" ref="E275:AC275" si="180">E273-E274</ns0:f>
        <ns0:v>-1.85430000000002</ns0:v>
      </ns0:c>
      <ns0:c r="F275" s="26">
        <ns0:f t="shared" si="180"/>
        <ns0:v>-0.2236</ns0:v>
      </ns0:c>
      <ns0:c r="G275" s="26">
        <ns0:f t="shared" si="180"/>
        <ns0:v>0.131</ns0:v>
      </ns0:c>
      <ns0:c r="H275" s="26">
        <ns0:f t="shared" si="180"/>
        <ns0:v>-0.4133</ns0:v>
      </ns0:c>
      <ns0:c r="I275" s="26">
        <ns0:f t="shared" si="180"/>
        <ns0:v>-0.2417</ns0:v>
      </ns0:c>
      <ns0:c r="J275" s="26">
        <ns0:f t="shared" si="180"/>
        <ns0:v>-0.138</ns0:v>
      </ns0:c>
      <ns0:c r="K275" s="26">
        <ns0:f t="shared" si="180"/>
        <ns0:v>-0.3031</ns0:v>
      </ns0:c>
      <ns0:c r="L275" s="26">
        <ns0:f t="shared" si="180"/>
        <ns0:v>0.1201</ns0:v>
      </ns0:c>
      <ns0:c r="M275" s="26">
        <ns0:f t="shared" si="180"/>
        <ns0:v>0.0697000000000001</ns0:v>
      </ns0:c>
      <ns0:c r="N275" s="26">
        <ns0:f t="shared" si="180"/>
        <ns0:v>0.2684</ns0:v>
      </ns0:c>
      <ns0:c r="O275" s="26">
        <ns0:f t="shared" si="180"/>
        <ns0:v>-0.410500000000001</ns0:v>
      </ns0:c>
      <ns0:c r="P275" s="26">
        <ns0:f t="shared" si="180"/>
        <ns0:v>-1.3083</ns0:v>
      </ns0:c>
      <ns0:c r="Q275" s="26">
        <ns0:f t="shared" si="180"/>
        <ns0:v>-0.9741</ns0:v>
      </ns0:c>
      <ns0:c r="R275" s="26">
        <ns0:f t="shared" si="180"/>
        <ns0:v>-0.5012</ns0:v>
      </ns0:c>
      <ns0:c r="S275" s="26">
        <ns0:f t="shared" si="180"/>
        <ns0:v>-0.4842</ns0:v>
      </ns0:c>
      <ns0:c r="T275" s="26">
        <ns0:f t="shared" si="180"/>
        <ns0:v>-1.083</ns0:v>
      </ns0:c>
      <ns0:c r="U275" s="26">
        <ns0:f t="shared" si="180"/>
        <ns0:v>-1.4452</ns0:v>
      </ns0:c>
      <ns0:c r="V275" s="26">
        <ns0:f t="shared" si="180"/>
        <ns0:v>0.3641</ns0:v>
      </ns0:c>
      <ns0:c r="W275" s="26">
        <ns0:f t="shared" si="180"/>
        <ns0:v>0.5731</ns0:v>
      </ns0:c>
      <ns0:c r="X275" s="26">
        <ns0:f t="shared" si="180"/>
        <ns0:v>0.9341</ns0:v>
      </ns0:c>
      <ns0:c r="Y275" s="26">
        <ns0:f t="shared" si="180"/>
        <ns0:v>0.2302</ns0:v>
      </ns0:c>
      <ns0:c r="Z275" s="26">
        <ns0:f t="shared" si="180"/>
        <ns0:v>1.3267</ns0:v>
      </ns0:c>
      <ns0:c r="AA275" s="26">
        <ns0:f t="shared" si="180"/>
        <ns0:v>0.6795</ns0:v>
      </ns0:c>
      <ns0:c r="AB275" s="26">
        <ns0:f t="shared" si="180"/>
        <ns0:v>0.4839</ns0:v>
      </ns0:c>
      <ns0:c r="AC275" s="26">
        <ns0:f t="shared" si="180"/>
        <ns0:v>0.4911</ns0:v>
      </ns0:c>
    </ns0:row>
    <ns0:row r="276" spans="1:29">
      <ns0:c r="A276" s="32"/>
      <ns0:c r="B276" s="33"/>
      <ns0:c r="C276" s="35" t="s">
        <ns0:v>51</ns0:v>
      </ns0:c>
      <ns0:c r="D276" s="31" t="s">
        <ns0:v>48</ns0:v>
      </ns0:c>
      <ns0:c r="E276" s="31">
        <ns0:f>AVERAGE(F276:AC276)</ns0:f>
        <ns0:v>288.664583333333</ns0:v>
      </ns0:c>
      <ns0:c r="F276" s="43">
        <ns0:v>302.3</ns0:v>
      </ns0:c>
      <ns0:c r="G276" s="43">
        <ns0:v>303.92</ns0:v>
      </ns0:c>
      <ns0:c r="H276" s="43">
        <ns0:v>306.43</ns0:v>
      </ns0:c>
      <ns0:c r="I276" s="43">
        <ns0:v>296</ns0:v>
      </ns0:c>
      <ns0:c r="J276" s="43">
        <ns0:v>288.36</ns0:v>
      </ns0:c>
      <ns0:c r="K276" s="43">
        <ns0:v>284.89</ns0:v>
      </ns0:c>
      <ns0:c r="L276" s="43">
        <ns0:v>296.69</ns0:v>
      </ns0:c>
      <ns0:c r="M276" s="43">
        <ns0:v>310.27</ns0:v>
      </ns0:c>
      <ns0:c r="N276" s="43">
        <ns0:v>321.01</ns0:v>
      </ns0:c>
      <ns0:c r="O276" s="43">
        <ns0:v>309.89</ns0:v>
      </ns0:c>
      <ns0:c r="P276" s="43">
        <ns0:v>274.11</ns0:v>
      </ns0:c>
      <ns0:c r="Q276" s="43">
        <ns0:v>234.2</ns0:v>
      </ns0:c>
      <ns0:c r="R276" s="43">
        <ns0:v>147.66</ns0:v>
      </ns0:c>
      <ns0:c r="S276" s="43">
        <ns0:v>204.44</ns0:v>
      </ns0:c>
      <ns0:c r="T276" s="43">
        <ns0:v>223.61</ns0:v>
      </ns0:c>
      <ns0:c r="U276" s="43">
        <ns0:v>250.62</ns0:v>
      </ns0:c>
      <ns0:c r="V276" s="43">
        <ns0:v>288.7</ns0:v>
      </ns0:c>
      <ns0:c r="W276" s="43">
        <ns0:v>323</ns0:v>
      </ns0:c>
      <ns0:c r="X276" s="43">
        <ns0:v>334.95</ns0:v>
      </ns0:c>
      <ns0:c r="Y276" s="43">
        <ns0:v>335.17</ns0:v>
      </ns0:c>
      <ns0:c r="Z276" s="43">
        <ns0:v>335.72</ns0:v>
      </ns0:c>
      <ns0:c r="AA276" s="43">
        <ns0:v>335.47</ns0:v>
      </ns0:c>
      <ns0:c r="AB276" s="43">
        <ns0:v>323.12</ns0:v>
      </ns0:c>
      <ns0:c r="AC276" s="43">
        <ns0:v>297.42</ns0:v>
      </ns0:c>
    </ns0:row>
    <ns0:row r="277" spans="1:29">
      <ns0:c r="A277" s="32"/>
      <ns0:c r="B277" s="33"/>
      <ns0:c r="C277" s="32"/>
      <ns0:c r="D277" s="31" t="s">
        <ns0:v>49</ns0:v>
      </ns0:c>
      <ns0:c r="E277" s="31">
        <ns0:f>AVERAGE(F277:AC277)</ns0:f>
        <ns0:v>247.0225</ns0:v>
      </ns0:c>
      <ns0:c r="F277" s="43">
        <ns0:v>303.57</ns0:v>
      </ns0:c>
      <ns0:c r="G277" s="43">
        <ns0:v>302.67</ns0:v>
      </ns0:c>
      <ns0:c r="H277" s="43">
        <ns0:v>296.43</ns0:v>
      </ns0:c>
      <ns0:c r="I277" s="43">
        <ns0:v>283.5</ns0:v>
      </ns0:c>
      <ns0:c r="J277" s="43">
        <ns0:v>274.78</ns0:v>
      </ns0:c>
      <ns0:c r="K277" s="43">
        <ns0:v>268.6</ns0:v>
      </ns0:c>
      <ns0:c r="L277" s="43">
        <ns0:v>288.51</ns0:v>
      </ns0:c>
      <ns0:c r="M277" s="43">
        <ns0:v>305.52</ns0:v>
      </ns0:c>
      <ns0:c r="N277" s="43">
        <ns0:v>318.59</ns0:v>
      </ns0:c>
      <ns0:c r="O277" s="43">
        <ns0:v>286.84</ns0:v>
      </ns0:c>
      <ns0:c r="P277" s="43">
        <ns0:v>199.68</ns0:v>
      </ns0:c>
      <ns0:c r="Q277" s="43">
        <ns0:v>156.56</ns0:v>
      </ns0:c>
      <ns0:c r="R277" s="43">
        <ns0:v>90.65</ns0:v>
      </ns0:c>
      <ns0:c r="S277" s="43">
        <ns0:v>93.14</ns0:v>
      </ns0:c>
      <ns0:c r="T277" s="43">
        <ns0:v>40.49</ns0:v>
      </ns0:c>
      <ns0:c r="U277" s="43">
        <ns0:v>89.74</ns0:v>
      </ns0:c>
      <ns0:c r="V277" s="43">
        <ns0:v>260.59</ns0:v>
      </ns0:c>
      <ns0:c r="W277" s="43">
        <ns0:v>302.25</ns0:v>
      </ns0:c>
      <ns0:c r="X277" s="43">
        <ns0:v>300.87</ns0:v>
      </ns0:c>
      <ns0:c r="Y277" s="43">
        <ns0:v>297.07</ns0:v>
      </ns0:c>
      <ns0:c r="Z277" s="43">
        <ns0:v>300.76</ns0:v>
      </ns0:c>
      <ns0:c r="AA277" s="43">
        <ns0:v>298.88</ns0:v>
      </ns0:c>
      <ns0:c r="AB277" s="43">
        <ns0:v>291.42</ns0:v>
      </ns0:c>
      <ns0:c r="AC277" s="43">
        <ns0:v>277.43</ns0:v>
      </ns0:c>
    </ns0:row>
    <ns0:row r="278" spans="1:29">
      <ns0:c r="A278" s="32"/>
      <ns0:c r="B278" s="33"/>
      <ns0:c r="C278" s="34"/>
      <ns0:c r="D278" s="31" t="s">
        <ns0:v>50</ns0:v>
      </ns0:c>
      <ns0:c r="E278" s="26">
        <ns0:f t="shared" ref="E278:AC278" si="181">E276-E277</ns0:f>
        <ns0:v>41.6420833333333</ns0:v>
      </ns0:c>
      <ns0:c r="F278" s="26">
        <ns0:f t="shared" si="181"/>
        <ns0:v>-1.26999999999998</ns0:v>
      </ns0:c>
      <ns0:c r="G278" s="26">
        <ns0:f t="shared" si="181"/>
        <ns0:v>1.25</ns0:v>
      </ns0:c>
      <ns0:c r="H278" s="26">
        <ns0:f t="shared" si="181"/>
        <ns0:v>10</ns0:v>
      </ns0:c>
      <ns0:c r="I278" s="26">
        <ns0:f t="shared" si="181"/>
        <ns0:v>12.5</ns0:v>
      </ns0:c>
      <ns0:c r="J278" s="26">
        <ns0:f t="shared" si="181"/>
        <ns0:v>13.58</ns0:v>
      </ns0:c>
      <ns0:c r="K278" s="26">
        <ns0:f t="shared" si="181"/>
        <ns0:v>16.29</ns0:v>
      </ns0:c>
      <ns0:c r="L278" s="26">
        <ns0:f t="shared" si="181"/>
        <ns0:v>8.18000000000001</ns0:v>
      </ns0:c>
      <ns0:c r="M278" s="26">
        <ns0:f t="shared" si="181"/>
        <ns0:v>4.75</ns0:v>
      </ns0:c>
      <ns0:c r="N278" s="26">
        <ns0:f t="shared" si="181"/>
        <ns0:v>2.42000000000002</ns0:v>
      </ns0:c>
      <ns0:c r="O278" s="26">
        <ns0:f t="shared" si="181"/>
        <ns0:v>23.05</ns0:v>
      </ns0:c>
      <ns0:c r="P278" s="26">
        <ns0:f t="shared" si="181"/>
        <ns0:v>74.43</ns0:v>
      </ns0:c>
      <ns0:c r="Q278" s="26">
        <ns0:f t="shared" si="181"/>
        <ns0:v>77.64</ns0:v>
      </ns0:c>
      <ns0:c r="R278" s="26">
        <ns0:f t="shared" si="181"/>
        <ns0:v>57.01</ns0:v>
      </ns0:c>
      <ns0:c r="S278" s="26">
        <ns0:f t="shared" si="181"/>
        <ns0:v>111.3</ns0:v>
      </ns0:c>
      <ns0:c r="T278" s="26">
        <ns0:f t="shared" si="181"/>
        <ns0:v>183.12</ns0:v>
      </ns0:c>
      <ns0:c r="U278" s="26">
        <ns0:f t="shared" si="181"/>
        <ns0:v>160.88</ns0:v>
      </ns0:c>
      <ns0:c r="V278" s="26">
        <ns0:f t="shared" si="181"/>
        <ns0:v>28.11</ns0:v>
      </ns0:c>
      <ns0:c r="W278" s="26">
        <ns0:f t="shared" si="181"/>
        <ns0:v>20.75</ns0:v>
      </ns0:c>
      <ns0:c r="X278" s="26">
        <ns0:f t="shared" si="181"/>
        <ns0:v>34.08</ns0:v>
      </ns0:c>
      <ns0:c r="Y278" s="26">
        <ns0:f t="shared" si="181"/>
        <ns0:v>38.1</ns0:v>
      </ns0:c>
      <ns0:c r="Z278" s="26">
        <ns0:f t="shared" si="181"/>
        <ns0:v>34.96</ns0:v>
      </ns0:c>
      <ns0:c r="AA278" s="26">
        <ns0:f t="shared" si="181"/>
        <ns0:v>36.59</ns0:v>
      </ns0:c>
      <ns0:c r="AB278" s="26">
        <ns0:f t="shared" si="181"/>
        <ns0:v>31.7</ns0:v>
      </ns0:c>
      <ns0:c r="AC278" s="26">
        <ns0:f t="shared" si="181"/>
        <ns0:v>19.99</ns0:v>
      </ns0:c>
    </ns0:row>
    <ns0:row r="279" spans="1:29">
      <ns0:c r="A279" s="32"/>
      <ns0:c r="B279" s="33"/>
      <ns0:c r="C279" s="36" t="s">
        <ns0:v>52</ns0:v>
      </ns0:c>
      <ns0:c r="D279" s="37"/>
      <ns0:c r="E279" s="26">
        <ns0:f>SUM(F279:AC279)</ns0:f>
        <ns0:v>548.178092</ns0:v>
      </ns0:c>
      <ns0:c r="F279" s="48">
        <ns0:f t="shared" ref="F279:AC279" si="182">-F275*F278</ns0:f>
        <ns0:v>-0.283971999999996</ns0:v>
      </ns0:c>
      <ns0:c r="G279" s="48">
        <ns0:f t="shared" si="182"/>
        <ns0:v>-0.16375</ns0:v>
      </ns0:c>
      <ns0:c r="H279" s="48">
        <ns0:f t="shared" si="182"/>
        <ns0:v>4.133</ns0:v>
      </ns0:c>
      <ns0:c r="I279" s="48">
        <ns0:f t="shared" si="182"/>
        <ns0:v>3.02125</ns0:v>
      </ns0:c>
      <ns0:c r="J279" s="48">
        <ns0:f t="shared" si="182"/>
        <ns0:v>1.87404</ns0:v>
      </ns0:c>
      <ns0:c r="K279" s="48">
        <ns0:f t="shared" si="182"/>
        <ns0:v>4.937499</ns0:v>
      </ns0:c>
      <ns0:c r="L279" s="48">
        <ns0:f t="shared" si="182"/>
        <ns0:v>-0.982418000000002</ns0:v>
      </ns0:c>
      <ns0:c r="M279" s="48">
        <ns0:f t="shared" si="182"/>
        <ns0:v>-0.331075</ns0:v>
      </ns0:c>
      <ns0:c r="N279" s="48">
        <ns0:f t="shared" si="182"/>
        <ns0:v>-0.649528000000005</ns0:v>
      </ns0:c>
      <ns0:c r="O279" s="48">
        <ns0:f t="shared" si="182"/>
        <ns0:v>9.46202500000002</ns0:v>
      </ns0:c>
      <ns0:c r="P279" s="48">
        <ns0:f t="shared" si="182"/>
        <ns0:v>97.376769</ns0:v>
      </ns0:c>
      <ns0:c r="Q279" s="48">
        <ns0:f t="shared" si="182"/>
        <ns0:v>75.629124</ns0:v>
      </ns0:c>
      <ns0:c r="R279" s="48">
        <ns0:f t="shared" si="182"/>
        <ns0:v>28.573412</ns0:v>
      </ns0:c>
      <ns0:c r="S279" s="48">
        <ns0:f t="shared" si="182"/>
        <ns0:v>53.89146</ns0:v>
      </ns0:c>
      <ns0:c r="T279" s="48">
        <ns0:f t="shared" si="182"/>
        <ns0:v>198.31896</ns0:v>
      </ns0:c>
      <ns0:c r="U279" s="48">
        <ns0:f t="shared" si="182"/>
        <ns0:v>232.503776</ns0:v>
      </ns0:c>
      <ns0:c r="V279" s="48">
        <ns0:f t="shared" si="182"/>
        <ns0:v>-10.234851</ns0:v>
      </ns0:c>
      <ns0:c r="W279" s="48">
        <ns0:f t="shared" si="182"/>
        <ns0:v>-11.891825</ns0:v>
      </ns0:c>
      <ns0:c r="X279" s="48">
        <ns0:f t="shared" si="182"/>
        <ns0:v>-31.834128</ns0:v>
      </ns0:c>
      <ns0:c r="Y279" s="48">
        <ns0:f t="shared" si="182"/>
        <ns0:v>-8.77062</ns0:v>
      </ns0:c>
      <ns0:c r="Z279" s="48">
        <ns0:f t="shared" si="182"/>
        <ns0:v>-46.381432</ns0:v>
      </ns0:c>
      <ns0:c r="AA279" s="48">
        <ns0:f t="shared" si="182"/>
        <ns0:v>-24.862905</ns0:v>
      </ns0:c>
      <ns0:c r="AB279" s="48">
        <ns0:f t="shared" si="182"/>
        <ns0:v>-15.33963</ns0:v>
      </ns0:c>
      <ns0:c r="AC279" s="48">
        <ns0:f t="shared" si="182"/>
        <ns0:v>-9.817089</ns0:v>
      </ns0:c>
    </ns0:row>
    <ns0:row r="280" spans="1:29">
      <ns0:c r="A280" s="32"/>
      <ns0:c r="B280" s="33"/>
      <ns0:c r="C280" s="38" t="s">
        <ns0:v>54</ns0:v>
      </ns0:c>
      <ns0:c r="D280" s="37"/>
      <ns0:c r="E280" s="26">
        <ns0:f>SUM(F280:AC280)</ns0:f>
        <ns0:v>356.8262348</ns0:v>
      </ns0:c>
      <ns0:c r="F280" s="48">
        <ns0:f t="shared" ref="F280:AC280" si="183">IF(F279&gt;0,ABS(MIN(F274*0.2,ABS(F275))*F278),F279)</ns0:f>
        <ns0:v>-0.283971999999996</ns0:v>
      </ns0:c>
      <ns0:c r="G280" s="48">
        <ns0:f t="shared" si="183"/>
        <ns0:v>-0.16375</ns0:v>
      </ns0:c>
      <ns0:c r="H280" s="48">
        <ns0:f t="shared" si="183"/>
        <ns0:v>3.4706</ns0:v>
      </ns0:c>
      <ns0:c r="I280" s="48">
        <ns0:f t="shared" si="183"/>
        <ns0:v>3.02125</ns0:v>
      </ns0:c>
      <ns0:c r="J280" s="48">
        <ns0:f t="shared" si="183"/>
        <ns0:v>1.87404</ns0:v>
      </ns0:c>
      <ns0:c r="K280" s="48">
        <ns0:f t="shared" si="183"/>
        <ns0:v>4.937499</ns0:v>
      </ns0:c>
      <ns0:c r="L280" s="48">
        <ns0:f t="shared" si="183"/>
        <ns0:v>-0.982418000000002</ns0:v>
      </ns0:c>
      <ns0:c r="M280" s="48">
        <ns0:f t="shared" si="183"/>
        <ns0:v>-0.331075</ns0:v>
      </ns0:c>
      <ns0:c r="N280" s="48">
        <ns0:f t="shared" si="183"/>
        <ns0:v>-0.649528000000005</ns0:v>
      </ns0:c>
      <ns0:c r="O280" s="48">
        <ns0:f t="shared" si="183"/>
        <ns0:v>9.46202500000002</ns0:v>
      </ns0:c>
      <ns0:c r="P280" s="48">
        <ns0:f t="shared" si="183"/>
        <ns0:v>64.2077838</ns0:v>
      </ns0:c>
      <ns0:c r="Q280" s="48">
        <ns0:f t="shared" si="183"/>
        <ns0:v>59.8309368</ns0:v>
      </ns0:c>
      <ns0:c r="R280" s="48">
        <ns0:f t="shared" si="183"/>
        <ns0:v>28.573412</ns0:v>
      </ns0:c>
      <ns0:c r="S280" s="48">
        <ns0:f t="shared" si="183"/>
        <ns0:v>53.89146</ns0:v>
      </ns0:c>
      <ns0:c r="T280" s="48">
        <ns0:f t="shared" si="183"/>
        <ns0:v>157.043712</ns0:v>
      </ns0:c>
      <ns0:c r="U280" s="48">
        <ns0:f t="shared" si="183"/>
        <ns0:v>132.0567392</ns0:v>
      </ns0:c>
      <ns0:c r="V280" s="48">
        <ns0:f t="shared" si="183"/>
        <ns0:v>-10.234851</ns0:v>
      </ns0:c>
      <ns0:c r="W280" s="48">
        <ns0:f t="shared" si="183"/>
        <ns0:v>-11.891825</ns0:v>
      </ns0:c>
      <ns0:c r="X280" s="48">
        <ns0:f t="shared" si="183"/>
        <ns0:v>-31.834128</ns0:v>
      </ns0:c>
      <ns0:c r="Y280" s="48">
        <ns0:f t="shared" si="183"/>
        <ns0:v>-8.77062</ns0:v>
      </ns0:c>
      <ns0:c r="Z280" s="48">
        <ns0:f t="shared" si="183"/>
        <ns0:v>-46.381432</ns0:v>
      </ns0:c>
      <ns0:c r="AA280" s="48">
        <ns0:f t="shared" si="183"/>
        <ns0:v>-24.862905</ns0:v>
      </ns0:c>
      <ns0:c r="AB280" s="48">
        <ns0:f t="shared" si="183"/>
        <ns0:v>-15.33963</ns0:v>
      </ns0:c>
      <ns0:c r="AC280" s="48">
        <ns0:f t="shared" si="183"/>
        <ns0:v>-9.817089</ns0:v>
      </ns0:c>
    </ns0:row>
    <ns0:row r="281" spans="1:29">
      <ns0:c r="A281" s="32"/>
      <ns0:c r="B281" s="33"/>
      <ns0:c r="C281" s="51" t="s">
        <ns0:v>50</ns0:v>
      </ns0:c>
      <ns0:c r="D281" s="52"/>
      <ns0:c r="E281" s="44">
        <ns0:f t="shared" ref="E281:AC281" si="184">E279-E280</ns0:f>
        <ns0:v>191.3518572</ns0:v>
      </ns0:c>
      <ns0:c r="F281" s="26">
        <ns0:f t="shared" si="184"/>
        <ns0:v>0</ns0:v>
      </ns0:c>
      <ns0:c r="G281" s="26">
        <ns0:f t="shared" si="184"/>
        <ns0:v>0</ns0:v>
      </ns0:c>
      <ns0:c r="H281" s="26">
        <ns0:f t="shared" si="184"/>
        <ns0:v>0.6624</ns0:v>
      </ns0:c>
      <ns0:c r="I281" s="26">
        <ns0:f t="shared" si="184"/>
        <ns0:v>0</ns0:v>
      </ns0:c>
      <ns0:c r="J281" s="26">
        <ns0:f t="shared" si="184"/>
        <ns0:v>0</ns0:v>
      </ns0:c>
      <ns0:c r="K281" s="26">
        <ns0:f t="shared" si="184"/>
        <ns0:v>0</ns0:v>
      </ns0:c>
      <ns0:c r="L281" s="26">
        <ns0:f t="shared" si="184"/>
        <ns0:v>0</ns0:v>
      </ns0:c>
      <ns0:c r="M281" s="26">
        <ns0:f t="shared" si="184"/>
        <ns0:v>0</ns0:v>
      </ns0:c>
      <ns0:c r="N281" s="26">
        <ns0:f t="shared" si="184"/>
        <ns0:v>0</ns0:v>
      </ns0:c>
      <ns0:c r="O281" s="26">
        <ns0:f t="shared" si="184"/>
        <ns0:v>0</ns0:v>
      </ns0:c>
      <ns0:c r="P281" s="26">
        <ns0:f t="shared" si="184"/>
        <ns0:v>33.1689852</ns0:v>
      </ns0:c>
      <ns0:c r="Q281" s="26">
        <ns0:f t="shared" si="184"/>
        <ns0:v>15.7981872</ns0:v>
      </ns0:c>
      <ns0:c r="R281" s="26">
        <ns0:f t="shared" si="184"/>
        <ns0:v>0</ns0:v>
      </ns0:c>
      <ns0:c r="S281" s="26">
        <ns0:f t="shared" si="184"/>
        <ns0:v>0</ns0:v>
      </ns0:c>
      <ns0:c r="T281" s="26">
        <ns0:f t="shared" si="184"/>
        <ns0:v>41.275248</ns0:v>
      </ns0:c>
      <ns0:c r="U281" s="26">
        <ns0:f t="shared" si="184"/>
        <ns0:v>100.4470368</ns0:v>
      </ns0:c>
      <ns0:c r="V281" s="26">
        <ns0:f t="shared" si="184"/>
        <ns0:v>0</ns0:v>
      </ns0:c>
      <ns0:c r="W281" s="26">
        <ns0:f t="shared" si="184"/>
        <ns0:v>0</ns0:v>
      </ns0:c>
      <ns0:c r="X281" s="26">
        <ns0:f t="shared" si="184"/>
        <ns0:v>0</ns0:v>
      </ns0:c>
      <ns0:c r="Y281" s="26">
        <ns0:f t="shared" si="184"/>
        <ns0:v>0</ns0:v>
      </ns0:c>
      <ns0:c r="Z281" s="26">
        <ns0:f t="shared" si="184"/>
        <ns0:v>0</ns0:v>
      </ns0:c>
      <ns0:c r="AA281" s="26">
        <ns0:f t="shared" si="184"/>
        <ns0:v>0</ns0:v>
      </ns0:c>
      <ns0:c r="AB281" s="26">
        <ns0:f t="shared" si="184"/>
        <ns0:v>0</ns0:v>
      </ns0:c>
      <ns0:c r="AC281" s="26">
        <ns0:f t="shared" si="184"/>
        <ns0:v>0</ns0:v>
      </ns0:c>
    </ns0:row>
    <ns0:row r="282" spans="1:29">
      <ns0:c r="A282" s="53" t="s">
        <ns0:v>55</ns0:v>
      </ns0:c>
      <ns0:c r="B282" s="53">
        <ns0:f>SUM(B3:B281)</ns0:f>
        <ns0:v>-4623.4287282</ns0:v>
      </ns0:c>
      <ns0:c r="C282" s="54" t="s">
        <ns0:v>56</ns0:v>
      </ns0:c>
      <ns0:c r="D282" s="54"/>
      <ns0:c r="E282" s="43" cm="1">
        <ns0:f t="array" ref="E282">SUMPRODUCT((MOD(ROW(E4:E281)-ROW(E4),9)=0)*E4:E281)</ns0:f>
        <ns0:v>1838.8403</ns0:v>
      </ns0:c>
      <ns0:c r="F282" s="43"/>
      <ns0:c r="G282" s="43"/>
      <ns0:c r="H282" s="43"/>
      <ns0:c r="I282" s="43"/>
      <ns0:c r="J282" s="43"/>
      <ns0:c r="K282" s="43"/>
      <ns0:c r="L282" s="43"/>
      <ns0:c r="M282" s="43"/>
      <ns0:c r="N282" s="43"/>
      <ns0:c r="O282" s="43"/>
      <ns0:c r="P282" s="43"/>
      <ns0:c r="Q282" s="43"/>
      <ns0:c r="R282" s="43"/>
      <ns0:c r="S282" s="43"/>
      <ns0:c r="T282" s="43"/>
      <ns0:c r="U282" s="43"/>
      <ns0:c r="V282" s="43"/>
      <ns0:c r="W282" s="43"/>
      <ns0:c r="X282" s="43"/>
      <ns0:c r="Y282" s="43"/>
      <ns0:c r="Z282" s="43"/>
      <ns0:c r="AA282" s="43"/>
      <ns0:c r="AB282" s="43"/>
      <ns0:c r="AC282" s="43"/>
    </ns0:row>
    <ns0:row r="283" spans="1:29">
      <ns0:c r="A283" s="43" t="s">
        <ns0:v>57</ns0:v>
      </ns0:c>
      <ns0:c r="B283" s="43" cm="1">
        <ns0:f t="array" ref="B283">SUMPRODUCT((MOD(ROW(E11:E281)-ROW(E11),9)=0)*E11:E281)</ns0:f>
        <ns0:v>2122.1102092</ns0:v>
      </ns0:c>
      <ns0:c r="C283" s="54" t="s">
        <ns0:v>58</ns0:v>
      </ns0:c>
      <ns0:c r="D283" s="54"/>
      <ns0:c r="E283" s="43">
        <ns0:f>B282/E282</ns0:f>
        <ns0:v>-2.51431770785098</ns0:v>
      </ns0:c>
      <ns0:c r="F283" s="43"/>
      <ns0:c r="G283" s="43"/>
      <ns0:c r="H283" s="43"/>
      <ns0:c r="I283" s="43"/>
      <ns0:c r="J283" s="43"/>
      <ns0:c r="K283" s="43"/>
      <ns0:c r="L283" s="43"/>
      <ns0:c r="M283" s="43"/>
      <ns0:c r="N283" s="43"/>
      <ns0:c r="O283" s="43"/>
      <ns0:c r="P283" s="43"/>
      <ns0:c r="Q283" s="43"/>
      <ns0:c r="R283" s="43"/>
      <ns0:c r="S283" s="43"/>
      <ns0:c r="T283" s="43"/>
      <ns0:c r="U283" s="43"/>
      <ns0:c r="V283" s="43"/>
      <ns0:c r="W283" s="43"/>
      <ns0:c r="X283" s="43"/>
      <ns0:c r="Y283" s="43"/>
      <ns0:c r="Z283" s="43"/>
      <ns0:c r="AA283" s="43"/>
      <ns0:c r="AB283" s="43"/>
      <ns0:c r="AC283" s="43"/>
    </ns0:row>
    <ns0:row r="284" spans="1:29">
      <ns0:c r="A284" s="26" t="s">
        <ns0:v>59</ns0:v>
      </ns0:c>
      <ns0:c r="B284" s="37"/>
      <ns0:c r="C284" s="43"/>
      <ns0:c r="D284" s="43"/>
      <ns0:c r="E284" s="43"/>
      <ns0:c r="F284" s="43"/>
      <ns0:c r="G284" s="43"/>
      <ns0:c r="H284" s="43"/>
      <ns0:c r="I284" s="43"/>
      <ns0:c r="J284" s="43"/>
      <ns0:c r="K284" s="43"/>
      <ns0:c r="L284" s="43"/>
      <ns0:c r="M284" s="43"/>
      <ns0:c r="N284" s="43"/>
      <ns0:c r="O284" s="43"/>
      <ns0:c r="P284" s="43"/>
      <ns0:c r="Q284" s="43"/>
      <ns0:c r="R284" s="43"/>
      <ns0:c r="S284" s="43"/>
      <ns0:c r="T284" s="43"/>
      <ns0:c r="U284" s="43"/>
      <ns0:c r="V284" s="43"/>
      <ns0:c r="W284" s="43"/>
      <ns0:c r="X284" s="43"/>
      <ns0:c r="Y284" s="43"/>
      <ns0:c r="Z284" s="43"/>
      <ns0:c r="AA284" s="43"/>
      <ns0:c r="AB284" s="43"/>
      <ns0:c r="AC284" s="43"/>
    </ns0:row>
    <ns0:row r="286" ht="16.8" spans="13:29">
      <ns0:c r="M286" s="24">
        <ns0:v>390.86</ns0:v>
      </ns0:c>
      <ns0:c r="N286" s="55">
        <ns0:f>M286/M289</ns0:f>
        <ns0:v>0.224048884226697</ns0:v>
      </ns0:c>
      <ns0:c r="Z286" s="25"/>
      <ns0:c r="AA286" s="25"/>
      <ns0:c r="AB286" s="25"/>
      <ns0:c r="AC286" s="25"/>
    </ns0:row>
    <ns0:row r="287" ht="16.8" spans="2:29">
      <ns0:c r="B287" s="24">
        <ns0:f>COUNTA(B3:B264)</ns0:f>
        <ns0:v>30</ns0:v>
      </ns0:c>
      <ns0:c r="M287" s="24">
        <ns0:v>1200</ns0:v>
      </ns0:c>
      <ns0:c r="N287" s="55">
        <ns0:f>M287/M289</ns0:f>
        <ns0:v>0.687864353149559</ns0:v>
      </ns0:c>
      <ns0:c r="Z287" s="25"/>
      <ns0:c r="AA287" s="25"/>
      <ns0:c r="AB287" s="25"/>
      <ns0:c r="AC287" s="25"/>
    </ns0:row>
    <ns0:row r="288" ht="16.8" spans="2:29">
      <ns0:c r="B288" s="24">
        <ns0:f>B282/COUNTA(B3:B264)</ns0:f>
        <ns0:v>-154.11429094</ns0:v>
      </ns0:c>
      <ns0:c r="M288" s="24">
        <ns0:v>153.67</ns0:v>
      </ns0:c>
      <ns0:c r="N288" s="55">
        <ns0:f>M288/M289</ns0:f>
        <ns0:v>0.0880867626237439</ns0:v>
      </ns0:c>
      <ns0:c r="Z288" s="25"/>
      <ns0:c r="AA288" s="25"/>
      <ns0:c r="AB288" s="25"/>
      <ns0:c r="AC288" s="25"/>
    </ns0:row>
    <ns0:row r="289" spans="13:29">
      <ns0:c r="M289" s="24">
        <ns0:f>SUM(M286:M288)</ns0:f>
        <ns0:v>1744.53</ns0:v>
      </ns0:c>
      <ns0:c r="Z289" s="25"/>
      <ns0:c r="AA289" s="25"/>
      <ns0:c r="AB289" s="25"/>
      <ns0:c r="AC289" s="25"/>
    </ns0:row>
    <ns0:row r="290" spans="25:29">
      <ns0:c r="Y290" s="25"/>
      <ns0:c r="Z290" s="25"/>
      <ns0:c r="AA290" s="25"/>
      <ns0:c r="AB290" s="25"/>
      <ns0:c r="AC290" s="25"/>
    </ns0:row>
    <ns0:row r="291" spans="25:29">
      <ns0:c r="Y291" s="25"/>
      <ns0:c r="Z291" s="25"/>
      <ns0:c r="AA291" s="25"/>
      <ns0:c r="AB291" s="25"/>
      <ns0:c r="AC291" s="25"/>
    </ns0:row>
    <ns0:row r="292" spans="25:29">
      <ns0:c r="Y292" s="25"/>
      <ns0:c r="Z292" s="25"/>
      <ns0:c r="AA292" s="25"/>
      <ns0:c r="AB292" s="25"/>
      <ns0:c r="AC292" s="25"/>
    </ns0:row>
    <ns0:row r="293" spans="25:29">
      <ns0:c r="Y293" s="25"/>
      <ns0:c r="Z293" s="25"/>
      <ns0:c r="AA293" s="25"/>
      <ns0:c r="AB293" s="25"/>
      <ns0:c r="AC293" s="25"/>
    </ns0:row>
    <ns0:row r="294" spans="25:29">
      <ns0:c r="Y294" s="25"/>
      <ns0:c r="Z294" s="25"/>
      <ns0:c r="AA294" s="25"/>
      <ns0:c r="AB294" s="25"/>
      <ns0:c r="AC294" s="25"/>
    </ns0:row>
    <ns0:row r="295" spans="25:29">
      <ns0:c r="Y295" s="25"/>
      <ns0:c r="Z295" s="25"/>
      <ns0:c r="AA295" s="25"/>
      <ns0:c r="AB295" s="25"/>
      <ns0:c r="AC295" s="25"/>
    </ns0:row>
    <ns0:row r="296" spans="25:29">
      <ns0:c r="Y296" s="25"/>
      <ns0:c r="Z296" s="25"/>
      <ns0:c r="AA296" s="25"/>
      <ns0:c r="AB296" s="25"/>
      <ns0:c r="AC296" s="25"/>
    </ns0:row>
    <ns0:row r="297" spans="25:29">
      <ns0:c r="Y297" s="25"/>
      <ns0:c r="Z297" s="25"/>
      <ns0:c r="AA297" s="25"/>
      <ns0:c r="AB297" s="25"/>
      <ns0:c r="AC297" s="25"/>
    </ns0:row>
    <ns0:row r="298" spans="25:29">
      <ns0:c r="Y298" s="25"/>
      <ns0:c r="Z298" s="25"/>
      <ns0:c r="AA298" s="25"/>
      <ns0:c r="AB298" s="25"/>
      <ns0:c r="AC298" s="25"/>
    </ns0:row>
    <ns0:row r="299" spans="25:29">
      <ns0:c r="Y299" s="25"/>
      <ns0:c r="Z299" s="25"/>
      <ns0:c r="AA299" s="25"/>
      <ns0:c r="AB299" s="25"/>
      <ns0:c r="AC299" s="25"/>
    </ns0:row>
    <ns0:row r="300" spans="25:29">
      <ns0:c r="Y300" s="25"/>
      <ns0:c r="Z300" s="25"/>
      <ns0:c r="AA300" s="25"/>
      <ns0:c r="AB300" s="25"/>
      <ns0:c r="AC300" s="25"/>
    </ns0:row>
    <ns0:row r="301" spans="25:29">
      <ns0:c r="Y301" s="25"/>
      <ns0:c r="Z301" s="25"/>
      <ns0:c r="AA301" s="25"/>
      <ns0:c r="AB301" s="25"/>
      <ns0:c r="AC301" s="25"/>
    </ns0:row>
    <ns0:row r="302" spans="25:29">
      <ns0:c r="Y302" s="25"/>
      <ns0:c r="Z302" s="25"/>
      <ns0:c r="AA302" s="25"/>
      <ns0:c r="AB302" s="25"/>
      <ns0:c r="AC302" s="25"/>
    </ns0:row>
    <ns0:row r="303" spans="25:29">
      <ns0:c r="Y303" s="25"/>
      <ns0:c r="Z303" s="25"/>
      <ns0:c r="AA303" s="25"/>
      <ns0:c r="AB303" s="25"/>
      <ns0:c r="AC303" s="25"/>
    </ns0:row>
    <ns0:row r="304" spans="25:29">
      <ns0:c r="Y304" s="25"/>
      <ns0:c r="Z304" s="25"/>
      <ns0:c r="AA304" s="25"/>
      <ns0:c r="AB304" s="25"/>
      <ns0:c r="AC304" s="25"/>
    </ns0:row>
    <ns0:row r="305" spans="25:29">
      <ns0:c r="Y305" s="25"/>
      <ns0:c r="Z305" s="25"/>
      <ns0:c r="AA305" s="25"/>
      <ns0:c r="AB305" s="25"/>
      <ns0:c r="AC305" s="25"/>
    </ns0:row>
    <ns0:row r="306" spans="25:29">
      <ns0:c r="Y306" s="25"/>
      <ns0:c r="Z306" s="25"/>
      <ns0:c r="AA306" s="25"/>
      <ns0:c r="AB306" s="25"/>
      <ns0:c r="AC306" s="25"/>
    </ns0:row>
    <ns0:row r="307" spans="25:29">
      <ns0:c r="Y307" s="25"/>
      <ns0:c r="Z307" s="25"/>
      <ns0:c r="AA307" s="25"/>
      <ns0:c r="AB307" s="25"/>
      <ns0:c r="AC307" s="25"/>
    </ns0:row>
    <ns0:row r="308" spans="25:29">
      <ns0:c r="Y308" s="25"/>
      <ns0:c r="Z308" s="25"/>
      <ns0:c r="AA308" s="25"/>
      <ns0:c r="AB308" s="25"/>
      <ns0:c r="AC308" s="25"/>
    </ns0:row>
    <ns0:row r="309" spans="25:29">
      <ns0:c r="Y309" s="25"/>
      <ns0:c r="Z309" s="25"/>
      <ns0:c r="AA309" s="25"/>
      <ns0:c r="AB309" s="25"/>
      <ns0:c r="AC309" s="25"/>
    </ns0:row>
    <ns0:row r="310" spans="25:29">
      <ns0:c r="Y310" s="25"/>
      <ns0:c r="Z310" s="25"/>
      <ns0:c r="AA310" s="25"/>
      <ns0:c r="AB310" s="25"/>
      <ns0:c r="AC310" s="25"/>
    </ns0:row>
    <ns0:row r="311" spans="25:29">
      <ns0:c r="Y311" s="25"/>
      <ns0:c r="Z311" s="25"/>
      <ns0:c r="AA311" s="25"/>
      <ns0:c r="AB311" s="25"/>
      <ns0:c r="AC311" s="25"/>
    </ns0:row>
    <ns0:row r="312" spans="25:29">
      <ns0:c r="Y312" s="25"/>
      <ns0:c r="Z312" s="25"/>
      <ns0:c r="AA312" s="25"/>
      <ns0:c r="AB312" s="25"/>
      <ns0:c r="AC312" s="25"/>
    </ns0:row>
    <ns0:row r="313" spans="25:29">
      <ns0:c r="Y313" s="25"/>
      <ns0:c r="Z313" s="25"/>
      <ns0:c r="AA313" s="25"/>
      <ns0:c r="AB313" s="25"/>
      <ns0:c r="AC313" s="25"/>
    </ns0:row>
    <ns0:row r="314" spans="25:29">
      <ns0:c r="Y314" s="25"/>
      <ns0:c r="Z314" s="25"/>
      <ns0:c r="AA314" s="25"/>
      <ns0:c r="AB314" s="25"/>
      <ns0:c r="AC314" s="25"/>
    </ns0:row>
    <ns0:row r="315" spans="25:29">
      <ns0:c r="Y315" s="25"/>
      <ns0:c r="Z315" s="25"/>
      <ns0:c r="AA315" s="25"/>
      <ns0:c r="AB315" s="25"/>
      <ns0:c r="AC315" s="25"/>
    </ns0:row>
    <ns0:row r="316" spans="25:29">
      <ns0:c r="Y316" s="25"/>
      <ns0:c r="Z316" s="25"/>
      <ns0:c r="AA316" s="25"/>
      <ns0:c r="AB316" s="25"/>
      <ns0:c r="AC316" s="25"/>
    </ns0:row>
    <ns0:row r="317" spans="25:29">
      <ns0:c r="Y317" s="25"/>
      <ns0:c r="Z317" s="25"/>
      <ns0:c r="AA317" s="25"/>
      <ns0:c r="AB317" s="25"/>
      <ns0:c r="AC317" s="25"/>
    </ns0:row>
    <ns0:row r="318" spans="25:29">
      <ns0:c r="Y318" s="25"/>
      <ns0:c r="Z318" s="25"/>
      <ns0:c r="AA318" s="25"/>
      <ns0:c r="AB318" s="25"/>
      <ns0:c r="AC318" s="25"/>
    </ns0:row>
    <ns0:row r="319" spans="25:29">
      <ns0:c r="Y319" s="25"/>
      <ns0:c r="Z319" s="25"/>
      <ns0:c r="AA319" s="25"/>
      <ns0:c r="AB319" s="25"/>
      <ns0:c r="AC319" s="25"/>
    </ns0:row>
    <ns0:row r="320" spans="29:29">
      <ns0:c r="AC320" s="25"/>
    </ns0:row>
  </ns0:sheetData>
  <ns0:sheetProtection formatCells="0" formatColumns="0" formatRows="0" insertRows="0" insertColumns="0" insertHyperlinks="0" deleteColumns="0" deleteRows="0" sort="0" autoFilter="0" pivotTables="0"/>
  <ns0:mergeCells count="221">
    <ns0:mergeCell ref="C1:E1"/>
    <ns0:mergeCell ref="C9:D9"/>
    <ns0:mergeCell ref="C10:D10"/>
    <ns0:mergeCell ref="C11:D11"/>
    <ns0:mergeCell ref="C18:D18"/>
    <ns0:mergeCell ref="C19:D19"/>
    <ns0:mergeCell ref="C20:D20"/>
    <ns0:mergeCell ref="C27:D27"/>
    <ns0:mergeCell ref="C28:D28"/>
    <ns0:mergeCell ref="C29:D29"/>
    <ns0:mergeCell ref="C36:D36"/>
    <ns0:mergeCell ref="C37:D37"/>
    <ns0:mergeCell ref="C38:D38"/>
    <ns0:mergeCell ref="C45:D45"/>
    <ns0:mergeCell ref="C46:D46"/>
    <ns0:mergeCell ref="C47:D47"/>
    <ns0:mergeCell ref="C54:D54"/>
    <ns0:mergeCell ref="C55:D55"/>
    <ns0:mergeCell ref="C56:D56"/>
    <ns0:mergeCell ref="C63:D63"/>
    <ns0:mergeCell ref="C64:D64"/>
    <ns0:mergeCell ref="C65:D65"/>
    <ns0:mergeCell ref="C72:D72"/>
    <ns0:mergeCell ref="C73:D73"/>
    <ns0:mergeCell ref="C74:D74"/>
    <ns0:mergeCell ref="C81:D81"/>
    <ns0:mergeCell ref="C82:D82"/>
    <ns0:mergeCell ref="C83:D83"/>
    <ns0:mergeCell ref="C90:D90"/>
    <ns0:mergeCell ref="C91:D91"/>
    <ns0:mergeCell ref="C92:D92"/>
    <ns0:mergeCell ref="C99:D99"/>
    <ns0:mergeCell ref="C100:D100"/>
    <ns0:mergeCell ref="C101:D101"/>
    <ns0:mergeCell ref="C108:D108"/>
    <ns0:mergeCell ref="C109:D109"/>
    <ns0:mergeCell ref="C110:D110"/>
    <ns0:mergeCell ref="C117:D117"/>
    <ns0:mergeCell ref="C118:D118"/>
    <ns0:mergeCell ref="C119:D119"/>
    <ns0:mergeCell ref="C126:D126"/>
    <ns0:mergeCell ref="C127:D127"/>
    <ns0:mergeCell ref="C128:D128"/>
    <ns0:mergeCell ref="C135:D135"/>
    <ns0:mergeCell ref="C136:D136"/>
    <ns0:mergeCell ref="C137:D137"/>
    <ns0:mergeCell ref="C144:D144"/>
    <ns0:mergeCell ref="C145:D145"/>
    <ns0:mergeCell ref="C146:D146"/>
    <ns0:mergeCell ref="C153:D153"/>
    <ns0:mergeCell ref="C154:D154"/>
    <ns0:mergeCell ref="C155:D155"/>
    <ns0:mergeCell ref="C162:D162"/>
    <ns0:mergeCell ref="C163:D163"/>
    <ns0:mergeCell ref="C164:D164"/>
    <ns0:mergeCell ref="C171:D171"/>
    <ns0:mergeCell ref="C172:D172"/>
    <ns0:mergeCell ref="C173:D173"/>
    <ns0:mergeCell ref="C180:D180"/>
    <ns0:mergeCell ref="C181:D181"/>
    <ns0:mergeCell ref="C182:D182"/>
    <ns0:mergeCell ref="C189:D189"/>
    <ns0:mergeCell ref="C190:D190"/>
    <ns0:mergeCell ref="C191:D191"/>
    <ns0:mergeCell ref="C198:D198"/>
    <ns0:mergeCell ref="C199:D199"/>
    <ns0:mergeCell ref="C200:D200"/>
    <ns0:mergeCell ref="C207:D207"/>
    <ns0:mergeCell ref="C208:D208"/>
    <ns0:mergeCell ref="C209:D209"/>
    <ns0:mergeCell ref="C216:D216"/>
    <ns0:mergeCell ref="C217:D217"/>
    <ns0:mergeCell ref="C218:D218"/>
    <ns0:mergeCell ref="C225:D225"/>
    <ns0:mergeCell ref="C226:D226"/>
    <ns0:mergeCell ref="C227:D227"/>
    <ns0:mergeCell ref="C234:D234"/>
    <ns0:mergeCell ref="C235:D235"/>
    <ns0:mergeCell ref="C236:D236"/>
    <ns0:mergeCell ref="C243:D243"/>
    <ns0:mergeCell ref="C244:D244"/>
    <ns0:mergeCell ref="C245:D245"/>
    <ns0:mergeCell ref="C252:D252"/>
    <ns0:mergeCell ref="C253:D253"/>
    <ns0:mergeCell ref="C254:D254"/>
    <ns0:mergeCell ref="C261:D261"/>
    <ns0:mergeCell ref="C262:D262"/>
    <ns0:mergeCell ref="C263:D263"/>
    <ns0:mergeCell ref="C270:D270"/>
    <ns0:mergeCell ref="C271:D271"/>
    <ns0:mergeCell ref="C272:D272"/>
    <ns0:mergeCell ref="C279:D279"/>
    <ns0:mergeCell ref="C280:D280"/>
    <ns0:mergeCell ref="C281:D281"/>
    <ns0:mergeCell ref="C282:D282"/>
    <ns0:mergeCell ref="C283:D283"/>
    <ns0:mergeCell ref="A284:B284"/>
    <ns0:mergeCell ref="A3:A11"/>
    <ns0:mergeCell ref="A12:A20"/>
    <ns0:mergeCell ref="A21:A29"/>
    <ns0:mergeCell ref="A30:A38"/>
    <ns0:mergeCell ref="A39:A47"/>
    <ns0:mergeCell ref="A48:A56"/>
    <ns0:mergeCell ref="A57:A65"/>
    <ns0:mergeCell ref="A66:A74"/>
    <ns0:mergeCell ref="A75:A83"/>
    <ns0:mergeCell ref="A84:A92"/>
    <ns0:mergeCell ref="A93:A101"/>
    <ns0:mergeCell ref="A102:A110"/>
    <ns0:mergeCell ref="A111:A119"/>
    <ns0:mergeCell ref="A120:A128"/>
    <ns0:mergeCell ref="A129:A137"/>
    <ns0:mergeCell ref="A138:A146"/>
    <ns0:mergeCell ref="A147:A155"/>
    <ns0:mergeCell ref="A156:A164"/>
    <ns0:mergeCell ref="A165:A173"/>
    <ns0:mergeCell ref="A174:A182"/>
    <ns0:mergeCell ref="A183:A191"/>
    <ns0:mergeCell ref="A192:A200"/>
    <ns0:mergeCell ref="A201:A209"/>
    <ns0:mergeCell ref="A210:A218"/>
    <ns0:mergeCell ref="A219:A227"/>
    <ns0:mergeCell ref="A228:A236"/>
    <ns0:mergeCell ref="A237:A245"/>
    <ns0:mergeCell ref="A246:A254"/>
    <ns0:mergeCell ref="A255:A263"/>
    <ns0:mergeCell ref="A264:A272"/>
    <ns0:mergeCell ref="A273:A281"/>
    <ns0:mergeCell ref="B3:B11"/>
    <ns0:mergeCell ref="B12:B20"/>
    <ns0:mergeCell ref="B21:B29"/>
    <ns0:mergeCell ref="B30:B38"/>
    <ns0:mergeCell ref="B39:B47"/>
    <ns0:mergeCell ref="B48:B56"/>
    <ns0:mergeCell ref="B57:B65"/>
    <ns0:mergeCell ref="B66:B74"/>
    <ns0:mergeCell ref="B75:B83"/>
    <ns0:mergeCell ref="B84:B92"/>
    <ns0:mergeCell ref="B93:B101"/>
    <ns0:mergeCell ref="B102:B110"/>
    <ns0:mergeCell ref="B111:B119"/>
    <ns0:mergeCell ref="B120:B128"/>
    <ns0:mergeCell ref="B129:B137"/>
    <ns0:mergeCell ref="B138:B146"/>
    <ns0:mergeCell ref="B147:B155"/>
    <ns0:mergeCell ref="B156:B164"/>
    <ns0:mergeCell ref="B165:B173"/>
    <ns0:mergeCell ref="B174:B182"/>
    <ns0:mergeCell ref="B183:B191"/>
    <ns0:mergeCell ref="B192:B200"/>
    <ns0:mergeCell ref="B201:B209"/>
    <ns0:mergeCell ref="B210:B218"/>
    <ns0:mergeCell ref="B219:B227"/>
    <ns0:mergeCell ref="B228:B236"/>
    <ns0:mergeCell ref="B237:B245"/>
    <ns0:mergeCell ref="B246:B254"/>
    <ns0:mergeCell ref="B255:B263"/>
    <ns0:mergeCell ref="B264:B272"/>
    <ns0:mergeCell ref="B273:B281"/>
    <ns0:mergeCell ref="C3:C5"/>
    <ns0:mergeCell ref="C6:C8"/>
    <ns0:mergeCell ref="C12:C14"/>
    <ns0:mergeCell ref="C15:C17"/>
    <ns0:mergeCell ref="C21:C23"/>
    <ns0:mergeCell ref="C24:C26"/>
    <ns0:mergeCell ref="C30:C32"/>
    <ns0:mergeCell ref="C33:C35"/>
    <ns0:mergeCell ref="C39:C41"/>
    <ns0:mergeCell ref="C42:C44"/>
    <ns0:mergeCell ref="C48:C50"/>
    <ns0:mergeCell ref="C51:C53"/>
    <ns0:mergeCell ref="C57:C59"/>
    <ns0:mergeCell ref="C60:C62"/>
    <ns0:mergeCell ref="C66:C68"/>
    <ns0:mergeCell ref="C69:C71"/>
    <ns0:mergeCell ref="C75:C77"/>
    <ns0:mergeCell ref="C78:C80"/>
    <ns0:mergeCell ref="C84:C86"/>
    <ns0:mergeCell ref="C87:C89"/>
    <ns0:mergeCell ref="C93:C95"/>
    <ns0:mergeCell ref="C96:C98"/>
    <ns0:mergeCell ref="C102:C104"/>
    <ns0:mergeCell ref="C105:C107"/>
    <ns0:mergeCell ref="C111:C113"/>
    <ns0:mergeCell ref="C114:C116"/>
    <ns0:mergeCell ref="C120:C122"/>
    <ns0:mergeCell ref="C123:C125"/>
    <ns0:mergeCell ref="C129:C131"/>
    <ns0:mergeCell ref="C132:C134"/>
    <ns0:mergeCell ref="C138:C140"/>
    <ns0:mergeCell ref="C141:C143"/>
    <ns0:mergeCell ref="C147:C149"/>
    <ns0:mergeCell ref="C150:C152"/>
    <ns0:mergeCell ref="C156:C158"/>
    <ns0:mergeCell ref="C159:C161"/>
    <ns0:mergeCell ref="C165:C167"/>
    <ns0:mergeCell ref="C168:C170"/>
    <ns0:mergeCell ref="C174:C176"/>
    <ns0:mergeCell ref="C177:C179"/>
    <ns0:mergeCell ref="C183:C185"/>
    <ns0:mergeCell ref="C186:C188"/>
    <ns0:mergeCell ref="C192:C194"/>
    <ns0:mergeCell ref="C195:C197"/>
    <ns0:mergeCell ref="C201:C203"/>
    <ns0:mergeCell ref="C204:C206"/>
    <ns0:mergeCell ref="C210:C212"/>
    <ns0:mergeCell ref="C213:C215"/>
    <ns0:mergeCell ref="C219:C221"/>
    <ns0:mergeCell ref="C222:C224"/>
    <ns0:mergeCell ref="C228:C230"/>
    <ns0:mergeCell ref="C231:C233"/>
    <ns0:mergeCell ref="C237:C239"/>
    <ns0:mergeCell ref="C240:C242"/>
    <ns0:mergeCell ref="C246:C248"/>
    <ns0:mergeCell ref="C249:C251"/>
    <ns0:mergeCell ref="C255:C257"/>
    <ns0:mergeCell ref="C258:C260"/>
    <ns0:mergeCell ref="C264:C266"/>
    <ns0:mergeCell ref="C267:C269"/>
    <ns0:mergeCell ref="C273:C275"/>
    <ns0:mergeCell ref="C276:C278"/>
  </ns0:mergeCells>
  <ns0:conditionalFormatting sqref="E5">
    <ns0:cfRule type="cellIs" dxfId="1" priority="122" operator="lessThan">
      <ns0:formula>0</ns0:formula>
    </ns0:cfRule>
  </ns0:conditionalFormatting>
  <ns0:conditionalFormatting sqref="E8">
    <ns0:cfRule type="cellIs" dxfId="1" priority="130" operator="lessThan">
      <ns0:formula>0</ns0:formula>
    </ns0:cfRule>
  </ns0:conditionalFormatting>
  <ns0:conditionalFormatting sqref="E9">
    <ns0:cfRule type="cellIs" dxfId="1" priority="127" operator="lessThan">
      <ns0:formula>0</ns0:formula>
    </ns0:cfRule>
  </ns0:conditionalFormatting>
  <ns0:conditionalFormatting sqref="E10">
    <ns0:cfRule type="cellIs" dxfId="1" priority="126" operator="lessThan">
      <ns0:formula>0</ns0:formula>
    </ns0:cfRule>
  </ns0:conditionalFormatting>
  <ns0:conditionalFormatting sqref="C11:D11">
    <ns0:cfRule type="cellIs" dxfId="2" priority="131" operator="notEqual">
      <ns0:formula>0</ns0:formula>
    </ns0:cfRule>
    <ns0:cfRule type="cellIs" dxfId="3" priority="132" operator="notEqual">
      <ns0:formula>0</ns0:formula>
    </ns0:cfRule>
  </ns0:conditionalFormatting>
  <ns0:conditionalFormatting sqref="E11">
    <ns0:cfRule type="cellIs" dxfId="2" priority="123" operator="notEqual">
      <ns0:formula>0</ns0:formula>
    </ns0:cfRule>
    <ns0:cfRule type="cellIs" dxfId="3" priority="124" operator="notEqual">
      <ns0:formula>0</ns0:formula>
    </ns0:cfRule>
    <ns0:cfRule type="cellIs" dxfId="1" priority="125" operator="lessThan">
      <ns0:formula>0</ns0:formula>
    </ns0:cfRule>
  </ns0:conditionalFormatting>
  <ns0:conditionalFormatting sqref="E14">
    <ns0:cfRule type="cellIs" dxfId="1" priority="111" operator="lessThan">
      <ns0:formula>0</ns0:formula>
    </ns0:cfRule>
  </ns0:conditionalFormatting>
  <ns0:conditionalFormatting sqref="E17">
    <ns0:cfRule type="cellIs" dxfId="1" priority="119" operator="lessThan">
      <ns0:formula>0</ns0:formula>
    </ns0:cfRule>
  </ns0:conditionalFormatting>
  <ns0:conditionalFormatting sqref="E18">
    <ns0:cfRule type="cellIs" dxfId="1" priority="116" operator="lessThan">
      <ns0:formula>0</ns0:formula>
    </ns0:cfRule>
  </ns0:conditionalFormatting>
  <ns0:conditionalFormatting sqref="E19">
    <ns0:cfRule type="cellIs" dxfId="1" priority="115" operator="lessThan">
      <ns0:formula>0</ns0:formula>
    </ns0:cfRule>
  </ns0:conditionalFormatting>
  <ns0:conditionalFormatting sqref="C20:D20">
    <ns0:cfRule type="cellIs" dxfId="2" priority="120" operator="notEqual">
      <ns0:formula>0</ns0:formula>
    </ns0:cfRule>
    <ns0:cfRule type="cellIs" dxfId="3" priority="121" operator="notEqual">
      <ns0:formula>0</ns0:formula>
    </ns0:cfRule>
  </ns0:conditionalFormatting>
  <ns0:conditionalFormatting sqref="E20">
    <ns0:cfRule type="cellIs" dxfId="2" priority="112" operator="notEqual">
      <ns0:formula>0</ns0:formula>
    </ns0:cfRule>
    <ns0:cfRule type="cellIs" dxfId="3" priority="113" operator="notEqual">
      <ns0:formula>0</ns0:formula>
    </ns0:cfRule>
    <ns0:cfRule type="cellIs" dxfId="1" priority="114" operator="lessThan">
      <ns0:formula>0</ns0:formula>
    </ns0:cfRule>
  </ns0:conditionalFormatting>
  <ns0:conditionalFormatting sqref="E23">
    <ns0:cfRule type="cellIs" dxfId="1" priority="100" operator="lessThan">
      <ns0:formula>0</ns0:formula>
    </ns0:cfRule>
  </ns0:conditionalFormatting>
  <ns0:conditionalFormatting sqref="E26">
    <ns0:cfRule type="cellIs" dxfId="1" priority="108" operator="lessThan">
      <ns0:formula>0</ns0:formula>
    </ns0:cfRule>
  </ns0:conditionalFormatting>
  <ns0:conditionalFormatting sqref="E27">
    <ns0:cfRule type="cellIs" dxfId="1" priority="105" operator="lessThan">
      <ns0:formula>0</ns0:formula>
    </ns0:cfRule>
  </ns0:conditionalFormatting>
  <ns0:conditionalFormatting sqref="E28">
    <ns0:cfRule type="cellIs" dxfId="1" priority="104" operator="lessThan">
      <ns0:formula>0</ns0:formula>
    </ns0:cfRule>
  </ns0:conditionalFormatting>
  <ns0:conditionalFormatting sqref="C29:D29">
    <ns0:cfRule type="cellIs" dxfId="2" priority="109" operator="notEqual">
      <ns0:formula>0</ns0:formula>
    </ns0:cfRule>
    <ns0:cfRule type="cellIs" dxfId="3" priority="110" operator="notEqual">
      <ns0:formula>0</ns0:formula>
    </ns0:cfRule>
  </ns0:conditionalFormatting>
  <ns0:conditionalFormatting sqref="E29">
    <ns0:cfRule type="cellIs" dxfId="2" priority="101" operator="notEqual">
      <ns0:formula>0</ns0:formula>
    </ns0:cfRule>
    <ns0:cfRule type="cellIs" dxfId="3" priority="102" operator="notEqual">
      <ns0:formula>0</ns0:formula>
    </ns0:cfRule>
    <ns0:cfRule type="cellIs" dxfId="1" priority="103" operator="lessThan">
      <ns0:formula>0</ns0:formula>
    </ns0:cfRule>
  </ns0:conditionalFormatting>
  <ns0:conditionalFormatting sqref="E32">
    <ns0:cfRule type="cellIs" dxfId="1" priority="89" operator="lessThan">
      <ns0:formula>0</ns0:formula>
    </ns0:cfRule>
  </ns0:conditionalFormatting>
  <ns0:conditionalFormatting sqref="E35">
    <ns0:cfRule type="cellIs" dxfId="1" priority="97" operator="lessThan">
      <ns0:formula>0</ns0:formula>
    </ns0:cfRule>
  </ns0:conditionalFormatting>
  <ns0:conditionalFormatting sqref="E36">
    <ns0:cfRule type="cellIs" dxfId="1" priority="94" operator="lessThan">
      <ns0:formula>0</ns0:formula>
    </ns0:cfRule>
  </ns0:conditionalFormatting>
  <ns0:conditionalFormatting sqref="E37">
    <ns0:cfRule type="cellIs" dxfId="1" priority="93" operator="lessThan">
      <ns0:formula>0</ns0:formula>
    </ns0:cfRule>
  </ns0:conditionalFormatting>
  <ns0:conditionalFormatting sqref="C38:D38">
    <ns0:cfRule type="cellIs" dxfId="2" priority="98" operator="notEqual">
      <ns0:formula>0</ns0:formula>
    </ns0:cfRule>
    <ns0:cfRule type="cellIs" dxfId="3" priority="99" operator="notEqual">
      <ns0:formula>0</ns0:formula>
    </ns0:cfRule>
  </ns0:conditionalFormatting>
  <ns0:conditionalFormatting sqref="E38">
    <ns0:cfRule type="cellIs" dxfId="2" priority="90" operator="notEqual">
      <ns0:formula>0</ns0:formula>
    </ns0:cfRule>
    <ns0:cfRule type="cellIs" dxfId="3" priority="91" operator="notEqual">
      <ns0:formula>0</ns0:formula>
    </ns0:cfRule>
    <ns0:cfRule type="cellIs" dxfId="1" priority="92" operator="lessThan">
      <ns0:formula>0</ns0:formula>
    </ns0:cfRule>
  </ns0:conditionalFormatting>
  <ns0:conditionalFormatting sqref="E41">
    <ns0:cfRule type="cellIs" dxfId="1" priority="78" operator="lessThan">
      <ns0:formula>0</ns0:formula>
    </ns0:cfRule>
  </ns0:conditionalFormatting>
  <ns0:conditionalFormatting sqref="E44">
    <ns0:cfRule type="cellIs" dxfId="1" priority="86" operator="lessThan">
      <ns0:formula>0</ns0:formula>
    </ns0:cfRule>
  </ns0:conditionalFormatting>
  <ns0:conditionalFormatting sqref="E45">
    <ns0:cfRule type="cellIs" dxfId="1" priority="83" operator="lessThan">
      <ns0:formula>0</ns0:formula>
    </ns0:cfRule>
  </ns0:conditionalFormatting>
  <ns0:conditionalFormatting sqref="E46">
    <ns0:cfRule type="cellIs" dxfId="1" priority="82" operator="lessThan">
      <ns0:formula>0</ns0:formula>
    </ns0:cfRule>
  </ns0:conditionalFormatting>
  <ns0:conditionalFormatting sqref="C47:D47">
    <ns0:cfRule type="cellIs" dxfId="2" priority="87" operator="notEqual">
      <ns0:formula>0</ns0:formula>
    </ns0:cfRule>
    <ns0:cfRule type="cellIs" dxfId="3" priority="88" operator="notEqual">
      <ns0:formula>0</ns0:formula>
    </ns0:cfRule>
  </ns0:conditionalFormatting>
  <ns0:conditionalFormatting sqref="E47">
    <ns0:cfRule type="cellIs" dxfId="2" priority="79" operator="notEqual">
      <ns0:formula>0</ns0:formula>
    </ns0:cfRule>
    <ns0:cfRule type="cellIs" dxfId="3" priority="80" operator="notEqual">
      <ns0:formula>0</ns0:formula>
    </ns0:cfRule>
    <ns0:cfRule type="cellIs" dxfId="1" priority="81" operator="lessThan">
      <ns0:formula>0</ns0:formula>
    </ns0:cfRule>
  </ns0:conditionalFormatting>
  <ns0:conditionalFormatting sqref="E50">
    <ns0:cfRule type="cellIs" dxfId="1" priority="67" operator="lessThan">
      <ns0:formula>0</ns0:formula>
    </ns0:cfRule>
  </ns0:conditionalFormatting>
  <ns0:conditionalFormatting sqref="E53">
    <ns0:cfRule type="cellIs" dxfId="1" priority="75" operator="lessThan">
      <ns0:formula>0</ns0:formula>
    </ns0:cfRule>
  </ns0:conditionalFormatting>
  <ns0:conditionalFormatting sqref="E54">
    <ns0:cfRule type="cellIs" dxfId="1" priority="72" operator="lessThan">
      <ns0:formula>0</ns0:formula>
    </ns0:cfRule>
  </ns0:conditionalFormatting>
  <ns0:conditionalFormatting sqref="E55">
    <ns0:cfRule type="cellIs" dxfId="1" priority="71" operator="lessThan">
      <ns0:formula>0</ns0:formula>
    </ns0:cfRule>
  </ns0:conditionalFormatting>
  <ns0:conditionalFormatting sqref="C56:D56">
    <ns0:cfRule type="cellIs" dxfId="2" priority="76" operator="notEqual">
      <ns0:formula>0</ns0:formula>
    </ns0:cfRule>
    <ns0:cfRule type="cellIs" dxfId="3" priority="77" operator="notEqual">
      <ns0:formula>0</ns0:formula>
    </ns0:cfRule>
  </ns0:conditionalFormatting>
  <ns0:conditionalFormatting sqref="E56">
    <ns0:cfRule type="cellIs" dxfId="2" priority="68" operator="notEqual">
      <ns0:formula>0</ns0:formula>
    </ns0:cfRule>
    <ns0:cfRule type="cellIs" dxfId="3" priority="69" operator="notEqual">
      <ns0:formula>0</ns0:formula>
    </ns0:cfRule>
    <ns0:cfRule type="cellIs" dxfId="1" priority="70" operator="lessThan">
      <ns0:formula>0</ns0:formula>
    </ns0:cfRule>
  </ns0:conditionalFormatting>
  <ns0:conditionalFormatting sqref="E59">
    <ns0:cfRule type="cellIs" dxfId="1" priority="56" operator="lessThan">
      <ns0:formula>0</ns0:formula>
    </ns0:cfRule>
  </ns0:conditionalFormatting>
  <ns0:conditionalFormatting sqref="E62">
    <ns0:cfRule type="cellIs" dxfId="1" priority="64" operator="lessThan">
      <ns0:formula>0</ns0:formula>
    </ns0:cfRule>
  </ns0:conditionalFormatting>
  <ns0:conditionalFormatting sqref="E63">
    <ns0:cfRule type="cellIs" dxfId="1" priority="61" operator="lessThan">
      <ns0:formula>0</ns0:formula>
    </ns0:cfRule>
  </ns0:conditionalFormatting>
  <ns0:conditionalFormatting sqref="E64">
    <ns0:cfRule type="cellIs" dxfId="1" priority="60" operator="lessThan">
      <ns0:formula>0</ns0:formula>
    </ns0:cfRule>
  </ns0:conditionalFormatting>
  <ns0:conditionalFormatting sqref="C65:D65">
    <ns0:cfRule type="cellIs" dxfId="2" priority="65" operator="notEqual">
      <ns0:formula>0</ns0:formula>
    </ns0:cfRule>
    <ns0:cfRule type="cellIs" dxfId="3" priority="66" operator="notEqual">
      <ns0:formula>0</ns0:formula>
    </ns0:cfRule>
  </ns0:conditionalFormatting>
  <ns0:conditionalFormatting sqref="E65">
    <ns0:cfRule type="cellIs" dxfId="2" priority="57" operator="notEqual">
      <ns0:formula>0</ns0:formula>
    </ns0:cfRule>
    <ns0:cfRule type="cellIs" dxfId="3" priority="58" operator="notEqual">
      <ns0:formula>0</ns0:formula>
    </ns0:cfRule>
    <ns0:cfRule type="cellIs" dxfId="1" priority="59" operator="lessThan">
      <ns0:formula>0</ns0:formula>
    </ns0:cfRule>
  </ns0:conditionalFormatting>
  <ns0:conditionalFormatting sqref="E68">
    <ns0:cfRule type="cellIs" dxfId="1" priority="45" operator="lessThan">
      <ns0:formula>0</ns0:formula>
    </ns0:cfRule>
  </ns0:conditionalFormatting>
  <ns0:conditionalFormatting sqref="E71">
    <ns0:cfRule type="cellIs" dxfId="1" priority="53" operator="lessThan">
      <ns0:formula>0</ns0:formula>
    </ns0:cfRule>
  </ns0:conditionalFormatting>
  <ns0:conditionalFormatting sqref="E72">
    <ns0:cfRule type="cellIs" dxfId="1" priority="50" operator="lessThan">
      <ns0:formula>0</ns0:formula>
    </ns0:cfRule>
  </ns0:conditionalFormatting>
  <ns0:conditionalFormatting sqref="E73">
    <ns0:cfRule type="cellIs" dxfId="1" priority="49" operator="lessThan">
      <ns0:formula>0</ns0:formula>
    </ns0:cfRule>
  </ns0:conditionalFormatting>
  <ns0:conditionalFormatting sqref="C74:D74">
    <ns0:cfRule type="cellIs" dxfId="2" priority="54" operator="notEqual">
      <ns0:formula>0</ns0:formula>
    </ns0:cfRule>
    <ns0:cfRule type="cellIs" dxfId="3" priority="55" operator="notEqual">
      <ns0:formula>0</ns0:formula>
    </ns0:cfRule>
  </ns0:conditionalFormatting>
  <ns0:conditionalFormatting sqref="E74">
    <ns0:cfRule type="cellIs" dxfId="2" priority="46" operator="notEqual">
      <ns0:formula>0</ns0:formula>
    </ns0:cfRule>
    <ns0:cfRule type="cellIs" dxfId="3" priority="47" operator="notEqual">
      <ns0:formula>0</ns0:formula>
    </ns0:cfRule>
    <ns0:cfRule type="cellIs" dxfId="1" priority="48" operator="lessThan">
      <ns0:formula>0</ns0:formula>
    </ns0:cfRule>
  </ns0:conditionalFormatting>
  <ns0:conditionalFormatting sqref="E77">
    <ns0:cfRule type="cellIs" dxfId="1" priority="34" operator="lessThan">
      <ns0:formula>0</ns0:formula>
    </ns0:cfRule>
  </ns0:conditionalFormatting>
  <ns0:conditionalFormatting sqref="E80">
    <ns0:cfRule type="cellIs" dxfId="1" priority="42" operator="lessThan">
      <ns0:formula>0</ns0:formula>
    </ns0:cfRule>
  </ns0:conditionalFormatting>
  <ns0:conditionalFormatting sqref="E81">
    <ns0:cfRule type="cellIs" dxfId="1" priority="39" operator="lessThan">
      <ns0:formula>0</ns0:formula>
    </ns0:cfRule>
  </ns0:conditionalFormatting>
  <ns0:conditionalFormatting sqref="E82">
    <ns0:cfRule type="cellIs" dxfId="1" priority="38" operator="lessThan">
      <ns0:formula>0</ns0:formula>
    </ns0:cfRule>
  </ns0:conditionalFormatting>
  <ns0:conditionalFormatting sqref="C83:D83">
    <ns0:cfRule type="cellIs" dxfId="2" priority="43" operator="notEqual">
      <ns0:formula>0</ns0:formula>
    </ns0:cfRule>
    <ns0:cfRule type="cellIs" dxfId="3" priority="44" operator="notEqual">
      <ns0:formula>0</ns0:formula>
    </ns0:cfRule>
  </ns0:conditionalFormatting>
  <ns0:conditionalFormatting sqref="E83">
    <ns0:cfRule type="cellIs" dxfId="2" priority="35" operator="notEqual">
      <ns0:formula>0</ns0:formula>
    </ns0:cfRule>
    <ns0:cfRule type="cellIs" dxfId="3" priority="36" operator="notEqual">
      <ns0:formula>0</ns0:formula>
    </ns0:cfRule>
    <ns0:cfRule type="cellIs" dxfId="1" priority="37" operator="lessThan">
      <ns0:formula>0</ns0:formula>
    </ns0:cfRule>
  </ns0:conditionalFormatting>
  <ns0:conditionalFormatting sqref="E86">
    <ns0:cfRule type="cellIs" dxfId="1" priority="20" operator="lessThan">
      <ns0:formula>0</ns0:formula>
    </ns0:cfRule>
  </ns0:conditionalFormatting>
  <ns0:conditionalFormatting sqref="E89">
    <ns0:cfRule type="cellIs" dxfId="1" priority="31" operator="lessThan">
      <ns0:formula>0</ns0:formula>
    </ns0:cfRule>
  </ns0:conditionalFormatting>
  <ns0:conditionalFormatting sqref="E90">
    <ns0:cfRule type="cellIs" dxfId="1" priority="28" operator="lessThan">
      <ns0:formula>0</ns0:formula>
    </ns0:cfRule>
  </ns0:conditionalFormatting>
  <ns0:conditionalFormatting sqref="E91">
    <ns0:cfRule type="cellIs" dxfId="1" priority="27" operator="lessThan">
      <ns0:formula>0</ns0:formula>
    </ns0:cfRule>
  </ns0:conditionalFormatting>
  <ns0:conditionalFormatting sqref="C92:D92">
    <ns0:cfRule type="cellIs" dxfId="2" priority="32" operator="notEqual">
      <ns0:formula>0</ns0:formula>
    </ns0:cfRule>
    <ns0:cfRule type="cellIs" dxfId="3" priority="33" operator="notEqual">
      <ns0:formula>0</ns0:formula>
    </ns0:cfRule>
  </ns0:conditionalFormatting>
  <ns0:conditionalFormatting sqref="E92">
    <ns0:cfRule type="cellIs" dxfId="2" priority="24" operator="notEqual">
      <ns0:formula>0</ns0:formula>
    </ns0:cfRule>
    <ns0:cfRule type="cellIs" dxfId="3" priority="25" operator="notEqual">
      <ns0:formula>0</ns0:formula>
    </ns0:cfRule>
    <ns0:cfRule type="cellIs" dxfId="1" priority="26" operator="lessThan">
      <ns0:formula>0</ns0:formula>
    </ns0:cfRule>
  </ns0:conditionalFormatting>
  <ns0:conditionalFormatting sqref="F92:AC92">
    <ns0:cfRule type="cellIs" dxfId="2" priority="21" operator="notEqual">
      <ns0:formula>0</ns0:formula>
    </ns0:cfRule>
    <ns0:cfRule type="cellIs" dxfId="3" priority="22" operator="notEqual">
      <ns0:formula>0</ns0:formula>
    </ns0:cfRule>
    <ns0:cfRule type="cellIs" dxfId="1" priority="23" operator="lessThan">
      <ns0:formula>0</ns0:formula>
    </ns0:cfRule>
  </ns0:conditionalFormatting>
  <ns0:conditionalFormatting sqref="F93:AC93">
    <ns0:cfRule type="cellIs" dxfId="0" priority="137" operator="lessThan">
      <ns0:formula>0</ns0:formula>
    </ns0:cfRule>
  </ns0:conditionalFormatting>
  <ns0:conditionalFormatting sqref="F94:AC94">
    <ns0:cfRule type="cellIs" dxfId="1" priority="136" operator="lessThan">
      <ns0:formula>0</ns0:formula>
    </ns0:cfRule>
  </ns0:conditionalFormatting>
  <ns0:conditionalFormatting sqref="E95:AC95">
    <ns0:cfRule type="cellIs" dxfId="1" priority="420" operator="lessThan">
      <ns0:formula>0</ns0:formula>
    </ns0:cfRule>
  </ns0:conditionalFormatting>
  <ns0:conditionalFormatting sqref="E98">
    <ns0:cfRule type="cellIs" dxfId="1" priority="433" operator="lessThan">
      <ns0:formula>0</ns0:formula>
    </ns0:cfRule>
  </ns0:conditionalFormatting>
  <ns0:conditionalFormatting sqref="E99">
    <ns0:cfRule type="cellIs" dxfId="1" priority="430" operator="lessThan">
      <ns0:formula>0</ns0:formula>
    </ns0:cfRule>
  </ns0:conditionalFormatting>
  <ns0:conditionalFormatting sqref="F99:AC99">
    <ns0:cfRule type="cellIs" dxfId="1" priority="422" operator="lessThan">
      <ns0:formula>0</ns0:formula>
    </ns0:cfRule>
  </ns0:conditionalFormatting>
  <ns0:conditionalFormatting sqref="E100">
    <ns0:cfRule type="cellIs" dxfId="1" priority="429" operator="lessThan">
      <ns0:formula>0</ns0:formula>
    </ns0:cfRule>
  </ns0:conditionalFormatting>
  <ns0:conditionalFormatting sqref="F100:AC100">
    <ns0:cfRule type="cellIs" dxfId="1" priority="421" operator="lessThan">
      <ns0:formula>0</ns0:formula>
    </ns0:cfRule>
  </ns0:conditionalFormatting>
  <ns0:conditionalFormatting sqref="C101:D101">
    <ns0:cfRule type="cellIs" dxfId="2" priority="435" operator="notEqual">
      <ns0:formula>0</ns0:formula>
    </ns0:cfRule>
    <ns0:cfRule type="cellIs" dxfId="3" priority="436" operator="notEqual">
      <ns0:formula>0</ns0:formula>
    </ns0:cfRule>
  </ns0:conditionalFormatting>
  <ns0:conditionalFormatting sqref="E101">
    <ns0:cfRule type="cellIs" dxfId="2" priority="426" operator="notEqual">
      <ns0:formula>0</ns0:formula>
    </ns0:cfRule>
    <ns0:cfRule type="cellIs" dxfId="3" priority="427" operator="notEqual">
      <ns0:formula>0</ns0:formula>
    </ns0:cfRule>
    <ns0:cfRule type="cellIs" dxfId="1" priority="428" operator="lessThan">
      <ns0:formula>0</ns0:formula>
    </ns0:cfRule>
  </ns0:conditionalFormatting>
  <ns0:conditionalFormatting sqref="F101:AC101">
    <ns0:cfRule type="cellIs" dxfId="2" priority="423" operator="notEqual">
      <ns0:formula>0</ns0:formula>
    </ns0:cfRule>
    <ns0:cfRule type="cellIs" dxfId="3" priority="424" operator="notEqual">
      <ns0:formula>0</ns0:formula>
    </ns0:cfRule>
    <ns0:cfRule type="cellIs" dxfId="1" priority="425" operator="lessThan">
      <ns0:formula>0</ns0:formula>
    </ns0:cfRule>
  </ns0:conditionalFormatting>
  <ns0:conditionalFormatting sqref="E104">
    <ns0:cfRule type="cellIs" dxfId="1" priority="404" operator="lessThan">
      <ns0:formula>0</ns0:formula>
    </ns0:cfRule>
  </ns0:conditionalFormatting>
  <ns0:conditionalFormatting sqref="E107">
    <ns0:cfRule type="cellIs" dxfId="1" priority="417" operator="lessThan">
      <ns0:formula>0</ns0:formula>
    </ns0:cfRule>
  </ns0:conditionalFormatting>
  <ns0:conditionalFormatting sqref="E108">
    <ns0:cfRule type="cellIs" dxfId="1" priority="414" operator="lessThan">
      <ns0:formula>0</ns0:formula>
    </ns0:cfRule>
  </ns0:conditionalFormatting>
  <ns0:conditionalFormatting sqref="F108:AC108">
    <ns0:cfRule type="cellIs" dxfId="1" priority="406" operator="lessThan">
      <ns0:formula>0</ns0:formula>
    </ns0:cfRule>
  </ns0:conditionalFormatting>
  <ns0:conditionalFormatting sqref="E109">
    <ns0:cfRule type="cellIs" dxfId="1" priority="413" operator="lessThan">
      <ns0:formula>0</ns0:formula>
    </ns0:cfRule>
  </ns0:conditionalFormatting>
  <ns0:conditionalFormatting sqref="F109:AC109">
    <ns0:cfRule type="cellIs" dxfId="1" priority="405" operator="lessThan">
      <ns0:formula>0</ns0:formula>
    </ns0:cfRule>
  </ns0:conditionalFormatting>
  <ns0:conditionalFormatting sqref="C110:D110">
    <ns0:cfRule type="cellIs" dxfId="2" priority="418" operator="notEqual">
      <ns0:formula>0</ns0:formula>
    </ns0:cfRule>
    <ns0:cfRule type="cellIs" dxfId="3" priority="419" operator="notEqual">
      <ns0:formula>0</ns0:formula>
    </ns0:cfRule>
  </ns0:conditionalFormatting>
  <ns0:conditionalFormatting sqref="E110">
    <ns0:cfRule type="cellIs" dxfId="2" priority="410" operator="notEqual">
      <ns0:formula>0</ns0:formula>
    </ns0:cfRule>
    <ns0:cfRule type="cellIs" dxfId="3" priority="411" operator="notEqual">
      <ns0:formula>0</ns0:formula>
    </ns0:cfRule>
    <ns0:cfRule type="cellIs" dxfId="1" priority="412" operator="lessThan">
      <ns0:formula>0</ns0:formula>
    </ns0:cfRule>
  </ns0:conditionalFormatting>
  <ns0:conditionalFormatting sqref="F110:AC110">
    <ns0:cfRule type="cellIs" dxfId="2" priority="407" operator="notEqual">
      <ns0:formula>0</ns0:formula>
    </ns0:cfRule>
    <ns0:cfRule type="cellIs" dxfId="3" priority="408" operator="notEqual">
      <ns0:formula>0</ns0:formula>
    </ns0:cfRule>
    <ns0:cfRule type="cellIs" dxfId="1" priority="409" operator="lessThan">
      <ns0:formula>0</ns0:formula>
    </ns0:cfRule>
  </ns0:conditionalFormatting>
  <ns0:conditionalFormatting sqref="E113">
    <ns0:cfRule type="cellIs" dxfId="1" priority="388" operator="lessThan">
      <ns0:formula>0</ns0:formula>
    </ns0:cfRule>
  </ns0:conditionalFormatting>
  <ns0:conditionalFormatting sqref="E116">
    <ns0:cfRule type="cellIs" dxfId="1" priority="401" operator="lessThan">
      <ns0:formula>0</ns0:formula>
    </ns0:cfRule>
  </ns0:conditionalFormatting>
  <ns0:conditionalFormatting sqref="E117">
    <ns0:cfRule type="cellIs" dxfId="1" priority="398" operator="lessThan">
      <ns0:formula>0</ns0:formula>
    </ns0:cfRule>
  </ns0:conditionalFormatting>
  <ns0:conditionalFormatting sqref="F117:AC117">
    <ns0:cfRule type="cellIs" dxfId="1" priority="390" operator="lessThan">
      <ns0:formula>0</ns0:formula>
    </ns0:cfRule>
  </ns0:conditionalFormatting>
  <ns0:conditionalFormatting sqref="E118">
    <ns0:cfRule type="cellIs" dxfId="1" priority="397" operator="lessThan">
      <ns0:formula>0</ns0:formula>
    </ns0:cfRule>
  </ns0:conditionalFormatting>
  <ns0:conditionalFormatting sqref="F118:AC118">
    <ns0:cfRule type="cellIs" dxfId="1" priority="389" operator="lessThan">
      <ns0:formula>0</ns0:formula>
    </ns0:cfRule>
  </ns0:conditionalFormatting>
  <ns0:conditionalFormatting sqref="C119:D119">
    <ns0:cfRule type="cellIs" dxfId="2" priority="402" operator="notEqual">
      <ns0:formula>0</ns0:formula>
    </ns0:cfRule>
    <ns0:cfRule type="cellIs" dxfId="3" priority="403" operator="notEqual">
      <ns0:formula>0</ns0:formula>
    </ns0:cfRule>
  </ns0:conditionalFormatting>
  <ns0:conditionalFormatting sqref="E119">
    <ns0:cfRule type="cellIs" dxfId="2" priority="394" operator="notEqual">
      <ns0:formula>0</ns0:formula>
    </ns0:cfRule>
    <ns0:cfRule type="cellIs" dxfId="3" priority="395" operator="notEqual">
      <ns0:formula>0</ns0:formula>
    </ns0:cfRule>
    <ns0:cfRule type="cellIs" dxfId="1" priority="396" operator="lessThan">
      <ns0:formula>0</ns0:formula>
    </ns0:cfRule>
  </ns0:conditionalFormatting>
  <ns0:conditionalFormatting sqref="F119:AC119">
    <ns0:cfRule type="cellIs" dxfId="2" priority="391" operator="notEqual">
      <ns0:formula>0</ns0:formula>
    </ns0:cfRule>
    <ns0:cfRule type="cellIs" dxfId="3" priority="392" operator="notEqual">
      <ns0:formula>0</ns0:formula>
    </ns0:cfRule>
    <ns0:cfRule type="cellIs" dxfId="1" priority="393" operator="lessThan">
      <ns0:formula>0</ns0:formula>
    </ns0:cfRule>
  </ns0:conditionalFormatting>
  <ns0:conditionalFormatting sqref="E122">
    <ns0:cfRule type="cellIs" dxfId="1" priority="372" operator="lessThan">
      <ns0:formula>0</ns0:formula>
    </ns0:cfRule>
  </ns0:conditionalFormatting>
  <ns0:conditionalFormatting sqref="E125">
    <ns0:cfRule type="cellIs" dxfId="1" priority="385" operator="lessThan">
      <ns0:formula>0</ns0:formula>
    </ns0:cfRule>
  </ns0:conditionalFormatting>
  <ns0:conditionalFormatting sqref="E126">
    <ns0:cfRule type="cellIs" dxfId="1" priority="382" operator="lessThan">
      <ns0:formula>0</ns0:formula>
    </ns0:cfRule>
  </ns0:conditionalFormatting>
  <ns0:conditionalFormatting sqref="F126:AC126">
    <ns0:cfRule type="cellIs" dxfId="1" priority="374" operator="lessThan">
      <ns0:formula>0</ns0:formula>
    </ns0:cfRule>
  </ns0:conditionalFormatting>
  <ns0:conditionalFormatting sqref="E127">
    <ns0:cfRule type="cellIs" dxfId="1" priority="381" operator="lessThan">
      <ns0:formula>0</ns0:formula>
    </ns0:cfRule>
  </ns0:conditionalFormatting>
  <ns0:conditionalFormatting sqref="F127:AC127">
    <ns0:cfRule type="cellIs" dxfId="1" priority="373" operator="lessThan">
      <ns0:formula>0</ns0:formula>
    </ns0:cfRule>
  </ns0:conditionalFormatting>
  <ns0:conditionalFormatting sqref="C128:D128">
    <ns0:cfRule type="cellIs" dxfId="2" priority="386" operator="notEqual">
      <ns0:formula>0</ns0:formula>
    </ns0:cfRule>
    <ns0:cfRule type="cellIs" dxfId="3" priority="387" operator="notEqual">
      <ns0:formula>0</ns0:formula>
    </ns0:cfRule>
  </ns0:conditionalFormatting>
  <ns0:conditionalFormatting sqref="E128">
    <ns0:cfRule type="cellIs" dxfId="2" priority="378" operator="notEqual">
      <ns0:formula>0</ns0:formula>
    </ns0:cfRule>
    <ns0:cfRule type="cellIs" dxfId="3" priority="379" operator="notEqual">
      <ns0:formula>0</ns0:formula>
    </ns0:cfRule>
    <ns0:cfRule type="cellIs" dxfId="1" priority="380" operator="lessThan">
      <ns0:formula>0</ns0:formula>
    </ns0:cfRule>
  </ns0:conditionalFormatting>
  <ns0:conditionalFormatting sqref="F128:AC128">
    <ns0:cfRule type="cellIs" dxfId="2" priority="375" operator="notEqual">
      <ns0:formula>0</ns0:formula>
    </ns0:cfRule>
    <ns0:cfRule type="cellIs" dxfId="3" priority="376" operator="notEqual">
      <ns0:formula>0</ns0:formula>
    </ns0:cfRule>
    <ns0:cfRule type="cellIs" dxfId="1" priority="377" operator="lessThan">
      <ns0:formula>0</ns0:formula>
    </ns0:cfRule>
  </ns0:conditionalFormatting>
  <ns0:conditionalFormatting sqref="E131">
    <ns0:cfRule type="cellIs" dxfId="1" priority="356" operator="lessThan">
      <ns0:formula>0</ns0:formula>
    </ns0:cfRule>
  </ns0:conditionalFormatting>
  <ns0:conditionalFormatting sqref="E134">
    <ns0:cfRule type="cellIs" dxfId="1" priority="369" operator="lessThan">
      <ns0:formula>0</ns0:formula>
    </ns0:cfRule>
  </ns0:conditionalFormatting>
  <ns0:conditionalFormatting sqref="E135">
    <ns0:cfRule type="cellIs" dxfId="1" priority="366" operator="lessThan">
      <ns0:formula>0</ns0:formula>
    </ns0:cfRule>
  </ns0:conditionalFormatting>
  <ns0:conditionalFormatting sqref="F135:AC135">
    <ns0:cfRule type="cellIs" dxfId="1" priority="358" operator="lessThan">
      <ns0:formula>0</ns0:formula>
    </ns0:cfRule>
  </ns0:conditionalFormatting>
  <ns0:conditionalFormatting sqref="E136">
    <ns0:cfRule type="cellIs" dxfId="1" priority="365" operator="lessThan">
      <ns0:formula>0</ns0:formula>
    </ns0:cfRule>
  </ns0:conditionalFormatting>
  <ns0:conditionalFormatting sqref="F136:AC136">
    <ns0:cfRule type="cellIs" dxfId="1" priority="357" operator="lessThan">
      <ns0:formula>0</ns0:formula>
    </ns0:cfRule>
  </ns0:conditionalFormatting>
  <ns0:conditionalFormatting sqref="C137:D137">
    <ns0:cfRule type="cellIs" dxfId="2" priority="370" operator="notEqual">
      <ns0:formula>0</ns0:formula>
    </ns0:cfRule>
    <ns0:cfRule type="cellIs" dxfId="3" priority="371" operator="notEqual">
      <ns0:formula>0</ns0:formula>
    </ns0:cfRule>
  </ns0:conditionalFormatting>
  <ns0:conditionalFormatting sqref="E137">
    <ns0:cfRule type="cellIs" dxfId="2" priority="362" operator="notEqual">
      <ns0:formula>0</ns0:formula>
    </ns0:cfRule>
    <ns0:cfRule type="cellIs" dxfId="3" priority="363" operator="notEqual">
      <ns0:formula>0</ns0:formula>
    </ns0:cfRule>
    <ns0:cfRule type="cellIs" dxfId="1" priority="364" operator="lessThan">
      <ns0:formula>0</ns0:formula>
    </ns0:cfRule>
  </ns0:conditionalFormatting>
  <ns0:conditionalFormatting sqref="F137:AC137">
    <ns0:cfRule type="cellIs" dxfId="2" priority="359" operator="notEqual">
      <ns0:formula>0</ns0:formula>
    </ns0:cfRule>
    <ns0:cfRule type="cellIs" dxfId="3" priority="360" operator="notEqual">
      <ns0:formula>0</ns0:formula>
    </ns0:cfRule>
    <ns0:cfRule type="cellIs" dxfId="1" priority="361" operator="lessThan">
      <ns0:formula>0</ns0:formula>
    </ns0:cfRule>
  </ns0:conditionalFormatting>
  <ns0:conditionalFormatting sqref="E140">
    <ns0:cfRule type="cellIs" dxfId="1" priority="340" operator="lessThan">
      <ns0:formula>0</ns0:formula>
    </ns0:cfRule>
  </ns0:conditionalFormatting>
  <ns0:conditionalFormatting sqref="E143">
    <ns0:cfRule type="cellIs" dxfId="1" priority="353" operator="lessThan">
      <ns0:formula>0</ns0:formula>
    </ns0:cfRule>
  </ns0:conditionalFormatting>
  <ns0:conditionalFormatting sqref="E144">
    <ns0:cfRule type="cellIs" dxfId="1" priority="350" operator="lessThan">
      <ns0:formula>0</ns0:formula>
    </ns0:cfRule>
  </ns0:conditionalFormatting>
  <ns0:conditionalFormatting sqref="F144:AC144">
    <ns0:cfRule type="cellIs" dxfId="1" priority="342" operator="lessThan">
      <ns0:formula>0</ns0:formula>
    </ns0:cfRule>
  </ns0:conditionalFormatting>
  <ns0:conditionalFormatting sqref="E145">
    <ns0:cfRule type="cellIs" dxfId="1" priority="349" operator="lessThan">
      <ns0:formula>0</ns0:formula>
    </ns0:cfRule>
  </ns0:conditionalFormatting>
  <ns0:conditionalFormatting sqref="F145:AC145">
    <ns0:cfRule type="cellIs" dxfId="1" priority="341" operator="lessThan">
      <ns0:formula>0</ns0:formula>
    </ns0:cfRule>
  </ns0:conditionalFormatting>
  <ns0:conditionalFormatting sqref="C146:D146">
    <ns0:cfRule type="cellIs" dxfId="2" priority="354" operator="notEqual">
      <ns0:formula>0</ns0:formula>
    </ns0:cfRule>
    <ns0:cfRule type="cellIs" dxfId="3" priority="355" operator="notEqual">
      <ns0:formula>0</ns0:formula>
    </ns0:cfRule>
  </ns0:conditionalFormatting>
  <ns0:conditionalFormatting sqref="E146">
    <ns0:cfRule type="cellIs" dxfId="2" priority="346" operator="notEqual">
      <ns0:formula>0</ns0:formula>
    </ns0:cfRule>
    <ns0:cfRule type="cellIs" dxfId="3" priority="347" operator="notEqual">
      <ns0:formula>0</ns0:formula>
    </ns0:cfRule>
    <ns0:cfRule type="cellIs" dxfId="1" priority="348" operator="lessThan">
      <ns0:formula>0</ns0:formula>
    </ns0:cfRule>
  </ns0:conditionalFormatting>
  <ns0:conditionalFormatting sqref="F146:AC146">
    <ns0:cfRule type="cellIs" dxfId="2" priority="343" operator="notEqual">
      <ns0:formula>0</ns0:formula>
    </ns0:cfRule>
    <ns0:cfRule type="cellIs" dxfId="3" priority="344" operator="notEqual">
      <ns0:formula>0</ns0:formula>
    </ns0:cfRule>
    <ns0:cfRule type="cellIs" dxfId="1" priority="345" operator="lessThan">
      <ns0:formula>0</ns0:formula>
    </ns0:cfRule>
  </ns0:conditionalFormatting>
  <ns0:conditionalFormatting sqref="E149">
    <ns0:cfRule type="cellIs" dxfId="1" priority="324" operator="lessThan">
      <ns0:formula>0</ns0:formula>
    </ns0:cfRule>
  </ns0:conditionalFormatting>
  <ns0:conditionalFormatting sqref="E152">
    <ns0:cfRule type="cellIs" dxfId="1" priority="337" operator="lessThan">
      <ns0:formula>0</ns0:formula>
    </ns0:cfRule>
  </ns0:conditionalFormatting>
  <ns0:conditionalFormatting sqref="E153">
    <ns0:cfRule type="cellIs" dxfId="1" priority="334" operator="lessThan">
      <ns0:formula>0</ns0:formula>
    </ns0:cfRule>
  </ns0:conditionalFormatting>
  <ns0:conditionalFormatting sqref="F153:AC153">
    <ns0:cfRule type="cellIs" dxfId="1" priority="326" operator="lessThan">
      <ns0:formula>0</ns0:formula>
    </ns0:cfRule>
  </ns0:conditionalFormatting>
  <ns0:conditionalFormatting sqref="E154">
    <ns0:cfRule type="cellIs" dxfId="1" priority="333" operator="lessThan">
      <ns0:formula>0</ns0:formula>
    </ns0:cfRule>
  </ns0:conditionalFormatting>
  <ns0:conditionalFormatting sqref="F154:AC154">
    <ns0:cfRule type="cellIs" dxfId="1" priority="325" operator="lessThan">
      <ns0:formula>0</ns0:formula>
    </ns0:cfRule>
  </ns0:conditionalFormatting>
  <ns0:conditionalFormatting sqref="C155:D155">
    <ns0:cfRule type="cellIs" dxfId="2" priority="338" operator="notEqual">
      <ns0:formula>0</ns0:formula>
    </ns0:cfRule>
    <ns0:cfRule type="cellIs" dxfId="3" priority="339" operator="notEqual">
      <ns0:formula>0</ns0:formula>
    </ns0:cfRule>
  </ns0:conditionalFormatting>
  <ns0:conditionalFormatting sqref="E155">
    <ns0:cfRule type="cellIs" dxfId="2" priority="330" operator="notEqual">
      <ns0:formula>0</ns0:formula>
    </ns0:cfRule>
    <ns0:cfRule type="cellIs" dxfId="3" priority="331" operator="notEqual">
      <ns0:formula>0</ns0:formula>
    </ns0:cfRule>
    <ns0:cfRule type="cellIs" dxfId="1" priority="332" operator="lessThan">
      <ns0:formula>0</ns0:formula>
    </ns0:cfRule>
  </ns0:conditionalFormatting>
  <ns0:conditionalFormatting sqref="F155:AC155">
    <ns0:cfRule type="cellIs" dxfId="2" priority="327" operator="notEqual">
      <ns0:formula>0</ns0:formula>
    </ns0:cfRule>
    <ns0:cfRule type="cellIs" dxfId="3" priority="328" operator="notEqual">
      <ns0:formula>0</ns0:formula>
    </ns0:cfRule>
    <ns0:cfRule type="cellIs" dxfId="1" priority="329" operator="lessThan">
      <ns0:formula>0</ns0:formula>
    </ns0:cfRule>
  </ns0:conditionalFormatting>
  <ns0:conditionalFormatting sqref="E158">
    <ns0:cfRule type="cellIs" dxfId="1" priority="313" operator="lessThan">
      <ns0:formula>0</ns0:formula>
    </ns0:cfRule>
  </ns0:conditionalFormatting>
  <ns0:conditionalFormatting sqref="E161">
    <ns0:cfRule type="cellIs" dxfId="1" priority="321" operator="lessThan">
      <ns0:formula>0</ns0:formula>
    </ns0:cfRule>
  </ns0:conditionalFormatting>
  <ns0:conditionalFormatting sqref="E162">
    <ns0:cfRule type="cellIs" dxfId="1" priority="318" operator="lessThan">
      <ns0:formula>0</ns0:formula>
    </ns0:cfRule>
  </ns0:conditionalFormatting>
  <ns0:conditionalFormatting sqref="E163">
    <ns0:cfRule type="cellIs" dxfId="1" priority="317" operator="lessThan">
      <ns0:formula>0</ns0:formula>
    </ns0:cfRule>
  </ns0:conditionalFormatting>
  <ns0:conditionalFormatting sqref="C164:D164">
    <ns0:cfRule type="cellIs" dxfId="2" priority="322" operator="notEqual">
      <ns0:formula>0</ns0:formula>
    </ns0:cfRule>
    <ns0:cfRule type="cellIs" dxfId="3" priority="323" operator="notEqual">
      <ns0:formula>0</ns0:formula>
    </ns0:cfRule>
  </ns0:conditionalFormatting>
  <ns0:conditionalFormatting sqref="E164">
    <ns0:cfRule type="cellIs" dxfId="2" priority="314" operator="notEqual">
      <ns0:formula>0</ns0:formula>
    </ns0:cfRule>
    <ns0:cfRule type="cellIs" dxfId="3" priority="315" operator="notEqual">
      <ns0:formula>0</ns0:formula>
    </ns0:cfRule>
    <ns0:cfRule type="cellIs" dxfId="1" priority="316" operator="lessThan">
      <ns0:formula>0</ns0:formula>
    </ns0:cfRule>
  </ns0:conditionalFormatting>
  <ns0:conditionalFormatting sqref="E167">
    <ns0:cfRule type="cellIs" dxfId="1" priority="302" operator="lessThan">
      <ns0:formula>0</ns0:formula>
    </ns0:cfRule>
  </ns0:conditionalFormatting>
  <ns0:conditionalFormatting sqref="E170">
    <ns0:cfRule type="cellIs" dxfId="1" priority="310" operator="lessThan">
      <ns0:formula>0</ns0:formula>
    </ns0:cfRule>
  </ns0:conditionalFormatting>
  <ns0:conditionalFormatting sqref="E171">
    <ns0:cfRule type="cellIs" dxfId="1" priority="307" operator="lessThan">
      <ns0:formula>0</ns0:formula>
    </ns0:cfRule>
  </ns0:conditionalFormatting>
  <ns0:conditionalFormatting sqref="E172">
    <ns0:cfRule type="cellIs" dxfId="1" priority="306" operator="lessThan">
      <ns0:formula>0</ns0:formula>
    </ns0:cfRule>
  </ns0:conditionalFormatting>
  <ns0:conditionalFormatting sqref="C173:D173">
    <ns0:cfRule type="cellIs" dxfId="2" priority="311" operator="notEqual">
      <ns0:formula>0</ns0:formula>
    </ns0:cfRule>
    <ns0:cfRule type="cellIs" dxfId="3" priority="312" operator="notEqual">
      <ns0:formula>0</ns0:formula>
    </ns0:cfRule>
  </ns0:conditionalFormatting>
  <ns0:conditionalFormatting sqref="E173">
    <ns0:cfRule type="cellIs" dxfId="2" priority="303" operator="notEqual">
      <ns0:formula>0</ns0:formula>
    </ns0:cfRule>
    <ns0:cfRule type="cellIs" dxfId="3" priority="304" operator="notEqual">
      <ns0:formula>0</ns0:formula>
    </ns0:cfRule>
    <ns0:cfRule type="cellIs" dxfId="1" priority="305" operator="lessThan">
      <ns0:formula>0</ns0:formula>
    </ns0:cfRule>
  </ns0:conditionalFormatting>
  <ns0:conditionalFormatting sqref="E176">
    <ns0:cfRule type="cellIs" dxfId="1" priority="291" operator="lessThan">
      <ns0:formula>0</ns0:formula>
    </ns0:cfRule>
  </ns0:conditionalFormatting>
  <ns0:conditionalFormatting sqref="E179">
    <ns0:cfRule type="cellIs" dxfId="1" priority="299" operator="lessThan">
      <ns0:formula>0</ns0:formula>
    </ns0:cfRule>
  </ns0:conditionalFormatting>
  <ns0:conditionalFormatting sqref="E180">
    <ns0:cfRule type="cellIs" dxfId="1" priority="296" operator="lessThan">
      <ns0:formula>0</ns0:formula>
    </ns0:cfRule>
  </ns0:conditionalFormatting>
  <ns0:conditionalFormatting sqref="E181">
    <ns0:cfRule type="cellIs" dxfId="1" priority="295" operator="lessThan">
      <ns0:formula>0</ns0:formula>
    </ns0:cfRule>
  </ns0:conditionalFormatting>
  <ns0:conditionalFormatting sqref="C182:D182">
    <ns0:cfRule type="cellIs" dxfId="2" priority="300" operator="notEqual">
      <ns0:formula>0</ns0:formula>
    </ns0:cfRule>
    <ns0:cfRule type="cellIs" dxfId="3" priority="301" operator="notEqual">
      <ns0:formula>0</ns0:formula>
    </ns0:cfRule>
  </ns0:conditionalFormatting>
  <ns0:conditionalFormatting sqref="E182">
    <ns0:cfRule type="cellIs" dxfId="2" priority="292" operator="notEqual">
      <ns0:formula>0</ns0:formula>
    </ns0:cfRule>
    <ns0:cfRule type="cellIs" dxfId="3" priority="293" operator="notEqual">
      <ns0:formula>0</ns0:formula>
    </ns0:cfRule>
    <ns0:cfRule type="cellIs" dxfId="1" priority="294" operator="lessThan">
      <ns0:formula>0</ns0:formula>
    </ns0:cfRule>
  </ns0:conditionalFormatting>
  <ns0:conditionalFormatting sqref="E185">
    <ns0:cfRule type="cellIs" dxfId="1" priority="280" operator="lessThan">
      <ns0:formula>0</ns0:formula>
    </ns0:cfRule>
  </ns0:conditionalFormatting>
  <ns0:conditionalFormatting sqref="E188">
    <ns0:cfRule type="cellIs" dxfId="1" priority="288" operator="lessThan">
      <ns0:formula>0</ns0:formula>
    </ns0:cfRule>
  </ns0:conditionalFormatting>
  <ns0:conditionalFormatting sqref="E189">
    <ns0:cfRule type="cellIs" dxfId="1" priority="285" operator="lessThan">
      <ns0:formula>0</ns0:formula>
    </ns0:cfRule>
  </ns0:conditionalFormatting>
  <ns0:conditionalFormatting sqref="E190">
    <ns0:cfRule type="cellIs" dxfId="1" priority="284" operator="lessThan">
      <ns0:formula>0</ns0:formula>
    </ns0:cfRule>
  </ns0:conditionalFormatting>
  <ns0:conditionalFormatting sqref="C191:D191">
    <ns0:cfRule type="cellIs" dxfId="2" priority="289" operator="notEqual">
      <ns0:formula>0</ns0:formula>
    </ns0:cfRule>
    <ns0:cfRule type="cellIs" dxfId="3" priority="290" operator="notEqual">
      <ns0:formula>0</ns0:formula>
    </ns0:cfRule>
  </ns0:conditionalFormatting>
  <ns0:conditionalFormatting sqref="E191">
    <ns0:cfRule type="cellIs" dxfId="2" priority="281" operator="notEqual">
      <ns0:formula>0</ns0:formula>
    </ns0:cfRule>
    <ns0:cfRule type="cellIs" dxfId="3" priority="282" operator="notEqual">
      <ns0:formula>0</ns0:formula>
    </ns0:cfRule>
    <ns0:cfRule type="cellIs" dxfId="1" priority="283" operator="lessThan">
      <ns0:formula>0</ns0:formula>
    </ns0:cfRule>
  </ns0:conditionalFormatting>
  <ns0:conditionalFormatting sqref="E194">
    <ns0:cfRule type="cellIs" dxfId="1" priority="269" operator="lessThan">
      <ns0:formula>0</ns0:formula>
    </ns0:cfRule>
  </ns0:conditionalFormatting>
  <ns0:conditionalFormatting sqref="E197">
    <ns0:cfRule type="cellIs" dxfId="1" priority="277" operator="lessThan">
      <ns0:formula>0</ns0:formula>
    </ns0:cfRule>
  </ns0:conditionalFormatting>
  <ns0:conditionalFormatting sqref="E198">
    <ns0:cfRule type="cellIs" dxfId="1" priority="274" operator="lessThan">
      <ns0:formula>0</ns0:formula>
    </ns0:cfRule>
  </ns0:conditionalFormatting>
  <ns0:conditionalFormatting sqref="E199">
    <ns0:cfRule type="cellIs" dxfId="1" priority="273" operator="lessThan">
      <ns0:formula>0</ns0:formula>
    </ns0:cfRule>
  </ns0:conditionalFormatting>
  <ns0:conditionalFormatting sqref="C200:D200">
    <ns0:cfRule type="cellIs" dxfId="2" priority="278" operator="notEqual">
      <ns0:formula>0</ns0:formula>
    </ns0:cfRule>
    <ns0:cfRule type="cellIs" dxfId="3" priority="279" operator="notEqual">
      <ns0:formula>0</ns0:formula>
    </ns0:cfRule>
  </ns0:conditionalFormatting>
  <ns0:conditionalFormatting sqref="E200">
    <ns0:cfRule type="cellIs" dxfId="2" priority="270" operator="notEqual">
      <ns0:formula>0</ns0:formula>
    </ns0:cfRule>
    <ns0:cfRule type="cellIs" dxfId="3" priority="271" operator="notEqual">
      <ns0:formula>0</ns0:formula>
    </ns0:cfRule>
    <ns0:cfRule type="cellIs" dxfId="1" priority="272" operator="lessThan">
      <ns0:formula>0</ns0:formula>
    </ns0:cfRule>
  </ns0:conditionalFormatting>
  <ns0:conditionalFormatting sqref="F202:AC202">
    <ns0:cfRule type="cellIs" dxfId="0" priority="252" operator="lessThan">
      <ns0:formula>0</ns0:formula>
    </ns0:cfRule>
  </ns0:conditionalFormatting>
  <ns0:conditionalFormatting sqref="E203:AC203">
    <ns0:cfRule type="cellIs" dxfId="1" priority="251" operator="lessThan">
      <ns0:formula>0</ns0:formula>
    </ns0:cfRule>
  </ns0:conditionalFormatting>
  <ns0:conditionalFormatting sqref="E206">
    <ns0:cfRule type="cellIs" dxfId="1" priority="265" operator="lessThan">
      <ns0:formula>0</ns0:formula>
    </ns0:cfRule>
  </ns0:conditionalFormatting>
  <ns0:conditionalFormatting sqref="E207">
    <ns0:cfRule type="cellIs" dxfId="1" priority="262" operator="lessThan">
      <ns0:formula>0</ns0:formula>
    </ns0:cfRule>
  </ns0:conditionalFormatting>
  <ns0:conditionalFormatting sqref="F207:AC207">
    <ns0:cfRule type="cellIs" dxfId="1" priority="254" operator="lessThan">
      <ns0:formula>0</ns0:formula>
    </ns0:cfRule>
  </ns0:conditionalFormatting>
  <ns0:conditionalFormatting sqref="E208">
    <ns0:cfRule type="cellIs" dxfId="1" priority="261" operator="lessThan">
      <ns0:formula>0</ns0:formula>
    </ns0:cfRule>
  </ns0:conditionalFormatting>
  <ns0:conditionalFormatting sqref="F208:AC208">
    <ns0:cfRule type="cellIs" dxfId="1" priority="253" operator="lessThan">
      <ns0:formula>0</ns0:formula>
    </ns0:cfRule>
  </ns0:conditionalFormatting>
  <ns0:conditionalFormatting sqref="C209:D209">
    <ns0:cfRule type="cellIs" dxfId="2" priority="267" operator="notEqual">
      <ns0:formula>0</ns0:formula>
    </ns0:cfRule>
    <ns0:cfRule type="cellIs" dxfId="3" priority="268" operator="notEqual">
      <ns0:formula>0</ns0:formula>
    </ns0:cfRule>
  </ns0:conditionalFormatting>
  <ns0:conditionalFormatting sqref="E209">
    <ns0:cfRule type="cellIs" dxfId="2" priority="258" operator="notEqual">
      <ns0:formula>0</ns0:formula>
    </ns0:cfRule>
    <ns0:cfRule type="cellIs" dxfId="3" priority="259" operator="notEqual">
      <ns0:formula>0</ns0:formula>
    </ns0:cfRule>
    <ns0:cfRule type="cellIs" dxfId="1" priority="260" operator="lessThan">
      <ns0:formula>0</ns0:formula>
    </ns0:cfRule>
  </ns0:conditionalFormatting>
  <ns0:conditionalFormatting sqref="F209:AC209">
    <ns0:cfRule type="cellIs" dxfId="2" priority="255" operator="notEqual">
      <ns0:formula>0</ns0:formula>
    </ns0:cfRule>
    <ns0:cfRule type="cellIs" dxfId="3" priority="256" operator="notEqual">
      <ns0:formula>0</ns0:formula>
    </ns0:cfRule>
    <ns0:cfRule type="cellIs" dxfId="1" priority="257" operator="lessThan">
      <ns0:formula>0</ns0:formula>
    </ns0:cfRule>
  </ns0:conditionalFormatting>
  <ns0:conditionalFormatting sqref="F211:AC211">
    <ns0:cfRule type="cellIs" dxfId="0" priority="234" operator="lessThan">
      <ns0:formula>0</ns0:formula>
    </ns0:cfRule>
  </ns0:conditionalFormatting>
  <ns0:conditionalFormatting sqref="E212:AC212">
    <ns0:cfRule type="cellIs" dxfId="1" priority="233" operator="lessThan">
      <ns0:formula>0</ns0:formula>
    </ns0:cfRule>
  </ns0:conditionalFormatting>
  <ns0:conditionalFormatting sqref="E215">
    <ns0:cfRule type="cellIs" dxfId="1" priority="247" operator="lessThan">
      <ns0:formula>0</ns0:formula>
    </ns0:cfRule>
  </ns0:conditionalFormatting>
  <ns0:conditionalFormatting sqref="E216">
    <ns0:cfRule type="cellIs" dxfId="1" priority="244" operator="lessThan">
      <ns0:formula>0</ns0:formula>
    </ns0:cfRule>
  </ns0:conditionalFormatting>
  <ns0:conditionalFormatting sqref="F216:AC216">
    <ns0:cfRule type="cellIs" dxfId="1" priority="236" operator="lessThan">
      <ns0:formula>0</ns0:formula>
    </ns0:cfRule>
  </ns0:conditionalFormatting>
  <ns0:conditionalFormatting sqref="E217">
    <ns0:cfRule type="cellIs" dxfId="1" priority="243" operator="lessThan">
      <ns0:formula>0</ns0:formula>
    </ns0:cfRule>
  </ns0:conditionalFormatting>
  <ns0:conditionalFormatting sqref="F217:AC217">
    <ns0:cfRule type="cellIs" dxfId="1" priority="235" operator="lessThan">
      <ns0:formula>0</ns0:formula>
    </ns0:cfRule>
  </ns0:conditionalFormatting>
  <ns0:conditionalFormatting sqref="C218:D218">
    <ns0:cfRule type="cellIs" dxfId="2" priority="249" operator="notEqual">
      <ns0:formula>0</ns0:formula>
    </ns0:cfRule>
    <ns0:cfRule type="cellIs" dxfId="3" priority="250" operator="notEqual">
      <ns0:formula>0</ns0:formula>
    </ns0:cfRule>
  </ns0:conditionalFormatting>
  <ns0:conditionalFormatting sqref="E218">
    <ns0:cfRule type="cellIs" dxfId="2" priority="240" operator="notEqual">
      <ns0:formula>0</ns0:formula>
    </ns0:cfRule>
    <ns0:cfRule type="cellIs" dxfId="3" priority="241" operator="notEqual">
      <ns0:formula>0</ns0:formula>
    </ns0:cfRule>
    <ns0:cfRule type="cellIs" dxfId="1" priority="242" operator="lessThan">
      <ns0:formula>0</ns0:formula>
    </ns0:cfRule>
  </ns0:conditionalFormatting>
  <ns0:conditionalFormatting sqref="F218:AC218">
    <ns0:cfRule type="cellIs" dxfId="2" priority="237" operator="notEqual">
      <ns0:formula>0</ns0:formula>
    </ns0:cfRule>
    <ns0:cfRule type="cellIs" dxfId="3" priority="238" operator="notEqual">
      <ns0:formula>0</ns0:formula>
    </ns0:cfRule>
    <ns0:cfRule type="cellIs" dxfId="1" priority="239" operator="lessThan">
      <ns0:formula>0</ns0:formula>
    </ns0:cfRule>
  </ns0:conditionalFormatting>
  <ns0:conditionalFormatting sqref="F220:AC220">
    <ns0:cfRule type="cellIs" dxfId="0" priority="216" operator="lessThan">
      <ns0:formula>0</ns0:formula>
    </ns0:cfRule>
  </ns0:conditionalFormatting>
  <ns0:conditionalFormatting sqref="E221:AC221">
    <ns0:cfRule type="cellIs" dxfId="1" priority="215" operator="lessThan">
      <ns0:formula>0</ns0:formula>
    </ns0:cfRule>
  </ns0:conditionalFormatting>
  <ns0:conditionalFormatting sqref="E224">
    <ns0:cfRule type="cellIs" dxfId="1" priority="229" operator="lessThan">
      <ns0:formula>0</ns0:formula>
    </ns0:cfRule>
  </ns0:conditionalFormatting>
  <ns0:conditionalFormatting sqref="E225">
    <ns0:cfRule type="cellIs" dxfId="1" priority="226" operator="lessThan">
      <ns0:formula>0</ns0:formula>
    </ns0:cfRule>
  </ns0:conditionalFormatting>
  <ns0:conditionalFormatting sqref="F225:AC225">
    <ns0:cfRule type="cellIs" dxfId="1" priority="218" operator="lessThan">
      <ns0:formula>0</ns0:formula>
    </ns0:cfRule>
  </ns0:conditionalFormatting>
  <ns0:conditionalFormatting sqref="E226">
    <ns0:cfRule type="cellIs" dxfId="1" priority="225" operator="lessThan">
      <ns0:formula>0</ns0:formula>
    </ns0:cfRule>
  </ns0:conditionalFormatting>
  <ns0:conditionalFormatting sqref="F226:AC226">
    <ns0:cfRule type="cellIs" dxfId="1" priority="217" operator="lessThan">
      <ns0:formula>0</ns0:formula>
    </ns0:cfRule>
  </ns0:conditionalFormatting>
  <ns0:conditionalFormatting sqref="C227:D227">
    <ns0:cfRule type="cellIs" dxfId="2" priority="231" operator="notEqual">
      <ns0:formula>0</ns0:formula>
    </ns0:cfRule>
    <ns0:cfRule type="cellIs" dxfId="3" priority="232" operator="notEqual">
      <ns0:formula>0</ns0:formula>
    </ns0:cfRule>
  </ns0:conditionalFormatting>
  <ns0:conditionalFormatting sqref="E227">
    <ns0:cfRule type="cellIs" dxfId="2" priority="222" operator="notEqual">
      <ns0:formula>0</ns0:formula>
    </ns0:cfRule>
    <ns0:cfRule type="cellIs" dxfId="3" priority="223" operator="notEqual">
      <ns0:formula>0</ns0:formula>
    </ns0:cfRule>
    <ns0:cfRule type="cellIs" dxfId="1" priority="224" operator="lessThan">
      <ns0:formula>0</ns0:formula>
    </ns0:cfRule>
  </ns0:conditionalFormatting>
  <ns0:conditionalFormatting sqref="F227:AC227">
    <ns0:cfRule type="cellIs" dxfId="2" priority="219" operator="notEqual">
      <ns0:formula>0</ns0:formula>
    </ns0:cfRule>
    <ns0:cfRule type="cellIs" dxfId="3" priority="220" operator="notEqual">
      <ns0:formula>0</ns0:formula>
    </ns0:cfRule>
    <ns0:cfRule type="cellIs" dxfId="1" priority="221" operator="lessThan">
      <ns0:formula>0</ns0:formula>
    </ns0:cfRule>
  </ns0:conditionalFormatting>
  <ns0:conditionalFormatting sqref="F229:AC229">
    <ns0:cfRule type="cellIs" dxfId="0" priority="198" operator="lessThan">
      <ns0:formula>0</ns0:formula>
    </ns0:cfRule>
  </ns0:conditionalFormatting>
  <ns0:conditionalFormatting sqref="E230:AC230">
    <ns0:cfRule type="cellIs" dxfId="1" priority="197" operator="lessThan">
      <ns0:formula>0</ns0:formula>
    </ns0:cfRule>
  </ns0:conditionalFormatting>
  <ns0:conditionalFormatting sqref="E233">
    <ns0:cfRule type="cellIs" dxfId="1" priority="211" operator="lessThan">
      <ns0:formula>0</ns0:formula>
    </ns0:cfRule>
  </ns0:conditionalFormatting>
  <ns0:conditionalFormatting sqref="E234">
    <ns0:cfRule type="cellIs" dxfId="1" priority="208" operator="lessThan">
      <ns0:formula>0</ns0:formula>
    </ns0:cfRule>
  </ns0:conditionalFormatting>
  <ns0:conditionalFormatting sqref="F234:AC234">
    <ns0:cfRule type="cellIs" dxfId="1" priority="200" operator="lessThan">
      <ns0:formula>0</ns0:formula>
    </ns0:cfRule>
  </ns0:conditionalFormatting>
  <ns0:conditionalFormatting sqref="E235">
    <ns0:cfRule type="cellIs" dxfId="1" priority="207" operator="lessThan">
      <ns0:formula>0</ns0:formula>
    </ns0:cfRule>
  </ns0:conditionalFormatting>
  <ns0:conditionalFormatting sqref="F235:AC235">
    <ns0:cfRule type="cellIs" dxfId="1" priority="199" operator="lessThan">
      <ns0:formula>0</ns0:formula>
    </ns0:cfRule>
  </ns0:conditionalFormatting>
  <ns0:conditionalFormatting sqref="C236:D236">
    <ns0:cfRule type="cellIs" dxfId="2" priority="213" operator="notEqual">
      <ns0:formula>0</ns0:formula>
    </ns0:cfRule>
    <ns0:cfRule type="cellIs" dxfId="3" priority="214" operator="notEqual">
      <ns0:formula>0</ns0:formula>
    </ns0:cfRule>
  </ns0:conditionalFormatting>
  <ns0:conditionalFormatting sqref="E236">
    <ns0:cfRule type="cellIs" dxfId="2" priority="204" operator="notEqual">
      <ns0:formula>0</ns0:formula>
    </ns0:cfRule>
    <ns0:cfRule type="cellIs" dxfId="3" priority="205" operator="notEqual">
      <ns0:formula>0</ns0:formula>
    </ns0:cfRule>
    <ns0:cfRule type="cellIs" dxfId="1" priority="206" operator="lessThan">
      <ns0:formula>0</ns0:formula>
    </ns0:cfRule>
  </ns0:conditionalFormatting>
  <ns0:conditionalFormatting sqref="F236:AC236">
    <ns0:cfRule type="cellIs" dxfId="2" priority="201" operator="notEqual">
      <ns0:formula>0</ns0:formula>
    </ns0:cfRule>
    <ns0:cfRule type="cellIs" dxfId="3" priority="202" operator="notEqual">
      <ns0:formula>0</ns0:formula>
    </ns0:cfRule>
    <ns0:cfRule type="cellIs" dxfId="1" priority="203" operator="lessThan">
      <ns0:formula>0</ns0:formula>
    </ns0:cfRule>
  </ns0:conditionalFormatting>
  <ns0:conditionalFormatting sqref="F238:AC238">
    <ns0:cfRule type="cellIs" dxfId="0" priority="180" operator="lessThan">
      <ns0:formula>0</ns0:formula>
    </ns0:cfRule>
  </ns0:conditionalFormatting>
  <ns0:conditionalFormatting sqref="E239:AC239">
    <ns0:cfRule type="cellIs" dxfId="1" priority="179" operator="lessThan">
      <ns0:formula>0</ns0:formula>
    </ns0:cfRule>
  </ns0:conditionalFormatting>
  <ns0:conditionalFormatting sqref="E242">
    <ns0:cfRule type="cellIs" dxfId="1" priority="193" operator="lessThan">
      <ns0:formula>0</ns0:formula>
    </ns0:cfRule>
  </ns0:conditionalFormatting>
  <ns0:conditionalFormatting sqref="E243">
    <ns0:cfRule type="cellIs" dxfId="1" priority="190" operator="lessThan">
      <ns0:formula>0</ns0:formula>
    </ns0:cfRule>
  </ns0:conditionalFormatting>
  <ns0:conditionalFormatting sqref="F243:AC243">
    <ns0:cfRule type="cellIs" dxfId="1" priority="182" operator="lessThan">
      <ns0:formula>0</ns0:formula>
    </ns0:cfRule>
  </ns0:conditionalFormatting>
  <ns0:conditionalFormatting sqref="E244">
    <ns0:cfRule type="cellIs" dxfId="1" priority="189" operator="lessThan">
      <ns0:formula>0</ns0:formula>
    </ns0:cfRule>
  </ns0:conditionalFormatting>
  <ns0:conditionalFormatting sqref="F244:AC244">
    <ns0:cfRule type="cellIs" dxfId="1" priority="181" operator="lessThan">
      <ns0:formula>0</ns0:formula>
    </ns0:cfRule>
  </ns0:conditionalFormatting>
  <ns0:conditionalFormatting sqref="C245:D245">
    <ns0:cfRule type="cellIs" dxfId="2" priority="195" operator="notEqual">
      <ns0:formula>0</ns0:formula>
    </ns0:cfRule>
    <ns0:cfRule type="cellIs" dxfId="3" priority="196" operator="notEqual">
      <ns0:formula>0</ns0:formula>
    </ns0:cfRule>
  </ns0:conditionalFormatting>
  <ns0:conditionalFormatting sqref="E245">
    <ns0:cfRule type="cellIs" dxfId="2" priority="186" operator="notEqual">
      <ns0:formula>0</ns0:formula>
    </ns0:cfRule>
    <ns0:cfRule type="cellIs" dxfId="3" priority="187" operator="notEqual">
      <ns0:formula>0</ns0:formula>
    </ns0:cfRule>
    <ns0:cfRule type="cellIs" dxfId="1" priority="188" operator="lessThan">
      <ns0:formula>0</ns0:formula>
    </ns0:cfRule>
  </ns0:conditionalFormatting>
  <ns0:conditionalFormatting sqref="F245:AC245">
    <ns0:cfRule type="cellIs" dxfId="2" priority="183" operator="notEqual">
      <ns0:formula>0</ns0:formula>
    </ns0:cfRule>
    <ns0:cfRule type="cellIs" dxfId="3" priority="184" operator="notEqual">
      <ns0:formula>0</ns0:formula>
    </ns0:cfRule>
    <ns0:cfRule type="cellIs" dxfId="1" priority="185" operator="lessThan">
      <ns0:formula>0</ns0:formula>
    </ns0:cfRule>
  </ns0:conditionalFormatting>
  <ns0:conditionalFormatting sqref="F247:AC247">
    <ns0:cfRule type="cellIs" dxfId="0" priority="162" operator="lessThan">
      <ns0:formula>0</ns0:formula>
    </ns0:cfRule>
  </ns0:conditionalFormatting>
  <ns0:conditionalFormatting sqref="E248:AC248">
    <ns0:cfRule type="cellIs" dxfId="1" priority="161" operator="lessThan">
      <ns0:formula>0</ns0:formula>
    </ns0:cfRule>
  </ns0:conditionalFormatting>
  <ns0:conditionalFormatting sqref="E251">
    <ns0:cfRule type="cellIs" dxfId="1" priority="175" operator="lessThan">
      <ns0:formula>0</ns0:formula>
    </ns0:cfRule>
  </ns0:conditionalFormatting>
  <ns0:conditionalFormatting sqref="E252">
    <ns0:cfRule type="cellIs" dxfId="1" priority="172" operator="lessThan">
      <ns0:formula>0</ns0:formula>
    </ns0:cfRule>
  </ns0:conditionalFormatting>
  <ns0:conditionalFormatting sqref="F252:AC252">
    <ns0:cfRule type="cellIs" dxfId="1" priority="164" operator="lessThan">
      <ns0:formula>0</ns0:formula>
    </ns0:cfRule>
  </ns0:conditionalFormatting>
  <ns0:conditionalFormatting sqref="E253">
    <ns0:cfRule type="cellIs" dxfId="1" priority="171" operator="lessThan">
      <ns0:formula>0</ns0:formula>
    </ns0:cfRule>
  </ns0:conditionalFormatting>
  <ns0:conditionalFormatting sqref="F253:AC253">
    <ns0:cfRule type="cellIs" dxfId="1" priority="163" operator="lessThan">
      <ns0:formula>0</ns0:formula>
    </ns0:cfRule>
  </ns0:conditionalFormatting>
  <ns0:conditionalFormatting sqref="C254:D254">
    <ns0:cfRule type="cellIs" dxfId="2" priority="177" operator="notEqual">
      <ns0:formula>0</ns0:formula>
    </ns0:cfRule>
    <ns0:cfRule type="cellIs" dxfId="3" priority="178" operator="notEqual">
      <ns0:formula>0</ns0:formula>
    </ns0:cfRule>
  </ns0:conditionalFormatting>
  <ns0:conditionalFormatting sqref="E254">
    <ns0:cfRule type="cellIs" dxfId="2" priority="168" operator="notEqual">
      <ns0:formula>0</ns0:formula>
    </ns0:cfRule>
    <ns0:cfRule type="cellIs" dxfId="3" priority="169" operator="notEqual">
      <ns0:formula>0</ns0:formula>
    </ns0:cfRule>
    <ns0:cfRule type="cellIs" dxfId="1" priority="170" operator="lessThan">
      <ns0:formula>0</ns0:formula>
    </ns0:cfRule>
  </ns0:conditionalFormatting>
  <ns0:conditionalFormatting sqref="F254:AC254">
    <ns0:cfRule type="cellIs" dxfId="2" priority="165" operator="notEqual">
      <ns0:formula>0</ns0:formula>
    </ns0:cfRule>
    <ns0:cfRule type="cellIs" dxfId="3" priority="166" operator="notEqual">
      <ns0:formula>0</ns0:formula>
    </ns0:cfRule>
    <ns0:cfRule type="cellIs" dxfId="1" priority="167" operator="lessThan">
      <ns0:formula>0</ns0:formula>
    </ns0:cfRule>
  </ns0:conditionalFormatting>
  <ns0:conditionalFormatting sqref="F274:AC274">
    <ns0:cfRule type="cellIs" dxfId="0" priority="2" operator="lessThan">
      <ns0:formula>0</ns0:formula>
    </ns0:cfRule>
  </ns0:conditionalFormatting>
  <ns0:conditionalFormatting sqref="E275:AC275">
    <ns0:cfRule type="cellIs" dxfId="1" priority="1" operator="lessThan">
      <ns0:formula>0</ns0:formula>
    </ns0:cfRule>
  </ns0:conditionalFormatting>
  <ns0:conditionalFormatting sqref="E278">
    <ns0:cfRule type="cellIs" dxfId="1" priority="15" operator="lessThan">
      <ns0:formula>0</ns0:formula>
    </ns0:cfRule>
  </ns0:conditionalFormatting>
  <ns0:conditionalFormatting sqref="E279">
    <ns0:cfRule type="cellIs" dxfId="1" priority="12" operator="lessThan">
      <ns0:formula>0</ns0:formula>
    </ns0:cfRule>
  </ns0:conditionalFormatting>
  <ns0:conditionalFormatting sqref="F279:AC279">
    <ns0:cfRule type="cellIs" dxfId="1" priority="4" operator="lessThan">
      <ns0:formula>0</ns0:formula>
    </ns0:cfRule>
  </ns0:conditionalFormatting>
  <ns0:conditionalFormatting sqref="E280">
    <ns0:cfRule type="cellIs" dxfId="1" priority="11" operator="lessThan">
      <ns0:formula>0</ns0:formula>
    </ns0:cfRule>
  </ns0:conditionalFormatting>
  <ns0:conditionalFormatting sqref="F280:AC280">
    <ns0:cfRule type="cellIs" dxfId="1" priority="3" operator="lessThan">
      <ns0:formula>0</ns0:formula>
    </ns0:cfRule>
  </ns0:conditionalFormatting>
  <ns0:conditionalFormatting sqref="C281:D281">
    <ns0:cfRule type="cellIs" dxfId="2" priority="17" operator="notEqual">
      <ns0:formula>0</ns0:formula>
    </ns0:cfRule>
    <ns0:cfRule type="cellIs" dxfId="3" priority="18" operator="notEqual">
      <ns0:formula>0</ns0:formula>
    </ns0:cfRule>
  </ns0:conditionalFormatting>
  <ns0:conditionalFormatting sqref="E281">
    <ns0:cfRule type="cellIs" dxfId="2" priority="8" operator="notEqual">
      <ns0:formula>0</ns0:formula>
    </ns0:cfRule>
    <ns0:cfRule type="cellIs" dxfId="3" priority="9" operator="notEqual">
      <ns0:formula>0</ns0:formula>
    </ns0:cfRule>
    <ns0:cfRule type="cellIs" dxfId="1" priority="10" operator="lessThan">
      <ns0:formula>0</ns0:formula>
    </ns0:cfRule>
  </ns0:conditionalFormatting>
  <ns0:conditionalFormatting sqref="F281:AC281">
    <ns0:cfRule type="cellIs" dxfId="2" priority="5" operator="notEqual">
      <ns0:formula>0</ns0:formula>
    </ns0:cfRule>
    <ns0:cfRule type="cellIs" dxfId="3" priority="6" operator="notEqual">
      <ns0:formula>0</ns0:formula>
    </ns0:cfRule>
    <ns0:cfRule type="cellIs" dxfId="1" priority="7" operator="lessThan">
      <ns0:formula>0</ns0:formula>
    </ns0:cfRule>
  </ns0:conditionalFormatting>
  <ns0:conditionalFormatting sqref="E3:E4">
    <ns0:cfRule type="cellIs" dxfId="1" priority="129" operator="lessThan">
      <ns0:formula>0</ns0:formula>
    </ns0:cfRule>
  </ns0:conditionalFormatting>
  <ns0:conditionalFormatting sqref="E6:E7">
    <ns0:cfRule type="cellIs" dxfId="1" priority="128" operator="lessThan">
      <ns0:formula>0</ns0:formula>
    </ns0:cfRule>
  </ns0:conditionalFormatting>
  <ns0:conditionalFormatting sqref="E12:E13">
    <ns0:cfRule type="cellIs" dxfId="1" priority="118" operator="lessThan">
      <ns0:formula>0</ns0:formula>
    </ns0:cfRule>
  </ns0:conditionalFormatting>
  <ns0:conditionalFormatting sqref="E15:E16">
    <ns0:cfRule type="cellIs" dxfId="1" priority="117" operator="lessThan">
      <ns0:formula>0</ns0:formula>
    </ns0:cfRule>
  </ns0:conditionalFormatting>
  <ns0:conditionalFormatting sqref="E21:E22">
    <ns0:cfRule type="cellIs" dxfId="1" priority="107" operator="lessThan">
      <ns0:formula>0</ns0:formula>
    </ns0:cfRule>
  </ns0:conditionalFormatting>
  <ns0:conditionalFormatting sqref="E24:E25">
    <ns0:cfRule type="cellIs" dxfId="1" priority="106" operator="lessThan">
      <ns0:formula>0</ns0:formula>
    </ns0:cfRule>
  </ns0:conditionalFormatting>
  <ns0:conditionalFormatting sqref="E30:E31">
    <ns0:cfRule type="cellIs" dxfId="1" priority="96" operator="lessThan">
      <ns0:formula>0</ns0:formula>
    </ns0:cfRule>
  </ns0:conditionalFormatting>
  <ns0:conditionalFormatting sqref="E33:E34">
    <ns0:cfRule type="cellIs" dxfId="1" priority="95" operator="lessThan">
      <ns0:formula>0</ns0:formula>
    </ns0:cfRule>
  </ns0:conditionalFormatting>
  <ns0:conditionalFormatting sqref="E39:E40">
    <ns0:cfRule type="cellIs" dxfId="1" priority="85" operator="lessThan">
      <ns0:formula>0</ns0:formula>
    </ns0:cfRule>
  </ns0:conditionalFormatting>
  <ns0:conditionalFormatting sqref="E42:E43">
    <ns0:cfRule type="cellIs" dxfId="1" priority="84" operator="lessThan">
      <ns0:formula>0</ns0:formula>
    </ns0:cfRule>
  </ns0:conditionalFormatting>
  <ns0:conditionalFormatting sqref="E48:E49">
    <ns0:cfRule type="cellIs" dxfId="1" priority="74" operator="lessThan">
      <ns0:formula>0</ns0:formula>
    </ns0:cfRule>
  </ns0:conditionalFormatting>
  <ns0:conditionalFormatting sqref="E51:E52">
    <ns0:cfRule type="cellIs" dxfId="1" priority="73" operator="lessThan">
      <ns0:formula>0</ns0:formula>
    </ns0:cfRule>
  </ns0:conditionalFormatting>
  <ns0:conditionalFormatting sqref="E57:E58">
    <ns0:cfRule type="cellIs" dxfId="1" priority="63" operator="lessThan">
      <ns0:formula>0</ns0:formula>
    </ns0:cfRule>
  </ns0:conditionalFormatting>
  <ns0:conditionalFormatting sqref="E60:E61">
    <ns0:cfRule type="cellIs" dxfId="1" priority="62" operator="lessThan">
      <ns0:formula>0</ns0:formula>
    </ns0:cfRule>
  </ns0:conditionalFormatting>
  <ns0:conditionalFormatting sqref="E66:E67">
    <ns0:cfRule type="cellIs" dxfId="1" priority="52" operator="lessThan">
      <ns0:formula>0</ns0:formula>
    </ns0:cfRule>
  </ns0:conditionalFormatting>
  <ns0:conditionalFormatting sqref="E69:E70">
    <ns0:cfRule type="cellIs" dxfId="1" priority="51" operator="lessThan">
      <ns0:formula>0</ns0:formula>
    </ns0:cfRule>
  </ns0:conditionalFormatting>
  <ns0:conditionalFormatting sqref="E75:E76">
    <ns0:cfRule type="cellIs" dxfId="1" priority="41" operator="lessThan">
      <ns0:formula>0</ns0:formula>
    </ns0:cfRule>
  </ns0:conditionalFormatting>
  <ns0:conditionalFormatting sqref="E78:E79">
    <ns0:cfRule type="cellIs" dxfId="1" priority="40" operator="lessThan">
      <ns0:formula>0</ns0:formula>
    </ns0:cfRule>
  </ns0:conditionalFormatting>
  <ns0:conditionalFormatting sqref="E84:E85">
    <ns0:cfRule type="cellIs" dxfId="1" priority="30" operator="lessThan">
      <ns0:formula>0</ns0:formula>
    </ns0:cfRule>
  </ns0:conditionalFormatting>
  <ns0:conditionalFormatting sqref="E87:E88">
    <ns0:cfRule type="cellIs" dxfId="1" priority="29" operator="lessThan">
      <ns0:formula>0</ns0:formula>
    </ns0:cfRule>
  </ns0:conditionalFormatting>
  <ns0:conditionalFormatting sqref="E93:E94">
    <ns0:cfRule type="cellIs" dxfId="1" priority="432" operator="lessThan">
      <ns0:formula>0</ns0:formula>
    </ns0:cfRule>
  </ns0:conditionalFormatting>
  <ns0:conditionalFormatting sqref="E96:E97">
    <ns0:cfRule type="cellIs" dxfId="1" priority="431" operator="lessThan">
      <ns0:formula>0</ns0:formula>
    </ns0:cfRule>
  </ns0:conditionalFormatting>
  <ns0:conditionalFormatting sqref="E102:E103">
    <ns0:cfRule type="cellIs" dxfId="1" priority="416" operator="lessThan">
      <ns0:formula>0</ns0:formula>
    </ns0:cfRule>
  </ns0:conditionalFormatting>
  <ns0:conditionalFormatting sqref="E105:E106">
    <ns0:cfRule type="cellIs" dxfId="1" priority="415" operator="lessThan">
      <ns0:formula>0</ns0:formula>
    </ns0:cfRule>
  </ns0:conditionalFormatting>
  <ns0:conditionalFormatting sqref="E111:E112">
    <ns0:cfRule type="cellIs" dxfId="1" priority="400" operator="lessThan">
      <ns0:formula>0</ns0:formula>
    </ns0:cfRule>
  </ns0:conditionalFormatting>
  <ns0:conditionalFormatting sqref="E114:E115">
    <ns0:cfRule type="cellIs" dxfId="1" priority="399" operator="lessThan">
      <ns0:formula>0</ns0:formula>
    </ns0:cfRule>
  </ns0:conditionalFormatting>
  <ns0:conditionalFormatting sqref="E120:E121">
    <ns0:cfRule type="cellIs" dxfId="1" priority="384" operator="lessThan">
      <ns0:formula>0</ns0:formula>
    </ns0:cfRule>
  </ns0:conditionalFormatting>
  <ns0:conditionalFormatting sqref="E123:E124">
    <ns0:cfRule type="cellIs" dxfId="1" priority="383" operator="lessThan">
      <ns0:formula>0</ns0:formula>
    </ns0:cfRule>
  </ns0:conditionalFormatting>
  <ns0:conditionalFormatting sqref="E129:E130">
    <ns0:cfRule type="cellIs" dxfId="1" priority="368" operator="lessThan">
      <ns0:formula>0</ns0:formula>
    </ns0:cfRule>
  </ns0:conditionalFormatting>
  <ns0:conditionalFormatting sqref="E132:E133">
    <ns0:cfRule type="cellIs" dxfId="1" priority="367" operator="lessThan">
      <ns0:formula>0</ns0:formula>
    </ns0:cfRule>
  </ns0:conditionalFormatting>
  <ns0:conditionalFormatting sqref="E138:E139">
    <ns0:cfRule type="cellIs" dxfId="1" priority="352" operator="lessThan">
      <ns0:formula>0</ns0:formula>
    </ns0:cfRule>
  </ns0:conditionalFormatting>
  <ns0:conditionalFormatting sqref="E141:E142">
    <ns0:cfRule type="cellIs" dxfId="1" priority="351" operator="lessThan">
      <ns0:formula>0</ns0:formula>
    </ns0:cfRule>
  </ns0:conditionalFormatting>
  <ns0:conditionalFormatting sqref="E147:E148">
    <ns0:cfRule type="cellIs" dxfId="1" priority="336" operator="lessThan">
      <ns0:formula>0</ns0:formula>
    </ns0:cfRule>
  </ns0:conditionalFormatting>
  <ns0:conditionalFormatting sqref="E150:E151">
    <ns0:cfRule type="cellIs" dxfId="1" priority="335" operator="lessThan">
      <ns0:formula>0</ns0:formula>
    </ns0:cfRule>
  </ns0:conditionalFormatting>
  <ns0:conditionalFormatting sqref="E156:E157">
    <ns0:cfRule type="cellIs" dxfId="1" priority="320" operator="lessThan">
      <ns0:formula>0</ns0:formula>
    </ns0:cfRule>
  </ns0:conditionalFormatting>
  <ns0:conditionalFormatting sqref="E159:E160">
    <ns0:cfRule type="cellIs" dxfId="1" priority="319" operator="lessThan">
      <ns0:formula>0</ns0:formula>
    </ns0:cfRule>
  </ns0:conditionalFormatting>
  <ns0:conditionalFormatting sqref="E165:E166">
    <ns0:cfRule type="cellIs" dxfId="1" priority="309" operator="lessThan">
      <ns0:formula>0</ns0:formula>
    </ns0:cfRule>
  </ns0:conditionalFormatting>
  <ns0:conditionalFormatting sqref="E168:E169">
    <ns0:cfRule type="cellIs" dxfId="1" priority="308" operator="lessThan">
      <ns0:formula>0</ns0:formula>
    </ns0:cfRule>
  </ns0:conditionalFormatting>
  <ns0:conditionalFormatting sqref="E174:E175">
    <ns0:cfRule type="cellIs" dxfId="1" priority="298" operator="lessThan">
      <ns0:formula>0</ns0:formula>
    </ns0:cfRule>
  </ns0:conditionalFormatting>
  <ns0:conditionalFormatting sqref="E177:E178">
    <ns0:cfRule type="cellIs" dxfId="1" priority="297" operator="lessThan">
      <ns0:formula>0</ns0:formula>
    </ns0:cfRule>
  </ns0:conditionalFormatting>
  <ns0:conditionalFormatting sqref="E183:E184">
    <ns0:cfRule type="cellIs" dxfId="1" priority="287" operator="lessThan">
      <ns0:formula>0</ns0:formula>
    </ns0:cfRule>
  </ns0:conditionalFormatting>
  <ns0:conditionalFormatting sqref="E186:E187">
    <ns0:cfRule type="cellIs" dxfId="1" priority="286" operator="lessThan">
      <ns0:formula>0</ns0:formula>
    </ns0:cfRule>
  </ns0:conditionalFormatting>
  <ns0:conditionalFormatting sqref="E192:E193">
    <ns0:cfRule type="cellIs" dxfId="1" priority="276" operator="lessThan">
      <ns0:formula>0</ns0:formula>
    </ns0:cfRule>
  </ns0:conditionalFormatting>
  <ns0:conditionalFormatting sqref="E195:E196">
    <ns0:cfRule type="cellIs" dxfId="1" priority="275" operator="lessThan">
      <ns0:formula>0</ns0:formula>
    </ns0:cfRule>
  </ns0:conditionalFormatting>
  <ns0:conditionalFormatting sqref="E201:E202">
    <ns0:cfRule type="cellIs" dxfId="1" priority="264" operator="lessThan">
      <ns0:formula>0</ns0:formula>
    </ns0:cfRule>
  </ns0:conditionalFormatting>
  <ns0:conditionalFormatting sqref="E204:E205">
    <ns0:cfRule type="cellIs" dxfId="1" priority="263" operator="lessThan">
      <ns0:formula>0</ns0:formula>
    </ns0:cfRule>
  </ns0:conditionalFormatting>
  <ns0:conditionalFormatting sqref="E210:E211">
    <ns0:cfRule type="cellIs" dxfId="1" priority="246" operator="lessThan">
      <ns0:formula>0</ns0:formula>
    </ns0:cfRule>
  </ns0:conditionalFormatting>
  <ns0:conditionalFormatting sqref="E213:E214">
    <ns0:cfRule type="cellIs" dxfId="1" priority="245" operator="lessThan">
      <ns0:formula>0</ns0:formula>
    </ns0:cfRule>
  </ns0:conditionalFormatting>
  <ns0:conditionalFormatting sqref="E219:E220">
    <ns0:cfRule type="cellIs" dxfId="1" priority="228" operator="lessThan">
      <ns0:formula>0</ns0:formula>
    </ns0:cfRule>
  </ns0:conditionalFormatting>
  <ns0:conditionalFormatting sqref="E222:E223">
    <ns0:cfRule type="cellIs" dxfId="1" priority="227" operator="lessThan">
      <ns0:formula>0</ns0:formula>
    </ns0:cfRule>
  </ns0:conditionalFormatting>
  <ns0:conditionalFormatting sqref="E228:E229">
    <ns0:cfRule type="cellIs" dxfId="1" priority="210" operator="lessThan">
      <ns0:formula>0</ns0:formula>
    </ns0:cfRule>
  </ns0:conditionalFormatting>
  <ns0:conditionalFormatting sqref="E231:E232">
    <ns0:cfRule type="cellIs" dxfId="1" priority="209" operator="lessThan">
      <ns0:formula>0</ns0:formula>
    </ns0:cfRule>
  </ns0:conditionalFormatting>
  <ns0:conditionalFormatting sqref="E237:E238">
    <ns0:cfRule type="cellIs" dxfId="1" priority="192" operator="lessThan">
      <ns0:formula>0</ns0:formula>
    </ns0:cfRule>
  </ns0:conditionalFormatting>
  <ns0:conditionalFormatting sqref="E240:E241">
    <ns0:cfRule type="cellIs" dxfId="1" priority="191" operator="lessThan">
      <ns0:formula>0</ns0:formula>
    </ns0:cfRule>
  </ns0:conditionalFormatting>
  <ns0:conditionalFormatting sqref="E246:E247">
    <ns0:cfRule type="cellIs" dxfId="1" priority="174" operator="lessThan">
      <ns0:formula>0</ns0:formula>
    </ns0:cfRule>
  </ns0:conditionalFormatting>
  <ns0:conditionalFormatting sqref="E249:E250">
    <ns0:cfRule type="cellIs" dxfId="1" priority="173" operator="lessThan">
      <ns0:formula>0</ns0:formula>
    </ns0:cfRule>
  </ns0:conditionalFormatting>
  <ns0:conditionalFormatting sqref="E273:E274">
    <ns0:cfRule type="cellIs" dxfId="1" priority="14" operator="lessThan">
      <ns0:formula>0</ns0:formula>
    </ns0:cfRule>
  </ns0:conditionalFormatting>
  <ns0:conditionalFormatting sqref="E276:E277">
    <ns0:cfRule type="cellIs" dxfId="1" priority="13" operator="lessThan">
      <ns0:formula>0</ns0:formula>
    </ns0:cfRule>
  </ns0:conditionalFormatting>
  <ns0:conditionalFormatting sqref="F3:AC91">
    <ns0:cfRule type="cellIs" dxfId="1" priority="19" operator="lessThan">
      <ns0:formula>0</ns0:formula>
    </ns0:cfRule>
  </ns0:conditionalFormatting>
  <ns0:conditionalFormatting sqref="F96:AC98">
    <ns0:cfRule type="cellIs" dxfId="1" priority="434" operator="lessThan">
      <ns0:formula>0</ns0:formula>
    </ns0:cfRule>
  </ns0:conditionalFormatting>
  <ns0:conditionalFormatting sqref="F102:AC107">
    <ns0:cfRule type="cellIs" dxfId="1" priority="142" operator="lessThan">
      <ns0:formula>0</ns0:formula>
    </ns0:cfRule>
  </ns0:conditionalFormatting>
  <ns0:conditionalFormatting sqref="F111:AC116">
    <ns0:cfRule type="cellIs" dxfId="1" priority="141" operator="lessThan">
      <ns0:formula>0</ns0:formula>
    </ns0:cfRule>
  </ns0:conditionalFormatting>
  <ns0:conditionalFormatting sqref="F120:AC125">
    <ns0:cfRule type="cellIs" dxfId="1" priority="140" operator="lessThan">
      <ns0:formula>0</ns0:formula>
    </ns0:cfRule>
  </ns0:conditionalFormatting>
  <ns0:conditionalFormatting sqref="F129:AC134">
    <ns0:cfRule type="cellIs" dxfId="1" priority="139" operator="lessThan">
      <ns0:formula>0</ns0:formula>
    </ns0:cfRule>
  </ns0:conditionalFormatting>
  <ns0:conditionalFormatting sqref="F138:AC143">
    <ns0:cfRule type="cellIs" dxfId="1" priority="138" operator="lessThan">
      <ns0:formula>0</ns0:formula>
    </ns0:cfRule>
  </ns0:conditionalFormatting>
  <ns0:conditionalFormatting sqref="F147:AC152">
    <ns0:cfRule type="cellIs" dxfId="1" priority="135" operator="lessThan">
      <ns0:formula>0</ns0:formula>
    </ns0:cfRule>
  </ns0:conditionalFormatting>
  <ns0:conditionalFormatting sqref="F156:AC182">
    <ns0:cfRule type="cellIs" dxfId="1" priority="134" operator="lessThan">
      <ns0:formula>0</ns0:formula>
    </ns0:cfRule>
  </ns0:conditionalFormatting>
  <ns0:conditionalFormatting sqref="F183:AC200">
    <ns0:cfRule type="cellIs" dxfId="1" priority="133" operator="lessThan">
      <ns0:formula>0</ns0:formula>
    </ns0:cfRule>
  </ns0:conditionalFormatting>
  <ns0:conditionalFormatting sqref="F201:AC201 F204:AC206">
    <ns0:cfRule type="cellIs" dxfId="1" priority="266" operator="lessThan">
      <ns0:formula>0</ns0:formula>
    </ns0:cfRule>
  </ns0:conditionalFormatting>
  <ns0:conditionalFormatting sqref="F210:AC210 F213:AC215">
    <ns0:cfRule type="cellIs" dxfId="1" priority="248" operator="lessThan">
      <ns0:formula>0</ns0:formula>
    </ns0:cfRule>
  </ns0:conditionalFormatting>
  <ns0:conditionalFormatting sqref="F219:AC219 F222:AC224">
    <ns0:cfRule type="cellIs" dxfId="1" priority="230" operator="lessThan">
      <ns0:formula>0</ns0:formula>
    </ns0:cfRule>
  </ns0:conditionalFormatting>
  <ns0:conditionalFormatting sqref="F228:AC228 F231:AC233">
    <ns0:cfRule type="cellIs" dxfId="1" priority="212" operator="lessThan">
      <ns0:formula>0</ns0:formula>
    </ns0:cfRule>
  </ns0:conditionalFormatting>
  <ns0:conditionalFormatting sqref="F237:AC237 F240:AC242">
    <ns0:cfRule type="cellIs" dxfId="1" priority="194" operator="lessThan">
      <ns0:formula>0</ns0:formula>
    </ns0:cfRule>
  </ns0:conditionalFormatting>
  <ns0:conditionalFormatting sqref="F246:AC246 F249:AC251">
    <ns0:cfRule type="cellIs" dxfId="1" priority="176" operator="lessThan">
      <ns0:formula>0</ns0:formula>
    </ns0:cfRule>
  </ns0:conditionalFormatting>
  <ns0:conditionalFormatting sqref="E255:E256 E264:E265">
    <ns0:cfRule type="cellIs" dxfId="1" priority="156" operator="lessThan">
      <ns0:formula>0</ns0:formula>
    </ns0:cfRule>
  </ns0:conditionalFormatting>
  <ns0:conditionalFormatting sqref="F255:AC255 F267:AC269 F264:AC264 F258:AC260">
    <ns0:cfRule type="cellIs" dxfId="1" priority="158" operator="lessThan">
      <ns0:formula>0</ns0:formula>
    </ns0:cfRule>
  </ns0:conditionalFormatting>
  <ns0:conditionalFormatting sqref="F256:AC256 F265:AC265">
    <ns0:cfRule type="cellIs" dxfId="0" priority="144" operator="lessThan">
      <ns0:formula>0</ns0:formula>
    </ns0:cfRule>
  </ns0:conditionalFormatting>
  <ns0:conditionalFormatting sqref="E257:AC257 E266:AC266">
    <ns0:cfRule type="cellIs" dxfId="1" priority="143" operator="lessThan">
      <ns0:formula>0</ns0:formula>
    </ns0:cfRule>
  </ns0:conditionalFormatting>
  <ns0:conditionalFormatting sqref="E258:E259 E267:E268">
    <ns0:cfRule type="cellIs" dxfId="1" priority="155" operator="lessThan">
      <ns0:formula>0</ns0:formula>
    </ns0:cfRule>
  </ns0:conditionalFormatting>
  <ns0:conditionalFormatting sqref="E260 E269">
    <ns0:cfRule type="cellIs" dxfId="1" priority="157" operator="lessThan">
      <ns0:formula>0</ns0:formula>
    </ns0:cfRule>
  </ns0:conditionalFormatting>
  <ns0:conditionalFormatting sqref="E261 E270">
    <ns0:cfRule type="cellIs" dxfId="1" priority="154" operator="lessThan">
      <ns0:formula>0</ns0:formula>
    </ns0:cfRule>
  </ns0:conditionalFormatting>
  <ns0:conditionalFormatting sqref="F261:AC261 F270:AC270">
    <ns0:cfRule type="cellIs" dxfId="1" priority="146" operator="lessThan">
      <ns0:formula>0</ns0:formula>
    </ns0:cfRule>
  </ns0:conditionalFormatting>
  <ns0:conditionalFormatting sqref="E262 E271">
    <ns0:cfRule type="cellIs" dxfId="1" priority="153" operator="lessThan">
      <ns0:formula>0</ns0:formula>
    </ns0:cfRule>
  </ns0:conditionalFormatting>
  <ns0:conditionalFormatting sqref="F262:AC262 F271:AC271">
    <ns0:cfRule type="cellIs" dxfId="1" priority="145" operator="lessThan">
      <ns0:formula>0</ns0:formula>
    </ns0:cfRule>
  </ns0:conditionalFormatting>
  <ns0:conditionalFormatting sqref="C263:D263 C272:D272">
    <ns0:cfRule type="cellIs" dxfId="2" priority="159" operator="notEqual">
      <ns0:formula>0</ns0:formula>
    </ns0:cfRule>
    <ns0:cfRule type="cellIs" dxfId="3" priority="160" operator="notEqual">
      <ns0:formula>0</ns0:formula>
    </ns0:cfRule>
  </ns0:conditionalFormatting>
  <ns0:conditionalFormatting sqref="E263 E272">
    <ns0:cfRule type="cellIs" dxfId="2" priority="150" operator="notEqual">
      <ns0:formula>0</ns0:formula>
    </ns0:cfRule>
    <ns0:cfRule type="cellIs" dxfId="3" priority="151" operator="notEqual">
      <ns0:formula>0</ns0:formula>
    </ns0:cfRule>
    <ns0:cfRule type="cellIs" dxfId="1" priority="152" operator="lessThan">
      <ns0:formula>0</ns0:formula>
    </ns0:cfRule>
  </ns0:conditionalFormatting>
  <ns0:conditionalFormatting sqref="F263:AC263 F272:AC272">
    <ns0:cfRule type="cellIs" dxfId="2" priority="147" operator="notEqual">
      <ns0:formula>0</ns0:formula>
    </ns0:cfRule>
    <ns0:cfRule type="cellIs" dxfId="3" priority="148" operator="notEqual">
      <ns0:formula>0</ns0:formula>
    </ns0:cfRule>
    <ns0:cfRule type="cellIs" dxfId="1" priority="149" operator="lessThan">
      <ns0:formula>0</ns0:formula>
    </ns0:cfRule>
  </ns0:conditionalFormatting>
  <ns0:conditionalFormatting sqref="F273:AC273 F276:AC278">
    <ns0:cfRule type="cellIs" dxfId="1" priority="16" operator="lessThan">
      <ns0:formula>0</ns0:formula>
    </ns0:cfRule>
  </ns0:conditionalFormatting>
  <ns0:pageMargins left="0.75" right="0.75" top="1" bottom="1" header="0.5" footer="0.5"/>
  <ns0:pageSetup paperSize="9" orientation="portrait"/>
  <ns0:headerFooter/>
</ns0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9"/>
  <sheetViews>
    <sheetView zoomScale="115" zoomScaleNormal="115" topLeftCell="A38" workbookViewId="0">
      <pane xSplit="5" topLeftCell="F1" activePane="topRight" state="frozen"/>
      <selection/>
      <selection pane="topRight" activeCell="F206" sqref="F206"/>
    </sheetView>
  </sheetViews>
  <sheetFormatPr defaultColWidth="8.75" defaultRowHeight="13.6"/>
  <cols>
    <col min="1" max="1" width="25.0961538461538" style="24" customWidth="1"/>
    <col min="2" max="2" width="12.3846153846154" style="24" customWidth="1"/>
    <col min="3" max="3" width="9.88461538461538" style="24" customWidth="1"/>
    <col min="4" max="4" width="12.6538461538462" style="24" customWidth="1"/>
    <col min="5" max="5" width="12.3846153846154" style="24" customWidth="1"/>
    <col min="6" max="11" width="11.3846153846154" style="24" customWidth="1"/>
    <col min="12" max="14" width="10.3846153846154" style="24" customWidth="1"/>
    <col min="15" max="15" width="11.3846153846154" style="24" customWidth="1"/>
    <col min="16" max="27" width="10.3846153846154" style="24" customWidth="1"/>
    <col min="28" max="28" width="9.88461538461538" style="24" customWidth="1"/>
    <col min="29" max="29" width="10.75" style="24" customWidth="1"/>
    <col min="30" max="16384" width="8.75" style="25"/>
  </cols>
  <sheetData>
    <row r="1" ht="14.45" customHeight="1" spans="1:29">
      <c r="A1" s="26" t="s">
        <v>2</v>
      </c>
      <c r="B1" s="27" t="s">
        <v>45</v>
      </c>
      <c r="C1" s="26" t="s">
        <v>46</v>
      </c>
      <c r="D1" s="28"/>
      <c r="E1" s="37"/>
      <c r="F1" s="40">
        <v>0</v>
      </c>
      <c r="G1" s="41" t="s">
        <v>5</v>
      </c>
      <c r="H1" s="41" t="s">
        <v>6</v>
      </c>
      <c r="I1" s="41" t="s">
        <v>7</v>
      </c>
      <c r="J1" s="41" t="s">
        <v>8</v>
      </c>
      <c r="K1" s="41" t="s">
        <v>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  <c r="R1" s="41" t="s">
        <v>16</v>
      </c>
      <c r="S1" s="41" t="s">
        <v>17</v>
      </c>
      <c r="T1" s="41" t="s">
        <v>18</v>
      </c>
      <c r="U1" s="41" t="s">
        <v>19</v>
      </c>
      <c r="V1" s="41" t="s">
        <v>20</v>
      </c>
      <c r="W1" s="41" t="s">
        <v>21</v>
      </c>
      <c r="X1" s="41" t="s">
        <v>22</v>
      </c>
      <c r="Y1" s="41" t="s">
        <v>23</v>
      </c>
      <c r="Z1" s="41" t="s">
        <v>24</v>
      </c>
      <c r="AA1" s="41" t="s">
        <v>25</v>
      </c>
      <c r="AB1" s="41" t="s">
        <v>26</v>
      </c>
      <c r="AC1" s="41" t="s">
        <v>27</v>
      </c>
    </row>
    <row r="2" ht="11.25" customHeight="1" spans="1:29">
      <c r="A2" s="29">
        <v>45992</v>
      </c>
      <c r="B2" s="30">
        <f>E9</f>
        <v>87.9354593999998</v>
      </c>
      <c r="C2" s="31" t="s">
        <v>47</v>
      </c>
      <c r="D2" s="31" t="s">
        <v>48</v>
      </c>
      <c r="E2" s="42">
        <f>SUM(F2:AC2)</f>
        <v>41.92766</v>
      </c>
      <c r="F2" s="43">
        <v>1.07305</v>
      </c>
      <c r="G2" s="43">
        <v>0.9683</v>
      </c>
      <c r="H2" s="43">
        <v>0.72824</v>
      </c>
      <c r="I2" s="43">
        <v>0.61184</v>
      </c>
      <c r="J2" s="43">
        <v>0.5876</v>
      </c>
      <c r="K2" s="43">
        <v>0.62808</v>
      </c>
      <c r="L2" s="43">
        <v>0.73304</v>
      </c>
      <c r="M2" s="43">
        <v>1.2499</v>
      </c>
      <c r="N2" s="43">
        <v>2.5941</v>
      </c>
      <c r="O2" s="43">
        <v>3.0418</v>
      </c>
      <c r="P2" s="43">
        <v>1.86472</v>
      </c>
      <c r="Q2" s="43">
        <v>1.73</v>
      </c>
      <c r="R2" s="43">
        <v>1.60208</v>
      </c>
      <c r="S2" s="43">
        <v>1.88984</v>
      </c>
      <c r="T2" s="43">
        <v>2.14376</v>
      </c>
      <c r="U2" s="43">
        <v>2.5526</v>
      </c>
      <c r="V2" s="43">
        <v>2.94173</v>
      </c>
      <c r="W2" s="43">
        <v>3.00388</v>
      </c>
      <c r="X2" s="43">
        <v>2.77497</v>
      </c>
      <c r="Y2" s="43">
        <v>2.83085</v>
      </c>
      <c r="Z2" s="43">
        <v>2.02518</v>
      </c>
      <c r="AA2" s="43">
        <v>1.74807</v>
      </c>
      <c r="AB2" s="43">
        <v>1.32633</v>
      </c>
      <c r="AC2" s="43">
        <v>1.2777</v>
      </c>
    </row>
    <row r="3" spans="1:29">
      <c r="A3" s="32"/>
      <c r="B3" s="33"/>
      <c r="C3" s="32"/>
      <c r="D3" s="6" t="s">
        <v>49</v>
      </c>
      <c r="E3" s="42">
        <f>SUM(F3:AC3)</f>
        <v>44.4764</v>
      </c>
      <c r="F3" s="43">
        <v>0.9755</v>
      </c>
      <c r="G3" s="43">
        <v>0.9683</v>
      </c>
      <c r="H3" s="43">
        <v>0.9103</v>
      </c>
      <c r="I3" s="43">
        <v>0.7648</v>
      </c>
      <c r="J3" s="43">
        <v>0.7345</v>
      </c>
      <c r="K3" s="43">
        <v>0.7851</v>
      </c>
      <c r="L3" s="43">
        <v>0.9163</v>
      </c>
      <c r="M3" s="43">
        <v>1.2499</v>
      </c>
      <c r="N3" s="43">
        <v>2.5941</v>
      </c>
      <c r="O3" s="43">
        <v>3.0418</v>
      </c>
      <c r="P3" s="43">
        <v>2.3309</v>
      </c>
      <c r="Q3" s="43">
        <v>2.1625</v>
      </c>
      <c r="R3" s="43">
        <v>2.0026</v>
      </c>
      <c r="S3" s="43">
        <v>2.3623</v>
      </c>
      <c r="T3" s="43">
        <v>2.6797</v>
      </c>
      <c r="U3" s="43">
        <v>2.5526</v>
      </c>
      <c r="V3" s="43">
        <v>2.6743</v>
      </c>
      <c r="W3" s="43">
        <v>2.7308</v>
      </c>
      <c r="X3" s="43">
        <v>2.5227</v>
      </c>
      <c r="Y3" s="43">
        <v>2.5735</v>
      </c>
      <c r="Z3" s="43">
        <v>2.2502</v>
      </c>
      <c r="AA3" s="43">
        <v>1.9423</v>
      </c>
      <c r="AB3" s="43">
        <v>1.4737</v>
      </c>
      <c r="AC3" s="43">
        <v>1.2777</v>
      </c>
    </row>
    <row r="4" spans="1:29">
      <c r="A4" s="32"/>
      <c r="B4" s="33"/>
      <c r="C4" s="34"/>
      <c r="D4" s="31" t="s">
        <v>50</v>
      </c>
      <c r="E4" s="26">
        <f>E2-E3</f>
        <v>-2.54874000000002</v>
      </c>
      <c r="F4" s="43">
        <f t="shared" ref="F4:AC4" si="0">(F2-F3)*1</f>
        <v>0.09755</v>
      </c>
      <c r="G4" s="43">
        <f t="shared" si="0"/>
        <v>0</v>
      </c>
      <c r="H4" s="43">
        <f t="shared" si="0"/>
        <v>-0.18206</v>
      </c>
      <c r="I4" s="43">
        <f t="shared" si="0"/>
        <v>-0.15296</v>
      </c>
      <c r="J4" s="43">
        <f t="shared" si="0"/>
        <v>-0.1469</v>
      </c>
      <c r="K4" s="43">
        <f t="shared" si="0"/>
        <v>-0.15702</v>
      </c>
      <c r="L4" s="43">
        <f t="shared" si="0"/>
        <v>-0.18326</v>
      </c>
      <c r="M4" s="43">
        <f t="shared" si="0"/>
        <v>0</v>
      </c>
      <c r="N4" s="43">
        <f t="shared" si="0"/>
        <v>0</v>
      </c>
      <c r="O4" s="43">
        <f t="shared" si="0"/>
        <v>0</v>
      </c>
      <c r="P4" s="43">
        <f t="shared" si="0"/>
        <v>-0.46618</v>
      </c>
      <c r="Q4" s="43">
        <f t="shared" si="0"/>
        <v>-0.4325</v>
      </c>
      <c r="R4" s="43">
        <f t="shared" si="0"/>
        <v>-0.40052</v>
      </c>
      <c r="S4" s="43">
        <f t="shared" si="0"/>
        <v>-0.47246</v>
      </c>
      <c r="T4" s="43">
        <f t="shared" si="0"/>
        <v>-0.53594</v>
      </c>
      <c r="U4" s="43">
        <f t="shared" si="0"/>
        <v>0</v>
      </c>
      <c r="V4" s="43">
        <f t="shared" si="0"/>
        <v>0.26743</v>
      </c>
      <c r="W4" s="43">
        <f t="shared" si="0"/>
        <v>0.27308</v>
      </c>
      <c r="X4" s="43">
        <f t="shared" si="0"/>
        <v>0.25227</v>
      </c>
      <c r="Y4" s="43">
        <f t="shared" si="0"/>
        <v>0.25735</v>
      </c>
      <c r="Z4" s="43">
        <f t="shared" si="0"/>
        <v>-0.22502</v>
      </c>
      <c r="AA4" s="43">
        <f t="shared" si="0"/>
        <v>-0.19423</v>
      </c>
      <c r="AB4" s="43">
        <f t="shared" si="0"/>
        <v>-0.14737</v>
      </c>
      <c r="AC4" s="43">
        <f t="shared" si="0"/>
        <v>0</v>
      </c>
    </row>
    <row r="5" spans="1:29">
      <c r="A5" s="32"/>
      <c r="B5" s="33"/>
      <c r="C5" s="35" t="s">
        <v>51</v>
      </c>
      <c r="D5" s="31" t="s">
        <v>48</v>
      </c>
      <c r="E5" s="31">
        <f>AVERAGE(F5:AC5)</f>
        <v>419.872916666667</v>
      </c>
      <c r="F5" s="43">
        <v>424.58</v>
      </c>
      <c r="G5" s="43">
        <v>369.07</v>
      </c>
      <c r="H5" s="43">
        <v>332.16</v>
      </c>
      <c r="I5" s="43">
        <v>314.43</v>
      </c>
      <c r="J5" s="43">
        <v>303.14</v>
      </c>
      <c r="K5" s="43">
        <v>303.05</v>
      </c>
      <c r="L5" s="43">
        <v>390.99</v>
      </c>
      <c r="M5" s="43">
        <v>454.88</v>
      </c>
      <c r="N5" s="43">
        <v>498.98</v>
      </c>
      <c r="O5" s="43">
        <v>394.38</v>
      </c>
      <c r="P5" s="43">
        <v>273.39</v>
      </c>
      <c r="Q5" s="43">
        <v>292.35</v>
      </c>
      <c r="R5" s="43">
        <v>260.76</v>
      </c>
      <c r="S5" s="43">
        <v>281.95</v>
      </c>
      <c r="T5" s="43">
        <v>263.06</v>
      </c>
      <c r="U5" s="43">
        <v>281.45</v>
      </c>
      <c r="V5" s="43">
        <v>405.88</v>
      </c>
      <c r="W5" s="43">
        <v>657.29</v>
      </c>
      <c r="X5" s="43">
        <v>692.17</v>
      </c>
      <c r="Y5" s="43">
        <v>773.49</v>
      </c>
      <c r="Z5" s="43">
        <v>634.93</v>
      </c>
      <c r="AA5" s="43">
        <v>599.04</v>
      </c>
      <c r="AB5" s="43">
        <v>499.42</v>
      </c>
      <c r="AC5" s="43">
        <v>376.11</v>
      </c>
    </row>
    <row r="6" spans="1:29">
      <c r="A6" s="32"/>
      <c r="B6" s="33"/>
      <c r="C6" s="32"/>
      <c r="D6" s="31" t="s">
        <v>49</v>
      </c>
      <c r="E6" s="31">
        <f>AVERAGE(F6:AC6)</f>
        <v>277.8675</v>
      </c>
      <c r="F6" s="43">
        <v>319.22</v>
      </c>
      <c r="G6" s="43">
        <v>305.33</v>
      </c>
      <c r="H6" s="43">
        <v>284.98</v>
      </c>
      <c r="I6" s="43">
        <v>275.32</v>
      </c>
      <c r="J6" s="43">
        <v>271.97</v>
      </c>
      <c r="K6" s="43">
        <v>273.85</v>
      </c>
      <c r="L6" s="43">
        <v>297.72</v>
      </c>
      <c r="M6" s="43">
        <v>332.76</v>
      </c>
      <c r="N6" s="43">
        <v>412.44</v>
      </c>
      <c r="O6" s="43">
        <v>327.15</v>
      </c>
      <c r="P6" s="43">
        <v>240.09</v>
      </c>
      <c r="Q6" s="43">
        <v>207.44</v>
      </c>
      <c r="R6" s="43">
        <v>97.94</v>
      </c>
      <c r="S6" s="43">
        <v>92.94</v>
      </c>
      <c r="T6" s="43">
        <v>174.94</v>
      </c>
      <c r="U6" s="43">
        <v>253.69</v>
      </c>
      <c r="V6" s="43">
        <v>287.45</v>
      </c>
      <c r="W6" s="43">
        <v>292.71</v>
      </c>
      <c r="X6" s="43">
        <v>325.56</v>
      </c>
      <c r="Y6" s="43">
        <v>305.26</v>
      </c>
      <c r="Z6" s="43">
        <v>311.96</v>
      </c>
      <c r="AA6" s="43">
        <v>332.87</v>
      </c>
      <c r="AB6" s="43">
        <v>341.72</v>
      </c>
      <c r="AC6" s="43">
        <v>303.51</v>
      </c>
    </row>
    <row r="7" spans="1:29">
      <c r="A7" s="32"/>
      <c r="B7" s="33"/>
      <c r="C7" s="34"/>
      <c r="D7" s="31" t="s">
        <v>50</v>
      </c>
      <c r="E7" s="26">
        <f>E5-E6</f>
        <v>142.005416666667</v>
      </c>
      <c r="F7" s="43">
        <f t="shared" ref="F7:AC7" si="1">(F5-F6)*1</f>
        <v>105.36</v>
      </c>
      <c r="G7" s="43">
        <f t="shared" si="1"/>
        <v>63.74</v>
      </c>
      <c r="H7" s="43">
        <f t="shared" si="1"/>
        <v>47.18</v>
      </c>
      <c r="I7" s="43">
        <f t="shared" si="1"/>
        <v>39.11</v>
      </c>
      <c r="J7" s="43">
        <f t="shared" si="1"/>
        <v>31.17</v>
      </c>
      <c r="K7" s="43">
        <f t="shared" si="1"/>
        <v>29.2</v>
      </c>
      <c r="L7" s="43">
        <f t="shared" si="1"/>
        <v>93.27</v>
      </c>
      <c r="M7" s="43">
        <f t="shared" si="1"/>
        <v>122.12</v>
      </c>
      <c r="N7" s="43">
        <f t="shared" si="1"/>
        <v>86.54</v>
      </c>
      <c r="O7" s="43">
        <f t="shared" si="1"/>
        <v>67.23</v>
      </c>
      <c r="P7" s="43">
        <f t="shared" si="1"/>
        <v>33.3</v>
      </c>
      <c r="Q7" s="43">
        <f t="shared" si="1"/>
        <v>84.91</v>
      </c>
      <c r="R7" s="43">
        <f t="shared" si="1"/>
        <v>162.82</v>
      </c>
      <c r="S7" s="43">
        <f t="shared" si="1"/>
        <v>189.01</v>
      </c>
      <c r="T7" s="43">
        <f t="shared" si="1"/>
        <v>88.12</v>
      </c>
      <c r="U7" s="43">
        <f t="shared" si="1"/>
        <v>27.76</v>
      </c>
      <c r="V7" s="43">
        <f t="shared" si="1"/>
        <v>118.43</v>
      </c>
      <c r="W7" s="43">
        <f t="shared" si="1"/>
        <v>364.58</v>
      </c>
      <c r="X7" s="43">
        <f t="shared" si="1"/>
        <v>366.61</v>
      </c>
      <c r="Y7" s="43">
        <f t="shared" si="1"/>
        <v>468.23</v>
      </c>
      <c r="Z7" s="43">
        <f t="shared" si="1"/>
        <v>322.97</v>
      </c>
      <c r="AA7" s="43">
        <f t="shared" si="1"/>
        <v>266.17</v>
      </c>
      <c r="AB7" s="43">
        <f t="shared" si="1"/>
        <v>157.7</v>
      </c>
      <c r="AC7" s="43">
        <f t="shared" si="1"/>
        <v>72.6</v>
      </c>
    </row>
    <row r="8" spans="1:29">
      <c r="A8" s="32"/>
      <c r="B8" s="33"/>
      <c r="C8" s="36" t="s">
        <v>52</v>
      </c>
      <c r="D8" s="37"/>
      <c r="E8" s="26">
        <f t="shared" ref="E8:E12" si="2">SUM(F8:AC8)</f>
        <v>87.9354593999999</v>
      </c>
      <c r="F8" s="43">
        <f t="shared" ref="F8:AC8" si="3">(-F4*F7)*1</f>
        <v>-10.277868</v>
      </c>
      <c r="G8" s="43">
        <f t="shared" si="3"/>
        <v>0</v>
      </c>
      <c r="H8" s="43">
        <f t="shared" si="3"/>
        <v>8.5895908</v>
      </c>
      <c r="I8" s="43">
        <f t="shared" si="3"/>
        <v>5.9822656</v>
      </c>
      <c r="J8" s="43">
        <f t="shared" si="3"/>
        <v>4.578873</v>
      </c>
      <c r="K8" s="43">
        <f t="shared" si="3"/>
        <v>4.584984</v>
      </c>
      <c r="L8" s="43">
        <f t="shared" si="3"/>
        <v>17.0926602</v>
      </c>
      <c r="M8" s="43">
        <f t="shared" si="3"/>
        <v>0</v>
      </c>
      <c r="N8" s="43">
        <f t="shared" si="3"/>
        <v>0</v>
      </c>
      <c r="O8" s="43">
        <f t="shared" si="3"/>
        <v>0</v>
      </c>
      <c r="P8" s="43">
        <f t="shared" si="3"/>
        <v>15.523794</v>
      </c>
      <c r="Q8" s="43">
        <f t="shared" si="3"/>
        <v>36.723575</v>
      </c>
      <c r="R8" s="43">
        <f t="shared" si="3"/>
        <v>65.2126664</v>
      </c>
      <c r="S8" s="43">
        <f t="shared" si="3"/>
        <v>89.2996646</v>
      </c>
      <c r="T8" s="43">
        <f t="shared" si="3"/>
        <v>47.2270328</v>
      </c>
      <c r="U8" s="43">
        <f t="shared" si="3"/>
        <v>0</v>
      </c>
      <c r="V8" s="43">
        <f t="shared" si="3"/>
        <v>-31.6717349</v>
      </c>
      <c r="W8" s="43">
        <f t="shared" si="3"/>
        <v>-99.5595064000001</v>
      </c>
      <c r="X8" s="43">
        <f t="shared" si="3"/>
        <v>-92.4847047000001</v>
      </c>
      <c r="Y8" s="43">
        <f t="shared" si="3"/>
        <v>-120.4989905</v>
      </c>
      <c r="Z8" s="43">
        <f t="shared" si="3"/>
        <v>72.6747093999999</v>
      </c>
      <c r="AA8" s="43">
        <f t="shared" si="3"/>
        <v>51.6981991</v>
      </c>
      <c r="AB8" s="43">
        <f t="shared" si="3"/>
        <v>23.240249</v>
      </c>
      <c r="AC8" s="43">
        <f t="shared" si="3"/>
        <v>0</v>
      </c>
    </row>
    <row r="9" spans="1:29">
      <c r="A9" s="32"/>
      <c r="B9" s="33"/>
      <c r="C9" s="38" t="s">
        <v>53</v>
      </c>
      <c r="D9" s="37"/>
      <c r="E9" s="26">
        <f t="shared" si="2"/>
        <v>87.9354593999998</v>
      </c>
      <c r="F9" s="43">
        <f t="shared" ref="F9:AC9" si="4">(IF(F8&gt;0,ABS(MIN(F3*0.2,ABS(F4))*F7),F8))*1</f>
        <v>-10.277868</v>
      </c>
      <c r="G9" s="43">
        <f t="shared" si="4"/>
        <v>0</v>
      </c>
      <c r="H9" s="43">
        <f t="shared" si="4"/>
        <v>8.5895908</v>
      </c>
      <c r="I9" s="43">
        <f t="shared" si="4"/>
        <v>5.9822656</v>
      </c>
      <c r="J9" s="43">
        <f t="shared" si="4"/>
        <v>4.57887299999999</v>
      </c>
      <c r="K9" s="43">
        <f t="shared" si="4"/>
        <v>4.584984</v>
      </c>
      <c r="L9" s="43">
        <f t="shared" si="4"/>
        <v>17.0926602</v>
      </c>
      <c r="M9" s="43">
        <f t="shared" si="4"/>
        <v>0</v>
      </c>
      <c r="N9" s="43">
        <f t="shared" si="4"/>
        <v>0</v>
      </c>
      <c r="O9" s="43">
        <f t="shared" si="4"/>
        <v>0</v>
      </c>
      <c r="P9" s="43">
        <f t="shared" si="4"/>
        <v>15.523794</v>
      </c>
      <c r="Q9" s="43">
        <f t="shared" si="4"/>
        <v>36.723575</v>
      </c>
      <c r="R9" s="43">
        <f t="shared" si="4"/>
        <v>65.2126664</v>
      </c>
      <c r="S9" s="43">
        <f t="shared" si="4"/>
        <v>89.2996646</v>
      </c>
      <c r="T9" s="43">
        <f t="shared" si="4"/>
        <v>47.2270328</v>
      </c>
      <c r="U9" s="43">
        <f t="shared" si="4"/>
        <v>0</v>
      </c>
      <c r="V9" s="43">
        <f t="shared" si="4"/>
        <v>-31.6717349</v>
      </c>
      <c r="W9" s="43">
        <f t="shared" si="4"/>
        <v>-99.5595064000001</v>
      </c>
      <c r="X9" s="43">
        <f t="shared" si="4"/>
        <v>-92.4847047000001</v>
      </c>
      <c r="Y9" s="43">
        <f t="shared" si="4"/>
        <v>-120.4989905</v>
      </c>
      <c r="Z9" s="43">
        <f t="shared" si="4"/>
        <v>72.6747093999999</v>
      </c>
      <c r="AA9" s="43">
        <f t="shared" si="4"/>
        <v>51.6981991</v>
      </c>
      <c r="AB9" s="43">
        <f t="shared" si="4"/>
        <v>23.240249</v>
      </c>
      <c r="AC9" s="43">
        <f t="shared" si="4"/>
        <v>0</v>
      </c>
    </row>
    <row r="10" spans="1:29">
      <c r="A10" s="32"/>
      <c r="B10" s="33"/>
      <c r="C10" s="39" t="s">
        <v>50</v>
      </c>
      <c r="D10" s="37"/>
      <c r="E10" s="44">
        <f>E8-E9</f>
        <v>0</v>
      </c>
      <c r="F10" s="26">
        <f t="shared" ref="F10:AC10" si="5">(F8-F9)*1</f>
        <v>0</v>
      </c>
      <c r="G10" s="26">
        <f t="shared" si="5"/>
        <v>0</v>
      </c>
      <c r="H10" s="26">
        <f t="shared" si="5"/>
        <v>0</v>
      </c>
      <c r="I10" s="26">
        <f t="shared" si="5"/>
        <v>0</v>
      </c>
      <c r="J10" s="26">
        <f t="shared" si="5"/>
        <v>0</v>
      </c>
      <c r="K10" s="26">
        <f t="shared" si="5"/>
        <v>0</v>
      </c>
      <c r="L10" s="26">
        <f t="shared" si="5"/>
        <v>0</v>
      </c>
      <c r="M10" s="26">
        <f t="shared" si="5"/>
        <v>0</v>
      </c>
      <c r="N10" s="26">
        <f t="shared" si="5"/>
        <v>0</v>
      </c>
      <c r="O10" s="26">
        <f t="shared" si="5"/>
        <v>0</v>
      </c>
      <c r="P10" s="26">
        <f t="shared" si="5"/>
        <v>0</v>
      </c>
      <c r="Q10" s="26">
        <f t="shared" si="5"/>
        <v>0</v>
      </c>
      <c r="R10" s="26">
        <f t="shared" si="5"/>
        <v>0</v>
      </c>
      <c r="S10" s="26">
        <f t="shared" si="5"/>
        <v>0</v>
      </c>
      <c r="T10" s="26">
        <f t="shared" si="5"/>
        <v>0</v>
      </c>
      <c r="U10" s="26">
        <f t="shared" si="5"/>
        <v>0</v>
      </c>
      <c r="V10" s="26">
        <f t="shared" si="5"/>
        <v>0</v>
      </c>
      <c r="W10" s="26">
        <f t="shared" si="5"/>
        <v>0</v>
      </c>
      <c r="X10" s="26">
        <f t="shared" si="5"/>
        <v>0</v>
      </c>
      <c r="Y10" s="26">
        <f t="shared" si="5"/>
        <v>0</v>
      </c>
      <c r="Z10" s="26">
        <f t="shared" si="5"/>
        <v>0</v>
      </c>
      <c r="AA10" s="26">
        <f t="shared" si="5"/>
        <v>0</v>
      </c>
      <c r="AB10" s="26">
        <f t="shared" si="5"/>
        <v>0</v>
      </c>
      <c r="AC10" s="26">
        <f t="shared" si="5"/>
        <v>0</v>
      </c>
    </row>
    <row r="11" spans="1:29">
      <c r="A11" s="29">
        <v>45993</v>
      </c>
      <c r="B11" s="30">
        <f>E18</f>
        <v>-63.3305401</v>
      </c>
      <c r="C11" s="31" t="s">
        <v>47</v>
      </c>
      <c r="D11" s="31" t="s">
        <v>48</v>
      </c>
      <c r="E11" s="42">
        <f t="shared" si="2"/>
        <v>57.2729</v>
      </c>
      <c r="F11" s="43">
        <v>1.51118</v>
      </c>
      <c r="G11" s="43">
        <v>1.3887</v>
      </c>
      <c r="H11" s="43">
        <v>1.20393</v>
      </c>
      <c r="I11" s="43">
        <v>1.12437</v>
      </c>
      <c r="J11" s="43">
        <v>1.11501</v>
      </c>
      <c r="K11" s="43">
        <v>0.9936</v>
      </c>
      <c r="L11" s="43">
        <v>0.99224</v>
      </c>
      <c r="M11" s="43">
        <v>1.87385</v>
      </c>
      <c r="N11" s="43">
        <v>4.25535</v>
      </c>
      <c r="O11" s="43">
        <v>4.1165</v>
      </c>
      <c r="P11" s="43">
        <v>2.88688</v>
      </c>
      <c r="Q11" s="43">
        <v>2.76688</v>
      </c>
      <c r="R11" s="43">
        <v>2.28224</v>
      </c>
      <c r="S11" s="43">
        <v>2.82136</v>
      </c>
      <c r="T11" s="43">
        <v>3.2452</v>
      </c>
      <c r="U11" s="43">
        <v>3.1056</v>
      </c>
      <c r="V11" s="43">
        <v>3.1428</v>
      </c>
      <c r="W11" s="43">
        <v>3.8313</v>
      </c>
      <c r="X11" s="43">
        <v>3.09969</v>
      </c>
      <c r="Y11" s="43">
        <v>3.14118</v>
      </c>
      <c r="Z11" s="43">
        <v>2.77551</v>
      </c>
      <c r="AA11" s="43">
        <v>2.33145</v>
      </c>
      <c r="AB11" s="43">
        <v>1.80909</v>
      </c>
      <c r="AC11" s="43">
        <v>1.45899</v>
      </c>
    </row>
    <row r="12" spans="1:29">
      <c r="A12" s="32"/>
      <c r="B12" s="33"/>
      <c r="C12" s="32"/>
      <c r="D12" s="6" t="s">
        <v>49</v>
      </c>
      <c r="E12" s="42">
        <f t="shared" si="2"/>
        <v>64.1441</v>
      </c>
      <c r="F12" s="43">
        <v>1.3738</v>
      </c>
      <c r="G12" s="43">
        <v>1.3887</v>
      </c>
      <c r="H12" s="43">
        <v>1.3377</v>
      </c>
      <c r="I12" s="43">
        <v>1.2493</v>
      </c>
      <c r="J12" s="43">
        <v>1.2389</v>
      </c>
      <c r="K12" s="43">
        <v>1.242</v>
      </c>
      <c r="L12" s="43">
        <v>1.2403</v>
      </c>
      <c r="M12" s="43">
        <v>1.7035</v>
      </c>
      <c r="N12" s="43">
        <v>3.8685</v>
      </c>
      <c r="O12" s="43">
        <v>4.1165</v>
      </c>
      <c r="P12" s="43">
        <v>3.6086</v>
      </c>
      <c r="Q12" s="43">
        <v>3.4586</v>
      </c>
      <c r="R12" s="43">
        <v>2.8528</v>
      </c>
      <c r="S12" s="43">
        <v>3.5267</v>
      </c>
      <c r="T12" s="43">
        <v>4.0565</v>
      </c>
      <c r="U12" s="43">
        <v>3.882</v>
      </c>
      <c r="V12" s="43">
        <v>3.9285</v>
      </c>
      <c r="W12" s="43">
        <v>3.8313</v>
      </c>
      <c r="X12" s="43">
        <v>3.4441</v>
      </c>
      <c r="Y12" s="43">
        <v>3.4902</v>
      </c>
      <c r="Z12" s="43">
        <v>3.0839</v>
      </c>
      <c r="AA12" s="43">
        <v>2.5905</v>
      </c>
      <c r="AB12" s="43">
        <v>2.0101</v>
      </c>
      <c r="AC12" s="43">
        <v>1.6211</v>
      </c>
    </row>
    <row r="13" spans="1:29">
      <c r="A13" s="32"/>
      <c r="B13" s="33"/>
      <c r="C13" s="34"/>
      <c r="D13" s="31" t="s">
        <v>50</v>
      </c>
      <c r="E13" s="26">
        <f>E11-E12</f>
        <v>-6.8712</v>
      </c>
      <c r="F13" s="43">
        <f t="shared" ref="F13:AC13" si="6">(F11-F12)*1</f>
        <v>0.13738</v>
      </c>
      <c r="G13" s="43">
        <f t="shared" si="6"/>
        <v>0</v>
      </c>
      <c r="H13" s="43">
        <f t="shared" si="6"/>
        <v>-0.13377</v>
      </c>
      <c r="I13" s="43">
        <f t="shared" si="6"/>
        <v>-0.12493</v>
      </c>
      <c r="J13" s="43">
        <f t="shared" si="6"/>
        <v>-0.12389</v>
      </c>
      <c r="K13" s="43">
        <f t="shared" si="6"/>
        <v>-0.2484</v>
      </c>
      <c r="L13" s="43">
        <f t="shared" si="6"/>
        <v>-0.24806</v>
      </c>
      <c r="M13" s="43">
        <f t="shared" si="6"/>
        <v>0.17035</v>
      </c>
      <c r="N13" s="43">
        <f t="shared" si="6"/>
        <v>0.38685</v>
      </c>
      <c r="O13" s="43">
        <f t="shared" si="6"/>
        <v>0</v>
      </c>
      <c r="P13" s="43">
        <f t="shared" si="6"/>
        <v>-0.72172</v>
      </c>
      <c r="Q13" s="43">
        <f t="shared" si="6"/>
        <v>-0.69172</v>
      </c>
      <c r="R13" s="43">
        <f t="shared" si="6"/>
        <v>-0.57056</v>
      </c>
      <c r="S13" s="43">
        <f t="shared" si="6"/>
        <v>-0.70534</v>
      </c>
      <c r="T13" s="43">
        <f t="shared" si="6"/>
        <v>-0.8113</v>
      </c>
      <c r="U13" s="43">
        <f t="shared" si="6"/>
        <v>-0.7764</v>
      </c>
      <c r="V13" s="43">
        <f t="shared" si="6"/>
        <v>-0.7857</v>
      </c>
      <c r="W13" s="43">
        <f t="shared" si="6"/>
        <v>0</v>
      </c>
      <c r="X13" s="43">
        <f t="shared" si="6"/>
        <v>-0.34441</v>
      </c>
      <c r="Y13" s="43">
        <f t="shared" si="6"/>
        <v>-0.34902</v>
      </c>
      <c r="Z13" s="43">
        <f t="shared" si="6"/>
        <v>-0.30839</v>
      </c>
      <c r="AA13" s="43">
        <f t="shared" si="6"/>
        <v>-0.25905</v>
      </c>
      <c r="AB13" s="43">
        <f t="shared" si="6"/>
        <v>-0.20101</v>
      </c>
      <c r="AC13" s="43">
        <f t="shared" si="6"/>
        <v>-0.16211</v>
      </c>
    </row>
    <row r="14" spans="1:29">
      <c r="A14" s="32"/>
      <c r="B14" s="33"/>
      <c r="C14" s="35" t="s">
        <v>51</v>
      </c>
      <c r="D14" s="31" t="s">
        <v>48</v>
      </c>
      <c r="E14" s="31">
        <f>AVERAGE(F14:AC14)</f>
        <v>399.16625</v>
      </c>
      <c r="F14" s="43">
        <v>425.07</v>
      </c>
      <c r="G14" s="43">
        <v>400.51</v>
      </c>
      <c r="H14" s="43">
        <v>391.29</v>
      </c>
      <c r="I14" s="43">
        <v>362.56</v>
      </c>
      <c r="J14" s="43">
        <v>329.38</v>
      </c>
      <c r="K14" s="43">
        <v>355.6</v>
      </c>
      <c r="L14" s="43">
        <v>420.5</v>
      </c>
      <c r="M14" s="43">
        <v>466.52</v>
      </c>
      <c r="N14" s="43">
        <v>494.78</v>
      </c>
      <c r="O14" s="43">
        <v>452.92</v>
      </c>
      <c r="P14" s="43">
        <v>343.97</v>
      </c>
      <c r="Q14" s="43">
        <v>295.19</v>
      </c>
      <c r="R14" s="43">
        <v>262.55</v>
      </c>
      <c r="S14" s="43">
        <v>273.14</v>
      </c>
      <c r="T14" s="43">
        <v>278.7</v>
      </c>
      <c r="U14" s="43">
        <v>313.76</v>
      </c>
      <c r="V14" s="43">
        <v>419.18</v>
      </c>
      <c r="W14" s="43">
        <v>539.47</v>
      </c>
      <c r="X14" s="43">
        <v>711.11</v>
      </c>
      <c r="Y14" s="43">
        <v>542.94</v>
      </c>
      <c r="Z14" s="43">
        <v>493.8</v>
      </c>
      <c r="AA14" s="43">
        <v>427.56</v>
      </c>
      <c r="AB14" s="43">
        <v>310.65</v>
      </c>
      <c r="AC14" s="43">
        <v>268.84</v>
      </c>
    </row>
    <row r="15" spans="1:29">
      <c r="A15" s="32"/>
      <c r="B15" s="33"/>
      <c r="C15" s="32"/>
      <c r="D15" s="31" t="s">
        <v>49</v>
      </c>
      <c r="E15" s="31">
        <f>AVERAGE(F15:AC15)</f>
        <v>399.737083333333</v>
      </c>
      <c r="F15" s="43">
        <v>382.32</v>
      </c>
      <c r="G15" s="43">
        <v>366.89</v>
      </c>
      <c r="H15" s="43">
        <v>335.31</v>
      </c>
      <c r="I15" s="43">
        <v>303.46</v>
      </c>
      <c r="J15" s="43">
        <v>303.15</v>
      </c>
      <c r="K15" s="43">
        <v>312.85</v>
      </c>
      <c r="L15" s="43">
        <v>428.93</v>
      </c>
      <c r="M15" s="43">
        <v>490.58</v>
      </c>
      <c r="N15" s="43">
        <v>766.27</v>
      </c>
      <c r="O15" s="43">
        <v>545.08</v>
      </c>
      <c r="P15" s="43">
        <v>433.03</v>
      </c>
      <c r="Q15" s="43">
        <v>394.84</v>
      </c>
      <c r="R15" s="43">
        <v>310.26</v>
      </c>
      <c r="S15" s="43">
        <v>367.6</v>
      </c>
      <c r="T15" s="43">
        <v>321.36</v>
      </c>
      <c r="U15" s="43">
        <v>400.66</v>
      </c>
      <c r="V15" s="43">
        <v>531.07</v>
      </c>
      <c r="W15" s="43">
        <v>549.95</v>
      </c>
      <c r="X15" s="43">
        <v>435.58</v>
      </c>
      <c r="Y15" s="43">
        <v>401.93</v>
      </c>
      <c r="Z15" s="43">
        <v>341</v>
      </c>
      <c r="AA15" s="43">
        <v>327.34</v>
      </c>
      <c r="AB15" s="43">
        <v>287.43</v>
      </c>
      <c r="AC15" s="43">
        <v>256.8</v>
      </c>
    </row>
    <row r="16" spans="1:29">
      <c r="A16" s="32"/>
      <c r="B16" s="33"/>
      <c r="C16" s="34"/>
      <c r="D16" s="31" t="s">
        <v>50</v>
      </c>
      <c r="E16" s="26">
        <f>E14-E15</f>
        <v>-0.570833333333269</v>
      </c>
      <c r="F16" s="43">
        <f t="shared" ref="F16:AC16" si="7">(F14-F15)*1</f>
        <v>42.75</v>
      </c>
      <c r="G16" s="43">
        <f t="shared" si="7"/>
        <v>33.62</v>
      </c>
      <c r="H16" s="43">
        <f t="shared" si="7"/>
        <v>55.98</v>
      </c>
      <c r="I16" s="43">
        <f t="shared" si="7"/>
        <v>59.1</v>
      </c>
      <c r="J16" s="43">
        <f t="shared" si="7"/>
        <v>26.23</v>
      </c>
      <c r="K16" s="43">
        <f t="shared" si="7"/>
        <v>42.75</v>
      </c>
      <c r="L16" s="43">
        <f t="shared" si="7"/>
        <v>-8.43000000000001</v>
      </c>
      <c r="M16" s="43">
        <f t="shared" si="7"/>
        <v>-24.06</v>
      </c>
      <c r="N16" s="43">
        <f t="shared" si="7"/>
        <v>-271.49</v>
      </c>
      <c r="O16" s="43">
        <f t="shared" si="7"/>
        <v>-92.16</v>
      </c>
      <c r="P16" s="43">
        <f t="shared" si="7"/>
        <v>-89.0599999999999</v>
      </c>
      <c r="Q16" s="43">
        <f t="shared" si="7"/>
        <v>-99.65</v>
      </c>
      <c r="R16" s="43">
        <f t="shared" si="7"/>
        <v>-47.71</v>
      </c>
      <c r="S16" s="43">
        <f t="shared" si="7"/>
        <v>-94.46</v>
      </c>
      <c r="T16" s="43">
        <f t="shared" si="7"/>
        <v>-42.66</v>
      </c>
      <c r="U16" s="43">
        <f t="shared" si="7"/>
        <v>-86.9</v>
      </c>
      <c r="V16" s="43">
        <f t="shared" si="7"/>
        <v>-111.89</v>
      </c>
      <c r="W16" s="43">
        <f t="shared" si="7"/>
        <v>-10.48</v>
      </c>
      <c r="X16" s="43">
        <f t="shared" si="7"/>
        <v>275.53</v>
      </c>
      <c r="Y16" s="43">
        <f t="shared" si="7"/>
        <v>141.01</v>
      </c>
      <c r="Z16" s="43">
        <f t="shared" si="7"/>
        <v>152.8</v>
      </c>
      <c r="AA16" s="43">
        <f t="shared" si="7"/>
        <v>100.22</v>
      </c>
      <c r="AB16" s="43">
        <f t="shared" si="7"/>
        <v>23.22</v>
      </c>
      <c r="AC16" s="43">
        <f t="shared" si="7"/>
        <v>12.04</v>
      </c>
    </row>
    <row r="17" spans="1:29">
      <c r="A17" s="32"/>
      <c r="B17" s="33"/>
      <c r="C17" s="36" t="s">
        <v>52</v>
      </c>
      <c r="D17" s="37"/>
      <c r="E17" s="26">
        <f t="shared" ref="E17:E21" si="8">SUM(F17:AC17)</f>
        <v>-63.3305401</v>
      </c>
      <c r="F17" s="43">
        <f t="shared" ref="F17:AC17" si="9">(-F13*F16)*1</f>
        <v>-5.872995</v>
      </c>
      <c r="G17" s="43">
        <f t="shared" si="9"/>
        <v>0</v>
      </c>
      <c r="H17" s="43">
        <f t="shared" si="9"/>
        <v>7.4884446</v>
      </c>
      <c r="I17" s="43">
        <f t="shared" si="9"/>
        <v>7.383363</v>
      </c>
      <c r="J17" s="43">
        <f t="shared" si="9"/>
        <v>3.2496347</v>
      </c>
      <c r="K17" s="43">
        <f t="shared" si="9"/>
        <v>10.6191</v>
      </c>
      <c r="L17" s="43">
        <f t="shared" si="9"/>
        <v>-2.0911458</v>
      </c>
      <c r="M17" s="43">
        <f t="shared" si="9"/>
        <v>4.098621</v>
      </c>
      <c r="N17" s="43">
        <f t="shared" si="9"/>
        <v>105.0259065</v>
      </c>
      <c r="O17" s="43">
        <f t="shared" si="9"/>
        <v>0</v>
      </c>
      <c r="P17" s="43">
        <f t="shared" si="9"/>
        <v>-64.2763832</v>
      </c>
      <c r="Q17" s="43">
        <f t="shared" si="9"/>
        <v>-68.929898</v>
      </c>
      <c r="R17" s="43">
        <f t="shared" si="9"/>
        <v>-27.2214176</v>
      </c>
      <c r="S17" s="43">
        <f t="shared" si="9"/>
        <v>-66.6264164</v>
      </c>
      <c r="T17" s="43">
        <f t="shared" si="9"/>
        <v>-34.610058</v>
      </c>
      <c r="U17" s="43">
        <f t="shared" si="9"/>
        <v>-67.46916</v>
      </c>
      <c r="V17" s="43">
        <f t="shared" si="9"/>
        <v>-87.9119730000001</v>
      </c>
      <c r="W17" s="43">
        <f t="shared" si="9"/>
        <v>0</v>
      </c>
      <c r="X17" s="43">
        <f t="shared" si="9"/>
        <v>94.8952873000001</v>
      </c>
      <c r="Y17" s="43">
        <f t="shared" si="9"/>
        <v>49.2153102000001</v>
      </c>
      <c r="Z17" s="43">
        <f t="shared" si="9"/>
        <v>47.121992</v>
      </c>
      <c r="AA17" s="43">
        <f t="shared" si="9"/>
        <v>25.961991</v>
      </c>
      <c r="AB17" s="43">
        <f t="shared" si="9"/>
        <v>4.66745219999999</v>
      </c>
      <c r="AC17" s="43">
        <f t="shared" si="9"/>
        <v>1.95180439999999</v>
      </c>
    </row>
    <row r="18" spans="1:29">
      <c r="A18" s="32"/>
      <c r="B18" s="33"/>
      <c r="C18" s="38" t="s">
        <v>53</v>
      </c>
      <c r="D18" s="37"/>
      <c r="E18" s="26">
        <f t="shared" si="8"/>
        <v>-63.3305401</v>
      </c>
      <c r="F18" s="43">
        <f t="shared" ref="F18:AC18" si="10">(IF(F17&gt;0,ABS(MIN(F12*0.2,ABS(F13))*F16),F17))*1</f>
        <v>-5.872995</v>
      </c>
      <c r="G18" s="43">
        <f t="shared" si="10"/>
        <v>0</v>
      </c>
      <c r="H18" s="43">
        <f t="shared" si="10"/>
        <v>7.4884446</v>
      </c>
      <c r="I18" s="43">
        <f t="shared" si="10"/>
        <v>7.383363</v>
      </c>
      <c r="J18" s="43">
        <f t="shared" si="10"/>
        <v>3.2496347</v>
      </c>
      <c r="K18" s="43">
        <f t="shared" si="10"/>
        <v>10.6191</v>
      </c>
      <c r="L18" s="43">
        <f t="shared" si="10"/>
        <v>-2.0911458</v>
      </c>
      <c r="M18" s="43">
        <f t="shared" si="10"/>
        <v>4.098621</v>
      </c>
      <c r="N18" s="43">
        <f t="shared" si="10"/>
        <v>105.0259065</v>
      </c>
      <c r="O18" s="43">
        <f t="shared" si="10"/>
        <v>0</v>
      </c>
      <c r="P18" s="43">
        <f t="shared" si="10"/>
        <v>-64.2763832</v>
      </c>
      <c r="Q18" s="43">
        <f t="shared" si="10"/>
        <v>-68.929898</v>
      </c>
      <c r="R18" s="43">
        <f t="shared" si="10"/>
        <v>-27.2214176</v>
      </c>
      <c r="S18" s="43">
        <f t="shared" si="10"/>
        <v>-66.6264164</v>
      </c>
      <c r="T18" s="43">
        <f t="shared" si="10"/>
        <v>-34.610058</v>
      </c>
      <c r="U18" s="43">
        <f t="shared" si="10"/>
        <v>-67.46916</v>
      </c>
      <c r="V18" s="43">
        <f t="shared" si="10"/>
        <v>-87.9119730000001</v>
      </c>
      <c r="W18" s="43">
        <f t="shared" si="10"/>
        <v>0</v>
      </c>
      <c r="X18" s="43">
        <f t="shared" si="10"/>
        <v>94.8952873000001</v>
      </c>
      <c r="Y18" s="43">
        <f t="shared" si="10"/>
        <v>49.2153102000001</v>
      </c>
      <c r="Z18" s="43">
        <f t="shared" si="10"/>
        <v>47.121992</v>
      </c>
      <c r="AA18" s="43">
        <f t="shared" si="10"/>
        <v>25.961991</v>
      </c>
      <c r="AB18" s="43">
        <f t="shared" si="10"/>
        <v>4.66745219999999</v>
      </c>
      <c r="AC18" s="43">
        <f t="shared" si="10"/>
        <v>1.95180439999999</v>
      </c>
    </row>
    <row r="19" spans="1:29">
      <c r="A19" s="32"/>
      <c r="B19" s="33"/>
      <c r="C19" s="39" t="s">
        <v>50</v>
      </c>
      <c r="D19" s="37"/>
      <c r="E19" s="44">
        <f>E17-E18</f>
        <v>0</v>
      </c>
      <c r="F19" s="26">
        <f t="shared" ref="F19:AC19" si="11">(F17-F18)*1</f>
        <v>0</v>
      </c>
      <c r="G19" s="26">
        <f t="shared" si="11"/>
        <v>0</v>
      </c>
      <c r="H19" s="26">
        <f t="shared" si="11"/>
        <v>0</v>
      </c>
      <c r="I19" s="26">
        <f t="shared" si="11"/>
        <v>0</v>
      </c>
      <c r="J19" s="26">
        <f t="shared" si="11"/>
        <v>0</v>
      </c>
      <c r="K19" s="26">
        <f t="shared" si="11"/>
        <v>0</v>
      </c>
      <c r="L19" s="26">
        <f t="shared" si="11"/>
        <v>0</v>
      </c>
      <c r="M19" s="26">
        <f t="shared" si="11"/>
        <v>0</v>
      </c>
      <c r="N19" s="26">
        <f t="shared" si="11"/>
        <v>0</v>
      </c>
      <c r="O19" s="26">
        <f t="shared" si="11"/>
        <v>0</v>
      </c>
      <c r="P19" s="26">
        <f t="shared" si="11"/>
        <v>0</v>
      </c>
      <c r="Q19" s="26">
        <f t="shared" si="11"/>
        <v>0</v>
      </c>
      <c r="R19" s="26">
        <f t="shared" si="11"/>
        <v>0</v>
      </c>
      <c r="S19" s="26">
        <f t="shared" si="11"/>
        <v>0</v>
      </c>
      <c r="T19" s="26">
        <f t="shared" si="11"/>
        <v>0</v>
      </c>
      <c r="U19" s="26">
        <f t="shared" si="11"/>
        <v>0</v>
      </c>
      <c r="V19" s="26">
        <f t="shared" si="11"/>
        <v>0</v>
      </c>
      <c r="W19" s="26">
        <f t="shared" si="11"/>
        <v>0</v>
      </c>
      <c r="X19" s="26">
        <f t="shared" si="11"/>
        <v>0</v>
      </c>
      <c r="Y19" s="26">
        <f t="shared" si="11"/>
        <v>0</v>
      </c>
      <c r="Z19" s="26">
        <f t="shared" si="11"/>
        <v>0</v>
      </c>
      <c r="AA19" s="26">
        <f t="shared" si="11"/>
        <v>0</v>
      </c>
      <c r="AB19" s="26">
        <f t="shared" si="11"/>
        <v>0</v>
      </c>
      <c r="AC19" s="26">
        <f t="shared" si="11"/>
        <v>0</v>
      </c>
    </row>
    <row r="20" spans="1:29">
      <c r="A20" s="29">
        <v>45994</v>
      </c>
      <c r="B20" s="30">
        <f>E27</f>
        <v>227.6010172</v>
      </c>
      <c r="C20" s="31" t="s">
        <v>47</v>
      </c>
      <c r="D20" s="31" t="s">
        <v>48</v>
      </c>
      <c r="E20" s="42">
        <f t="shared" si="8"/>
        <v>18.91441</v>
      </c>
      <c r="F20" s="43">
        <v>0.4862</v>
      </c>
      <c r="G20" s="43">
        <v>0.50067</v>
      </c>
      <c r="H20" s="43">
        <v>0.45464</v>
      </c>
      <c r="I20" s="43">
        <v>0.47864</v>
      </c>
      <c r="J20" s="43">
        <v>0.46456</v>
      </c>
      <c r="K20" s="43">
        <v>0.51472</v>
      </c>
      <c r="L20" s="43">
        <v>0.49672</v>
      </c>
      <c r="M20" s="43">
        <v>0.79425</v>
      </c>
      <c r="N20" s="43">
        <v>1.24713</v>
      </c>
      <c r="O20" s="43">
        <v>1.22571</v>
      </c>
      <c r="P20" s="43">
        <v>1.0992</v>
      </c>
      <c r="Q20" s="43">
        <v>1.01512</v>
      </c>
      <c r="R20" s="43">
        <v>0.57168</v>
      </c>
      <c r="S20" s="43">
        <v>0.65776</v>
      </c>
      <c r="T20" s="43">
        <v>1.06</v>
      </c>
      <c r="U20" s="43">
        <v>1.10216</v>
      </c>
      <c r="V20" s="43">
        <v>1.20704</v>
      </c>
      <c r="W20" s="43">
        <v>1.12473</v>
      </c>
      <c r="X20" s="43">
        <v>0.83412</v>
      </c>
      <c r="Y20" s="43">
        <v>0.93105</v>
      </c>
      <c r="Z20" s="43">
        <v>0.81567</v>
      </c>
      <c r="AA20" s="43">
        <v>0.63</v>
      </c>
      <c r="AB20" s="43">
        <v>0.648</v>
      </c>
      <c r="AC20" s="43">
        <v>0.55464</v>
      </c>
    </row>
    <row r="21" spans="1:29">
      <c r="A21" s="32"/>
      <c r="B21" s="33"/>
      <c r="C21" s="32"/>
      <c r="D21" s="6" t="s">
        <v>49</v>
      </c>
      <c r="E21" s="45">
        <f t="shared" si="8"/>
        <v>22.4835</v>
      </c>
      <c r="F21" s="43">
        <v>0.4862</v>
      </c>
      <c r="G21" s="43">
        <v>0.5563</v>
      </c>
      <c r="H21" s="43">
        <v>0.5683</v>
      </c>
      <c r="I21" s="43">
        <v>0.5983</v>
      </c>
      <c r="J21" s="43">
        <v>0.5807</v>
      </c>
      <c r="K21" s="43">
        <v>0.6434</v>
      </c>
      <c r="L21" s="43">
        <v>0.6209</v>
      </c>
      <c r="M21" s="43">
        <v>0.8825</v>
      </c>
      <c r="N21" s="43">
        <v>1.3857</v>
      </c>
      <c r="O21" s="43">
        <v>1.3619</v>
      </c>
      <c r="P21" s="43">
        <v>1.374</v>
      </c>
      <c r="Q21" s="43">
        <v>1.2689</v>
      </c>
      <c r="R21" s="43">
        <v>0.7146</v>
      </c>
      <c r="S21" s="43">
        <v>0.8222</v>
      </c>
      <c r="T21" s="43">
        <v>1.325</v>
      </c>
      <c r="U21" s="43">
        <v>1.3777</v>
      </c>
      <c r="V21" s="43">
        <v>1.5088</v>
      </c>
      <c r="W21" s="43">
        <v>1.2497</v>
      </c>
      <c r="X21" s="43">
        <v>0.9268</v>
      </c>
      <c r="Y21" s="43">
        <v>1.0345</v>
      </c>
      <c r="Z21" s="43">
        <v>0.9063</v>
      </c>
      <c r="AA21" s="43">
        <v>0.7875</v>
      </c>
      <c r="AB21" s="43">
        <v>0.81</v>
      </c>
      <c r="AC21" s="43">
        <v>0.6933</v>
      </c>
    </row>
    <row r="22" spans="1:29">
      <c r="A22" s="32"/>
      <c r="B22" s="33"/>
      <c r="C22" s="34"/>
      <c r="D22" s="31" t="s">
        <v>50</v>
      </c>
      <c r="E22" s="26">
        <f>E20-E21</f>
        <v>-3.56909000000001</v>
      </c>
      <c r="F22" s="43">
        <f t="shared" ref="F22:AC22" si="12">(F20-F21)*1</f>
        <v>0</v>
      </c>
      <c r="G22" s="43">
        <f t="shared" si="12"/>
        <v>-0.05563</v>
      </c>
      <c r="H22" s="43">
        <f t="shared" si="12"/>
        <v>-0.11366</v>
      </c>
      <c r="I22" s="43">
        <f t="shared" si="12"/>
        <v>-0.11966</v>
      </c>
      <c r="J22" s="43">
        <f t="shared" si="12"/>
        <v>-0.11614</v>
      </c>
      <c r="K22" s="43">
        <f t="shared" si="12"/>
        <v>-0.12868</v>
      </c>
      <c r="L22" s="43">
        <f t="shared" si="12"/>
        <v>-0.12418</v>
      </c>
      <c r="M22" s="43">
        <f t="shared" si="12"/>
        <v>-0.0882499999999999</v>
      </c>
      <c r="N22" s="43">
        <f t="shared" si="12"/>
        <v>-0.13857</v>
      </c>
      <c r="O22" s="43">
        <f t="shared" si="12"/>
        <v>-0.13619</v>
      </c>
      <c r="P22" s="43">
        <f t="shared" si="12"/>
        <v>-0.2748</v>
      </c>
      <c r="Q22" s="43">
        <f t="shared" si="12"/>
        <v>-0.25378</v>
      </c>
      <c r="R22" s="43">
        <f t="shared" si="12"/>
        <v>-0.14292</v>
      </c>
      <c r="S22" s="43">
        <f t="shared" si="12"/>
        <v>-0.16444</v>
      </c>
      <c r="T22" s="43">
        <f t="shared" si="12"/>
        <v>-0.265</v>
      </c>
      <c r="U22" s="43">
        <f t="shared" si="12"/>
        <v>-0.27554</v>
      </c>
      <c r="V22" s="43">
        <f t="shared" si="12"/>
        <v>-0.30176</v>
      </c>
      <c r="W22" s="43">
        <f t="shared" si="12"/>
        <v>-0.12497</v>
      </c>
      <c r="X22" s="43">
        <f t="shared" si="12"/>
        <v>-0.09268</v>
      </c>
      <c r="Y22" s="43">
        <f t="shared" si="12"/>
        <v>-0.10345</v>
      </c>
      <c r="Z22" s="43">
        <f t="shared" si="12"/>
        <v>-0.09063</v>
      </c>
      <c r="AA22" s="43">
        <f t="shared" si="12"/>
        <v>-0.1575</v>
      </c>
      <c r="AB22" s="43">
        <f t="shared" si="12"/>
        <v>-0.162</v>
      </c>
      <c r="AC22" s="43">
        <f t="shared" si="12"/>
        <v>-0.13866</v>
      </c>
    </row>
    <row r="23" spans="1:29">
      <c r="A23" s="32"/>
      <c r="B23" s="33"/>
      <c r="C23" s="35" t="s">
        <v>51</v>
      </c>
      <c r="D23" s="31" t="s">
        <v>48</v>
      </c>
      <c r="E23" s="31">
        <f>AVERAGE(F23:AC23)</f>
        <v>289.04</v>
      </c>
      <c r="F23" s="43">
        <v>295.81</v>
      </c>
      <c r="G23" s="43">
        <v>282.19</v>
      </c>
      <c r="H23" s="43">
        <v>274.17</v>
      </c>
      <c r="I23" s="43">
        <v>267.83</v>
      </c>
      <c r="J23" s="43">
        <v>261.72</v>
      </c>
      <c r="K23" s="43">
        <v>259.14</v>
      </c>
      <c r="L23" s="43">
        <v>260</v>
      </c>
      <c r="M23" s="43">
        <v>261.53</v>
      </c>
      <c r="N23" s="43">
        <v>293.46</v>
      </c>
      <c r="O23" s="43">
        <v>289.35</v>
      </c>
      <c r="P23" s="43">
        <v>280.99</v>
      </c>
      <c r="Q23" s="43">
        <v>256.44</v>
      </c>
      <c r="R23" s="43">
        <v>254.73</v>
      </c>
      <c r="S23" s="43">
        <v>244.51</v>
      </c>
      <c r="T23" s="43">
        <v>248.09</v>
      </c>
      <c r="U23" s="43">
        <v>259.86</v>
      </c>
      <c r="V23" s="43">
        <v>290.63</v>
      </c>
      <c r="W23" s="43">
        <v>364.28</v>
      </c>
      <c r="X23" s="43">
        <v>387.34</v>
      </c>
      <c r="Y23" s="43">
        <v>372.52</v>
      </c>
      <c r="Z23" s="43">
        <v>355.32</v>
      </c>
      <c r="AA23" s="43">
        <v>324.88</v>
      </c>
      <c r="AB23" s="43">
        <v>290.75</v>
      </c>
      <c r="AC23" s="43">
        <v>261.42</v>
      </c>
    </row>
    <row r="24" spans="1:29">
      <c r="A24" s="32"/>
      <c r="B24" s="33"/>
      <c r="C24" s="32"/>
      <c r="D24" s="31" t="s">
        <v>49</v>
      </c>
      <c r="E24" s="31">
        <f>AVERAGE(F24:AC24)</f>
        <v>234.225833333333</v>
      </c>
      <c r="F24" s="43">
        <v>297.94</v>
      </c>
      <c r="G24" s="43">
        <v>277.59</v>
      </c>
      <c r="H24" s="43">
        <v>268.28</v>
      </c>
      <c r="I24" s="43">
        <v>261.18</v>
      </c>
      <c r="J24" s="43">
        <v>242.99</v>
      </c>
      <c r="K24" s="43">
        <v>236.68</v>
      </c>
      <c r="L24" s="43">
        <v>245.41</v>
      </c>
      <c r="M24" s="43">
        <v>262.69</v>
      </c>
      <c r="N24" s="43">
        <v>285.24</v>
      </c>
      <c r="O24" s="43">
        <v>271.87</v>
      </c>
      <c r="P24" s="43">
        <v>218.47</v>
      </c>
      <c r="Q24" s="43">
        <v>117</v>
      </c>
      <c r="R24" s="43">
        <v>8.52</v>
      </c>
      <c r="S24" s="43">
        <v>30.73</v>
      </c>
      <c r="T24" s="43">
        <v>118.35</v>
      </c>
      <c r="U24" s="43">
        <v>232.48</v>
      </c>
      <c r="V24" s="43">
        <v>269.25</v>
      </c>
      <c r="W24" s="43">
        <v>293.71</v>
      </c>
      <c r="X24" s="43">
        <v>306.85</v>
      </c>
      <c r="Y24" s="43">
        <v>295.76</v>
      </c>
      <c r="Z24" s="43">
        <v>306.43</v>
      </c>
      <c r="AA24" s="43">
        <v>293.41</v>
      </c>
      <c r="AB24" s="43">
        <v>257.93</v>
      </c>
      <c r="AC24" s="43">
        <v>222.66</v>
      </c>
    </row>
    <row r="25" spans="1:29">
      <c r="A25" s="32"/>
      <c r="B25" s="33"/>
      <c r="C25" s="34"/>
      <c r="D25" s="31" t="s">
        <v>50</v>
      </c>
      <c r="E25" s="26">
        <f>E23-E24</f>
        <v>54.8141666666667</v>
      </c>
      <c r="F25" s="43">
        <f t="shared" ref="F25:AC25" si="13">(F23-F24)*1</f>
        <v>-2.13</v>
      </c>
      <c r="G25" s="43">
        <f t="shared" si="13"/>
        <v>4.60000000000002</v>
      </c>
      <c r="H25" s="43">
        <f t="shared" si="13"/>
        <v>5.89000000000004</v>
      </c>
      <c r="I25" s="43">
        <f t="shared" si="13"/>
        <v>6.64999999999998</v>
      </c>
      <c r="J25" s="43">
        <f t="shared" si="13"/>
        <v>18.73</v>
      </c>
      <c r="K25" s="43">
        <f t="shared" si="13"/>
        <v>22.46</v>
      </c>
      <c r="L25" s="43">
        <f t="shared" si="13"/>
        <v>14.59</v>
      </c>
      <c r="M25" s="43">
        <f t="shared" si="13"/>
        <v>-1.16000000000003</v>
      </c>
      <c r="N25" s="43">
        <f t="shared" si="13"/>
        <v>8.21999999999997</v>
      </c>
      <c r="O25" s="43">
        <f t="shared" si="13"/>
        <v>17.48</v>
      </c>
      <c r="P25" s="43">
        <f t="shared" si="13"/>
        <v>62.52</v>
      </c>
      <c r="Q25" s="43">
        <f t="shared" si="13"/>
        <v>139.44</v>
      </c>
      <c r="R25" s="43">
        <f t="shared" si="13"/>
        <v>246.21</v>
      </c>
      <c r="S25" s="43">
        <f t="shared" si="13"/>
        <v>213.78</v>
      </c>
      <c r="T25" s="43">
        <f t="shared" si="13"/>
        <v>129.74</v>
      </c>
      <c r="U25" s="43">
        <f t="shared" si="13"/>
        <v>27.38</v>
      </c>
      <c r="V25" s="43">
        <f t="shared" si="13"/>
        <v>21.38</v>
      </c>
      <c r="W25" s="43">
        <f t="shared" si="13"/>
        <v>70.57</v>
      </c>
      <c r="X25" s="43">
        <f t="shared" si="13"/>
        <v>80.49</v>
      </c>
      <c r="Y25" s="43">
        <f t="shared" si="13"/>
        <v>76.76</v>
      </c>
      <c r="Z25" s="43">
        <f t="shared" si="13"/>
        <v>48.89</v>
      </c>
      <c r="AA25" s="43">
        <f t="shared" si="13"/>
        <v>31.47</v>
      </c>
      <c r="AB25" s="43">
        <f t="shared" si="13"/>
        <v>32.82</v>
      </c>
      <c r="AC25" s="43">
        <f t="shared" si="13"/>
        <v>38.76</v>
      </c>
    </row>
    <row r="26" spans="1:29">
      <c r="A26" s="32"/>
      <c r="B26" s="33"/>
      <c r="C26" s="36" t="s">
        <v>52</v>
      </c>
      <c r="D26" s="37"/>
      <c r="E26" s="26">
        <f t="shared" ref="E26:E30" si="14">SUM(F26:AC26)</f>
        <v>227.6010172</v>
      </c>
      <c r="F26" s="43">
        <f t="shared" ref="F26:AC26" si="15">(-F22*F25)*1</f>
        <v>0</v>
      </c>
      <c r="G26" s="43">
        <f t="shared" si="15"/>
        <v>0.255898000000001</v>
      </c>
      <c r="H26" s="43">
        <f t="shared" si="15"/>
        <v>0.669457400000005</v>
      </c>
      <c r="I26" s="43">
        <f t="shared" si="15"/>
        <v>0.795738999999997</v>
      </c>
      <c r="J26" s="43">
        <f t="shared" si="15"/>
        <v>2.1753022</v>
      </c>
      <c r="K26" s="43">
        <f t="shared" si="15"/>
        <v>2.8901528</v>
      </c>
      <c r="L26" s="43">
        <f t="shared" si="15"/>
        <v>1.8117862</v>
      </c>
      <c r="M26" s="43">
        <f t="shared" si="15"/>
        <v>-0.102370000000002</v>
      </c>
      <c r="N26" s="43">
        <f t="shared" si="15"/>
        <v>1.13904539999999</v>
      </c>
      <c r="O26" s="43">
        <f t="shared" si="15"/>
        <v>2.3806012</v>
      </c>
      <c r="P26" s="43">
        <f t="shared" si="15"/>
        <v>17.180496</v>
      </c>
      <c r="Q26" s="43">
        <f t="shared" si="15"/>
        <v>35.3870832</v>
      </c>
      <c r="R26" s="43">
        <f t="shared" si="15"/>
        <v>35.1883332</v>
      </c>
      <c r="S26" s="43">
        <f t="shared" si="15"/>
        <v>35.1539832</v>
      </c>
      <c r="T26" s="43">
        <f t="shared" si="15"/>
        <v>34.3811</v>
      </c>
      <c r="U26" s="43">
        <f t="shared" si="15"/>
        <v>7.5442852</v>
      </c>
      <c r="V26" s="43">
        <f t="shared" si="15"/>
        <v>6.4516288</v>
      </c>
      <c r="W26" s="43">
        <f t="shared" si="15"/>
        <v>8.8191329</v>
      </c>
      <c r="X26" s="43">
        <f t="shared" si="15"/>
        <v>7.45981319999999</v>
      </c>
      <c r="Y26" s="43">
        <f t="shared" si="15"/>
        <v>7.94082199999999</v>
      </c>
      <c r="Z26" s="43">
        <f t="shared" si="15"/>
        <v>4.4309007</v>
      </c>
      <c r="AA26" s="43">
        <f t="shared" si="15"/>
        <v>4.95652499999999</v>
      </c>
      <c r="AB26" s="43">
        <f t="shared" si="15"/>
        <v>5.31684</v>
      </c>
      <c r="AC26" s="43">
        <f t="shared" si="15"/>
        <v>5.3744616</v>
      </c>
    </row>
    <row r="27" spans="1:29">
      <c r="A27" s="32"/>
      <c r="B27" s="33"/>
      <c r="C27" s="38" t="s">
        <v>53</v>
      </c>
      <c r="D27" s="37"/>
      <c r="E27" s="26">
        <f t="shared" si="14"/>
        <v>227.6010172</v>
      </c>
      <c r="F27" s="43">
        <f t="shared" ref="F27:AC27" si="16">(IF(F26&gt;0,ABS(MIN(F21*0.2,ABS(F22))*F25),F26))*1</f>
        <v>0</v>
      </c>
      <c r="G27" s="43">
        <f t="shared" si="16"/>
        <v>0.255898000000001</v>
      </c>
      <c r="H27" s="43">
        <f t="shared" si="16"/>
        <v>0.669457400000005</v>
      </c>
      <c r="I27" s="43">
        <f t="shared" si="16"/>
        <v>0.795738999999997</v>
      </c>
      <c r="J27" s="43">
        <f t="shared" si="16"/>
        <v>2.1753022</v>
      </c>
      <c r="K27" s="43">
        <f t="shared" si="16"/>
        <v>2.8901528</v>
      </c>
      <c r="L27" s="43">
        <f t="shared" si="16"/>
        <v>1.8117862</v>
      </c>
      <c r="M27" s="43">
        <f t="shared" si="16"/>
        <v>-0.102370000000002</v>
      </c>
      <c r="N27" s="43">
        <f t="shared" si="16"/>
        <v>1.13904539999999</v>
      </c>
      <c r="O27" s="43">
        <f t="shared" si="16"/>
        <v>2.3806012</v>
      </c>
      <c r="P27" s="43">
        <f t="shared" si="16"/>
        <v>17.180496</v>
      </c>
      <c r="Q27" s="43">
        <f t="shared" si="16"/>
        <v>35.3870832</v>
      </c>
      <c r="R27" s="43">
        <f t="shared" si="16"/>
        <v>35.1883332</v>
      </c>
      <c r="S27" s="43">
        <f t="shared" si="16"/>
        <v>35.1539832</v>
      </c>
      <c r="T27" s="43">
        <f t="shared" si="16"/>
        <v>34.3811</v>
      </c>
      <c r="U27" s="43">
        <f t="shared" si="16"/>
        <v>7.54428520000001</v>
      </c>
      <c r="V27" s="43">
        <f t="shared" si="16"/>
        <v>6.4516288</v>
      </c>
      <c r="W27" s="43">
        <f t="shared" si="16"/>
        <v>8.8191329</v>
      </c>
      <c r="X27" s="43">
        <f t="shared" si="16"/>
        <v>7.45981319999999</v>
      </c>
      <c r="Y27" s="43">
        <f t="shared" si="16"/>
        <v>7.94082199999999</v>
      </c>
      <c r="Z27" s="43">
        <f t="shared" si="16"/>
        <v>4.4309007</v>
      </c>
      <c r="AA27" s="43">
        <f t="shared" si="16"/>
        <v>4.956525</v>
      </c>
      <c r="AB27" s="43">
        <f t="shared" si="16"/>
        <v>5.31684</v>
      </c>
      <c r="AC27" s="43">
        <f t="shared" si="16"/>
        <v>5.3744616</v>
      </c>
    </row>
    <row r="28" spans="1:29">
      <c r="A28" s="32"/>
      <c r="B28" s="33"/>
      <c r="C28" s="39" t="s">
        <v>50</v>
      </c>
      <c r="D28" s="37"/>
      <c r="E28" s="44">
        <f>E26-E27</f>
        <v>0</v>
      </c>
      <c r="F28" s="26">
        <f t="shared" ref="F28:AC28" si="17">(F26-F27)*1</f>
        <v>0</v>
      </c>
      <c r="G28" s="26">
        <f t="shared" si="17"/>
        <v>0</v>
      </c>
      <c r="H28" s="26">
        <f t="shared" si="17"/>
        <v>0</v>
      </c>
      <c r="I28" s="26">
        <f t="shared" si="17"/>
        <v>0</v>
      </c>
      <c r="J28" s="26">
        <f t="shared" si="17"/>
        <v>0</v>
      </c>
      <c r="K28" s="26">
        <f t="shared" si="17"/>
        <v>0</v>
      </c>
      <c r="L28" s="26">
        <f t="shared" si="17"/>
        <v>0</v>
      </c>
      <c r="M28" s="26">
        <f t="shared" si="17"/>
        <v>0</v>
      </c>
      <c r="N28" s="26">
        <f t="shared" si="17"/>
        <v>0</v>
      </c>
      <c r="O28" s="26">
        <f t="shared" si="17"/>
        <v>0</v>
      </c>
      <c r="P28" s="26">
        <f t="shared" si="17"/>
        <v>0</v>
      </c>
      <c r="Q28" s="26">
        <f t="shared" si="17"/>
        <v>0</v>
      </c>
      <c r="R28" s="26">
        <f t="shared" si="17"/>
        <v>0</v>
      </c>
      <c r="S28" s="26">
        <f t="shared" si="17"/>
        <v>0</v>
      </c>
      <c r="T28" s="26">
        <f t="shared" si="17"/>
        <v>0</v>
      </c>
      <c r="U28" s="26">
        <f t="shared" si="17"/>
        <v>0</v>
      </c>
      <c r="V28" s="26">
        <f t="shared" si="17"/>
        <v>0</v>
      </c>
      <c r="W28" s="26">
        <f t="shared" si="17"/>
        <v>0</v>
      </c>
      <c r="X28" s="26">
        <f t="shared" si="17"/>
        <v>0</v>
      </c>
      <c r="Y28" s="26">
        <f t="shared" si="17"/>
        <v>0</v>
      </c>
      <c r="Z28" s="26">
        <f t="shared" si="17"/>
        <v>0</v>
      </c>
      <c r="AA28" s="26">
        <f t="shared" si="17"/>
        <v>0</v>
      </c>
      <c r="AB28" s="26">
        <f t="shared" si="17"/>
        <v>0</v>
      </c>
      <c r="AC28" s="26">
        <f t="shared" si="17"/>
        <v>0</v>
      </c>
    </row>
    <row r="29" spans="1:29">
      <c r="A29" s="29">
        <v>45995</v>
      </c>
      <c r="B29" s="30">
        <f>E36</f>
        <v>291.1094614</v>
      </c>
      <c r="C29" s="31" t="s">
        <v>47</v>
      </c>
      <c r="D29" s="31" t="s">
        <v>48</v>
      </c>
      <c r="E29" s="42">
        <f t="shared" si="14"/>
        <v>60.55902</v>
      </c>
      <c r="F29" s="43">
        <v>1.6721</v>
      </c>
      <c r="G29" s="43">
        <v>1.51443</v>
      </c>
      <c r="H29" s="43">
        <v>1.3092</v>
      </c>
      <c r="I29" s="43">
        <v>1.32624</v>
      </c>
      <c r="J29" s="43">
        <v>1.31032</v>
      </c>
      <c r="K29" s="43">
        <v>1.3148</v>
      </c>
      <c r="L29" s="43">
        <v>1.2796</v>
      </c>
      <c r="M29" s="43">
        <v>1.84734</v>
      </c>
      <c r="N29" s="43">
        <v>3.75156</v>
      </c>
      <c r="O29" s="43">
        <v>4.0149</v>
      </c>
      <c r="P29" s="43">
        <v>3.50937</v>
      </c>
      <c r="Q29" s="43">
        <v>3.15837</v>
      </c>
      <c r="R29" s="43">
        <v>2.61405</v>
      </c>
      <c r="S29" s="43">
        <v>3.02418</v>
      </c>
      <c r="T29" s="43">
        <v>3.5703</v>
      </c>
      <c r="U29" s="43">
        <v>2.93752</v>
      </c>
      <c r="V29" s="43">
        <v>3.52665</v>
      </c>
      <c r="W29" s="43">
        <v>4.17747</v>
      </c>
      <c r="X29" s="43">
        <v>3.4588</v>
      </c>
      <c r="Y29" s="43">
        <v>3.13011</v>
      </c>
      <c r="Z29" s="43">
        <v>2.74626</v>
      </c>
      <c r="AA29" s="43">
        <v>2.28177</v>
      </c>
      <c r="AB29" s="43">
        <v>1.65992</v>
      </c>
      <c r="AC29" s="43">
        <v>1.42376</v>
      </c>
    </row>
    <row r="30" spans="1:29">
      <c r="A30" s="32"/>
      <c r="B30" s="33"/>
      <c r="C30" s="32"/>
      <c r="D30" s="6" t="s">
        <v>49</v>
      </c>
      <c r="E30" s="42">
        <f t="shared" si="14"/>
        <v>67.6184</v>
      </c>
      <c r="F30" s="43">
        <v>1.6721</v>
      </c>
      <c r="G30" s="43">
        <v>1.6827</v>
      </c>
      <c r="H30" s="43">
        <v>1.6365</v>
      </c>
      <c r="I30" s="43">
        <v>1.6578</v>
      </c>
      <c r="J30" s="43">
        <v>1.6379</v>
      </c>
      <c r="K30" s="43">
        <v>1.6435</v>
      </c>
      <c r="L30" s="43">
        <v>1.5995</v>
      </c>
      <c r="M30" s="43">
        <v>2.0526</v>
      </c>
      <c r="N30" s="43">
        <v>4.1684</v>
      </c>
      <c r="O30" s="43">
        <v>4.461</v>
      </c>
      <c r="P30" s="43">
        <v>3.8993</v>
      </c>
      <c r="Q30" s="43">
        <v>3.5093</v>
      </c>
      <c r="R30" s="43">
        <v>2.9045</v>
      </c>
      <c r="S30" s="43">
        <v>3.3602</v>
      </c>
      <c r="T30" s="43">
        <v>3.967</v>
      </c>
      <c r="U30" s="43">
        <v>3.6719</v>
      </c>
      <c r="V30" s="43">
        <v>3.9185</v>
      </c>
      <c r="W30" s="43">
        <v>3.7977</v>
      </c>
      <c r="X30" s="43">
        <v>3.4588</v>
      </c>
      <c r="Y30" s="43">
        <v>3.4779</v>
      </c>
      <c r="Z30" s="43">
        <v>3.0514</v>
      </c>
      <c r="AA30" s="43">
        <v>2.5353</v>
      </c>
      <c r="AB30" s="43">
        <v>2.0749</v>
      </c>
      <c r="AC30" s="43">
        <v>1.7797</v>
      </c>
    </row>
    <row r="31" spans="1:29">
      <c r="A31" s="32"/>
      <c r="B31" s="33"/>
      <c r="C31" s="34"/>
      <c r="D31" s="31" t="s">
        <v>50</v>
      </c>
      <c r="E31" s="26">
        <f>E29-E30</f>
        <v>-7.05937999999999</v>
      </c>
      <c r="F31" s="43">
        <f t="shared" ref="F31:AC31" si="18">(F29-F30)*1</f>
        <v>0</v>
      </c>
      <c r="G31" s="43">
        <f t="shared" si="18"/>
        <v>-0.16827</v>
      </c>
      <c r="H31" s="43">
        <f t="shared" si="18"/>
        <v>-0.3273</v>
      </c>
      <c r="I31" s="43">
        <f t="shared" si="18"/>
        <v>-0.33156</v>
      </c>
      <c r="J31" s="43">
        <f t="shared" si="18"/>
        <v>-0.32758</v>
      </c>
      <c r="K31" s="43">
        <f t="shared" si="18"/>
        <v>-0.3287</v>
      </c>
      <c r="L31" s="43">
        <f t="shared" si="18"/>
        <v>-0.3199</v>
      </c>
      <c r="M31" s="43">
        <f t="shared" si="18"/>
        <v>-0.20526</v>
      </c>
      <c r="N31" s="43">
        <f t="shared" si="18"/>
        <v>-0.41684</v>
      </c>
      <c r="O31" s="43">
        <f t="shared" si="18"/>
        <v>-0.446099999999999</v>
      </c>
      <c r="P31" s="43">
        <f t="shared" si="18"/>
        <v>-0.38993</v>
      </c>
      <c r="Q31" s="43">
        <f t="shared" si="18"/>
        <v>-0.35093</v>
      </c>
      <c r="R31" s="43">
        <f t="shared" si="18"/>
        <v>-0.29045</v>
      </c>
      <c r="S31" s="43">
        <f t="shared" si="18"/>
        <v>-0.33602</v>
      </c>
      <c r="T31" s="43">
        <f t="shared" si="18"/>
        <v>-0.3967</v>
      </c>
      <c r="U31" s="43">
        <f t="shared" si="18"/>
        <v>-0.73438</v>
      </c>
      <c r="V31" s="43">
        <f t="shared" si="18"/>
        <v>-0.39185</v>
      </c>
      <c r="W31" s="43">
        <f t="shared" si="18"/>
        <v>0.37977</v>
      </c>
      <c r="X31" s="43">
        <f t="shared" si="18"/>
        <v>0</v>
      </c>
      <c r="Y31" s="43">
        <f t="shared" si="18"/>
        <v>-0.34779</v>
      </c>
      <c r="Z31" s="43">
        <f t="shared" si="18"/>
        <v>-0.30514</v>
      </c>
      <c r="AA31" s="43">
        <f t="shared" si="18"/>
        <v>-0.25353</v>
      </c>
      <c r="AB31" s="43">
        <f t="shared" si="18"/>
        <v>-0.41498</v>
      </c>
      <c r="AC31" s="43">
        <f t="shared" si="18"/>
        <v>-0.35594</v>
      </c>
    </row>
    <row r="32" spans="1:29">
      <c r="A32" s="32"/>
      <c r="B32" s="33"/>
      <c r="C32" s="35" t="s">
        <v>51</v>
      </c>
      <c r="D32" s="31" t="s">
        <v>48</v>
      </c>
      <c r="E32" s="31">
        <f>AVERAGE(F32:AC32)</f>
        <v>286.226666666667</v>
      </c>
      <c r="F32" s="43">
        <v>275.92</v>
      </c>
      <c r="G32" s="43">
        <v>263.74</v>
      </c>
      <c r="H32" s="43">
        <v>267.82</v>
      </c>
      <c r="I32" s="43">
        <v>266.58</v>
      </c>
      <c r="J32" s="43">
        <v>258.42</v>
      </c>
      <c r="K32" s="43">
        <v>251.38</v>
      </c>
      <c r="L32" s="43">
        <v>264.29</v>
      </c>
      <c r="M32" s="43">
        <v>279.97</v>
      </c>
      <c r="N32" s="43">
        <v>295.35</v>
      </c>
      <c r="O32" s="43">
        <v>290.91</v>
      </c>
      <c r="P32" s="43">
        <v>250.63</v>
      </c>
      <c r="Q32" s="43">
        <v>233.4</v>
      </c>
      <c r="R32" s="43">
        <v>133.83</v>
      </c>
      <c r="S32" s="43">
        <v>187.97</v>
      </c>
      <c r="T32" s="43">
        <v>246.27</v>
      </c>
      <c r="U32" s="43">
        <v>263.43</v>
      </c>
      <c r="V32" s="43">
        <v>301.91</v>
      </c>
      <c r="W32" s="43">
        <v>387.49</v>
      </c>
      <c r="X32" s="43">
        <v>440.33</v>
      </c>
      <c r="Y32" s="43">
        <v>424.08</v>
      </c>
      <c r="Z32" s="43">
        <v>371.14</v>
      </c>
      <c r="AA32" s="43">
        <v>335.75</v>
      </c>
      <c r="AB32" s="43">
        <v>304.89</v>
      </c>
      <c r="AC32" s="43">
        <v>273.94</v>
      </c>
    </row>
    <row r="33" spans="1:29">
      <c r="A33" s="32"/>
      <c r="B33" s="33"/>
      <c r="C33" s="32"/>
      <c r="D33" s="31" t="s">
        <v>49</v>
      </c>
      <c r="E33" s="31">
        <f>AVERAGE(F33:AC33)</f>
        <v>246.0025</v>
      </c>
      <c r="F33" s="43">
        <v>254.39</v>
      </c>
      <c r="G33" s="43">
        <v>244.18</v>
      </c>
      <c r="H33" s="43">
        <v>238.96</v>
      </c>
      <c r="I33" s="43">
        <v>235.01</v>
      </c>
      <c r="J33" s="43">
        <v>228.43</v>
      </c>
      <c r="K33" s="43">
        <v>232.41</v>
      </c>
      <c r="L33" s="43">
        <v>244.31</v>
      </c>
      <c r="M33" s="43">
        <v>269.23</v>
      </c>
      <c r="N33" s="43">
        <v>314.42</v>
      </c>
      <c r="O33" s="43">
        <v>318.91</v>
      </c>
      <c r="P33" s="43">
        <v>262.02</v>
      </c>
      <c r="Q33" s="43">
        <v>182.55</v>
      </c>
      <c r="R33" s="43">
        <v>97.09</v>
      </c>
      <c r="S33" s="43">
        <v>80.85</v>
      </c>
      <c r="T33" s="43">
        <v>65.84</v>
      </c>
      <c r="U33" s="43">
        <v>195.98</v>
      </c>
      <c r="V33" s="43">
        <v>291.82</v>
      </c>
      <c r="W33" s="43">
        <v>361.23</v>
      </c>
      <c r="X33" s="43">
        <v>337.68</v>
      </c>
      <c r="Y33" s="43">
        <v>298.9</v>
      </c>
      <c r="Z33" s="43">
        <v>315.72</v>
      </c>
      <c r="AA33" s="43">
        <v>310.22</v>
      </c>
      <c r="AB33" s="43">
        <v>269.99</v>
      </c>
      <c r="AC33" s="43">
        <v>253.92</v>
      </c>
    </row>
    <row r="34" spans="1:29">
      <c r="A34" s="32"/>
      <c r="B34" s="33"/>
      <c r="C34" s="34"/>
      <c r="D34" s="31" t="s">
        <v>50</v>
      </c>
      <c r="E34" s="26">
        <f>E32-E33</f>
        <v>40.2241666666666</v>
      </c>
      <c r="F34" s="43">
        <f t="shared" ref="F34:AC34" si="19">(F32-F33)*1</f>
        <v>21.53</v>
      </c>
      <c r="G34" s="43">
        <f t="shared" si="19"/>
        <v>19.56</v>
      </c>
      <c r="H34" s="43">
        <f t="shared" si="19"/>
        <v>28.86</v>
      </c>
      <c r="I34" s="43">
        <f t="shared" si="19"/>
        <v>31.57</v>
      </c>
      <c r="J34" s="43">
        <f t="shared" si="19"/>
        <v>29.99</v>
      </c>
      <c r="K34" s="43">
        <f t="shared" si="19"/>
        <v>18.97</v>
      </c>
      <c r="L34" s="43">
        <f t="shared" si="19"/>
        <v>19.98</v>
      </c>
      <c r="M34" s="43">
        <f t="shared" si="19"/>
        <v>10.74</v>
      </c>
      <c r="N34" s="43">
        <f t="shared" si="19"/>
        <v>-19.07</v>
      </c>
      <c r="O34" s="43">
        <f t="shared" si="19"/>
        <v>-28</v>
      </c>
      <c r="P34" s="43">
        <f t="shared" si="19"/>
        <v>-11.39</v>
      </c>
      <c r="Q34" s="43">
        <f t="shared" si="19"/>
        <v>50.85</v>
      </c>
      <c r="R34" s="43">
        <f t="shared" si="19"/>
        <v>36.74</v>
      </c>
      <c r="S34" s="43">
        <f t="shared" si="19"/>
        <v>107.12</v>
      </c>
      <c r="T34" s="43">
        <f t="shared" si="19"/>
        <v>180.43</v>
      </c>
      <c r="U34" s="43">
        <f t="shared" si="19"/>
        <v>67.45</v>
      </c>
      <c r="V34" s="43">
        <f t="shared" si="19"/>
        <v>10.09</v>
      </c>
      <c r="W34" s="43">
        <f t="shared" si="19"/>
        <v>26.26</v>
      </c>
      <c r="X34" s="43">
        <f t="shared" si="19"/>
        <v>102.65</v>
      </c>
      <c r="Y34" s="43">
        <f t="shared" si="19"/>
        <v>125.18</v>
      </c>
      <c r="Z34" s="43">
        <f t="shared" si="19"/>
        <v>55.42</v>
      </c>
      <c r="AA34" s="43">
        <f t="shared" si="19"/>
        <v>25.53</v>
      </c>
      <c r="AB34" s="43">
        <f t="shared" si="19"/>
        <v>34.9</v>
      </c>
      <c r="AC34" s="43">
        <f t="shared" si="19"/>
        <v>20.02</v>
      </c>
    </row>
    <row r="35" spans="1:29">
      <c r="A35" s="32"/>
      <c r="B35" s="33"/>
      <c r="C35" s="36" t="s">
        <v>52</v>
      </c>
      <c r="D35" s="37"/>
      <c r="E35" s="26">
        <f t="shared" ref="E35:E39" si="20">SUM(F35:AC35)</f>
        <v>291.1094614</v>
      </c>
      <c r="F35" s="43">
        <f t="shared" ref="F35:AC35" si="21">(-F31*F34)*1</f>
        <v>0</v>
      </c>
      <c r="G35" s="43">
        <f t="shared" si="21"/>
        <v>3.2913612</v>
      </c>
      <c r="H35" s="43">
        <f t="shared" si="21"/>
        <v>9.445878</v>
      </c>
      <c r="I35" s="43">
        <f t="shared" si="21"/>
        <v>10.4673492</v>
      </c>
      <c r="J35" s="43">
        <f t="shared" si="21"/>
        <v>9.8241242</v>
      </c>
      <c r="K35" s="43">
        <f t="shared" si="21"/>
        <v>6.235439</v>
      </c>
      <c r="L35" s="43">
        <f t="shared" si="21"/>
        <v>6.391602</v>
      </c>
      <c r="M35" s="43">
        <f t="shared" si="21"/>
        <v>2.2044924</v>
      </c>
      <c r="N35" s="43">
        <f t="shared" si="21"/>
        <v>-7.9491388</v>
      </c>
      <c r="O35" s="43">
        <f t="shared" si="21"/>
        <v>-12.4908</v>
      </c>
      <c r="P35" s="43">
        <f t="shared" si="21"/>
        <v>-4.4413027</v>
      </c>
      <c r="Q35" s="43">
        <f t="shared" si="21"/>
        <v>17.8447905</v>
      </c>
      <c r="R35" s="43">
        <f t="shared" si="21"/>
        <v>10.671133</v>
      </c>
      <c r="S35" s="43">
        <f t="shared" si="21"/>
        <v>35.9944624</v>
      </c>
      <c r="T35" s="43">
        <f t="shared" si="21"/>
        <v>71.576581</v>
      </c>
      <c r="U35" s="43">
        <f t="shared" si="21"/>
        <v>49.533931</v>
      </c>
      <c r="V35" s="43">
        <f t="shared" si="21"/>
        <v>3.95376650000001</v>
      </c>
      <c r="W35" s="43">
        <f t="shared" si="21"/>
        <v>-9.97276019999999</v>
      </c>
      <c r="X35" s="43">
        <f t="shared" si="21"/>
        <v>0</v>
      </c>
      <c r="Y35" s="43">
        <f t="shared" si="21"/>
        <v>43.5363522</v>
      </c>
      <c r="Z35" s="43">
        <f t="shared" si="21"/>
        <v>16.9108588</v>
      </c>
      <c r="AA35" s="43">
        <f t="shared" si="21"/>
        <v>6.47262089999999</v>
      </c>
      <c r="AB35" s="43">
        <f t="shared" si="21"/>
        <v>14.482802</v>
      </c>
      <c r="AC35" s="43">
        <f t="shared" si="21"/>
        <v>7.12591880000001</v>
      </c>
    </row>
    <row r="36" spans="1:29">
      <c r="A36" s="32"/>
      <c r="B36" s="33"/>
      <c r="C36" s="38" t="s">
        <v>53</v>
      </c>
      <c r="D36" s="37"/>
      <c r="E36" s="26">
        <f t="shared" si="20"/>
        <v>291.1094614</v>
      </c>
      <c r="F36" s="43">
        <f t="shared" ref="F36:AC36" si="22">(IF(F35&gt;0,ABS(MIN(F30*0.2,ABS(F31))*F34),F35))*1</f>
        <v>0</v>
      </c>
      <c r="G36" s="43">
        <f t="shared" si="22"/>
        <v>3.2913612</v>
      </c>
      <c r="H36" s="43">
        <f t="shared" si="22"/>
        <v>9.445878</v>
      </c>
      <c r="I36" s="43">
        <f t="shared" si="22"/>
        <v>10.4673492</v>
      </c>
      <c r="J36" s="43">
        <f t="shared" si="22"/>
        <v>9.8241242</v>
      </c>
      <c r="K36" s="43">
        <f t="shared" si="22"/>
        <v>6.235439</v>
      </c>
      <c r="L36" s="43">
        <f t="shared" si="22"/>
        <v>6.39160200000001</v>
      </c>
      <c r="M36" s="43">
        <f t="shared" si="22"/>
        <v>2.2044924</v>
      </c>
      <c r="N36" s="43">
        <f t="shared" si="22"/>
        <v>-7.9491388</v>
      </c>
      <c r="O36" s="43">
        <f t="shared" si="22"/>
        <v>-12.4908</v>
      </c>
      <c r="P36" s="43">
        <f t="shared" si="22"/>
        <v>-4.4413027</v>
      </c>
      <c r="Q36" s="43">
        <f t="shared" si="22"/>
        <v>17.8447905</v>
      </c>
      <c r="R36" s="43">
        <f t="shared" si="22"/>
        <v>10.671133</v>
      </c>
      <c r="S36" s="43">
        <f t="shared" si="22"/>
        <v>35.9944624</v>
      </c>
      <c r="T36" s="43">
        <f t="shared" si="22"/>
        <v>71.576581</v>
      </c>
      <c r="U36" s="43">
        <f t="shared" si="22"/>
        <v>49.533931</v>
      </c>
      <c r="V36" s="43">
        <f t="shared" si="22"/>
        <v>3.95376650000001</v>
      </c>
      <c r="W36" s="43">
        <f t="shared" si="22"/>
        <v>-9.97276019999999</v>
      </c>
      <c r="X36" s="43">
        <f t="shared" si="22"/>
        <v>0</v>
      </c>
      <c r="Y36" s="43">
        <f t="shared" si="22"/>
        <v>43.5363522</v>
      </c>
      <c r="Z36" s="43">
        <f t="shared" si="22"/>
        <v>16.9108588</v>
      </c>
      <c r="AA36" s="43">
        <f t="shared" si="22"/>
        <v>6.47262089999999</v>
      </c>
      <c r="AB36" s="43">
        <f t="shared" si="22"/>
        <v>14.482802</v>
      </c>
      <c r="AC36" s="43">
        <f t="shared" si="22"/>
        <v>7.1259188</v>
      </c>
    </row>
    <row r="37" spans="1:29">
      <c r="A37" s="32"/>
      <c r="B37" s="33"/>
      <c r="C37" s="39" t="s">
        <v>50</v>
      </c>
      <c r="D37" s="37"/>
      <c r="E37" s="44">
        <f>E35-E36</f>
        <v>0</v>
      </c>
      <c r="F37" s="26">
        <f t="shared" ref="F37:AC37" si="23">(F35-F36)*1</f>
        <v>0</v>
      </c>
      <c r="G37" s="26">
        <f t="shared" si="23"/>
        <v>0</v>
      </c>
      <c r="H37" s="26">
        <f t="shared" si="23"/>
        <v>0</v>
      </c>
      <c r="I37" s="26">
        <f t="shared" si="23"/>
        <v>0</v>
      </c>
      <c r="J37" s="26">
        <f t="shared" si="23"/>
        <v>0</v>
      </c>
      <c r="K37" s="26">
        <f t="shared" si="23"/>
        <v>0</v>
      </c>
      <c r="L37" s="26">
        <f t="shared" si="23"/>
        <v>0</v>
      </c>
      <c r="M37" s="26">
        <f t="shared" si="23"/>
        <v>0</v>
      </c>
      <c r="N37" s="26">
        <f t="shared" si="23"/>
        <v>0</v>
      </c>
      <c r="O37" s="26">
        <f t="shared" si="23"/>
        <v>0</v>
      </c>
      <c r="P37" s="26">
        <f t="shared" si="23"/>
        <v>0</v>
      </c>
      <c r="Q37" s="26">
        <f t="shared" si="23"/>
        <v>0</v>
      </c>
      <c r="R37" s="26">
        <f t="shared" si="23"/>
        <v>0</v>
      </c>
      <c r="S37" s="26">
        <f t="shared" si="23"/>
        <v>0</v>
      </c>
      <c r="T37" s="26">
        <f t="shared" si="23"/>
        <v>0</v>
      </c>
      <c r="U37" s="26">
        <f t="shared" si="23"/>
        <v>0</v>
      </c>
      <c r="V37" s="26">
        <f t="shared" si="23"/>
        <v>0</v>
      </c>
      <c r="W37" s="26">
        <f t="shared" si="23"/>
        <v>0</v>
      </c>
      <c r="X37" s="26">
        <f t="shared" si="23"/>
        <v>0</v>
      </c>
      <c r="Y37" s="26">
        <f t="shared" si="23"/>
        <v>0</v>
      </c>
      <c r="Z37" s="26">
        <f t="shared" si="23"/>
        <v>0</v>
      </c>
      <c r="AA37" s="26">
        <f t="shared" si="23"/>
        <v>0</v>
      </c>
      <c r="AB37" s="26">
        <f t="shared" si="23"/>
        <v>0</v>
      </c>
      <c r="AC37" s="26">
        <f t="shared" si="23"/>
        <v>0</v>
      </c>
    </row>
    <row r="38" spans="1:29">
      <c r="A38" s="29">
        <v>45996</v>
      </c>
      <c r="B38" s="30">
        <f>E45</f>
        <v>30.3267188</v>
      </c>
      <c r="C38" s="31" t="s">
        <v>47</v>
      </c>
      <c r="D38" s="31" t="s">
        <v>48</v>
      </c>
      <c r="E38" s="42">
        <f t="shared" si="20"/>
        <v>38.73096</v>
      </c>
      <c r="F38" s="43">
        <v>0.8671</v>
      </c>
      <c r="G38" s="43">
        <v>0.72738</v>
      </c>
      <c r="H38" s="43">
        <v>0.64312</v>
      </c>
      <c r="I38" s="43">
        <v>0.63656</v>
      </c>
      <c r="J38" s="43">
        <v>0.63976</v>
      </c>
      <c r="K38" s="43">
        <v>0.62008</v>
      </c>
      <c r="L38" s="43">
        <v>0.65264</v>
      </c>
      <c r="M38" s="43">
        <v>1.13751</v>
      </c>
      <c r="N38" s="43">
        <v>2.26521</v>
      </c>
      <c r="O38" s="43">
        <v>2.33901</v>
      </c>
      <c r="P38" s="43">
        <v>2.28267</v>
      </c>
      <c r="Q38" s="43">
        <v>2.1609</v>
      </c>
      <c r="R38" s="43">
        <v>1.22661</v>
      </c>
      <c r="S38" s="43">
        <v>1.49445</v>
      </c>
      <c r="T38" s="43">
        <v>2.21742</v>
      </c>
      <c r="U38" s="43">
        <v>2.6822</v>
      </c>
      <c r="V38" s="43">
        <v>2.6321</v>
      </c>
      <c r="W38" s="43">
        <v>2.76078</v>
      </c>
      <c r="X38" s="43">
        <v>2.2605</v>
      </c>
      <c r="Y38" s="43">
        <v>2.1197</v>
      </c>
      <c r="Z38" s="43">
        <v>2.18812</v>
      </c>
      <c r="AA38" s="43">
        <v>1.74515</v>
      </c>
      <c r="AB38" s="43">
        <v>1.29008</v>
      </c>
      <c r="AC38" s="43">
        <v>1.14191</v>
      </c>
    </row>
    <row r="39" spans="1:29">
      <c r="A39" s="32"/>
      <c r="B39" s="33"/>
      <c r="C39" s="32"/>
      <c r="D39" s="6" t="s">
        <v>49</v>
      </c>
      <c r="E39" s="45">
        <f t="shared" si="20"/>
        <v>40.2551</v>
      </c>
      <c r="F39" s="43">
        <v>0.8671</v>
      </c>
      <c r="G39" s="43">
        <v>0.8082</v>
      </c>
      <c r="H39" s="43">
        <v>0.8039</v>
      </c>
      <c r="I39" s="43">
        <v>0.7957</v>
      </c>
      <c r="J39" s="43">
        <v>0.7997</v>
      </c>
      <c r="K39" s="43">
        <v>0.7751</v>
      </c>
      <c r="L39" s="43">
        <v>0.8158</v>
      </c>
      <c r="M39" s="43">
        <v>1.2639</v>
      </c>
      <c r="N39" s="43">
        <v>2.5169</v>
      </c>
      <c r="O39" s="43">
        <v>2.5989</v>
      </c>
      <c r="P39" s="43">
        <v>2.5363</v>
      </c>
      <c r="Q39" s="43">
        <v>2.401</v>
      </c>
      <c r="R39" s="43">
        <v>1.3629</v>
      </c>
      <c r="S39" s="43">
        <v>1.6605</v>
      </c>
      <c r="T39" s="43">
        <v>2.4638</v>
      </c>
      <c r="U39" s="43">
        <v>2.6822</v>
      </c>
      <c r="V39" s="43">
        <v>2.6321</v>
      </c>
      <c r="W39" s="43">
        <v>2.5098</v>
      </c>
      <c r="X39" s="43">
        <v>2.055</v>
      </c>
      <c r="Y39" s="43">
        <v>2.1197</v>
      </c>
      <c r="Z39" s="43">
        <v>1.9892</v>
      </c>
      <c r="AA39" s="43">
        <v>1.5865</v>
      </c>
      <c r="AB39" s="43">
        <v>1.1728</v>
      </c>
      <c r="AC39" s="43">
        <v>1.0381</v>
      </c>
    </row>
    <row r="40" spans="1:29">
      <c r="A40" s="32"/>
      <c r="B40" s="33"/>
      <c r="C40" s="34"/>
      <c r="D40" s="31" t="s">
        <v>50</v>
      </c>
      <c r="E40" s="26">
        <f>E38-E39</f>
        <v>-1.52414</v>
      </c>
      <c r="F40" s="43">
        <f t="shared" ref="F40:AC40" si="24">(F38-F39)*1</f>
        <v>0</v>
      </c>
      <c r="G40" s="43">
        <f t="shared" si="24"/>
        <v>-0.08082</v>
      </c>
      <c r="H40" s="43">
        <f t="shared" si="24"/>
        <v>-0.16078</v>
      </c>
      <c r="I40" s="43">
        <f t="shared" si="24"/>
        <v>-0.15914</v>
      </c>
      <c r="J40" s="43">
        <f t="shared" si="24"/>
        <v>-0.15994</v>
      </c>
      <c r="K40" s="43">
        <f t="shared" si="24"/>
        <v>-0.15502</v>
      </c>
      <c r="L40" s="43">
        <f t="shared" si="24"/>
        <v>-0.16316</v>
      </c>
      <c r="M40" s="43">
        <f t="shared" si="24"/>
        <v>-0.12639</v>
      </c>
      <c r="N40" s="43">
        <f t="shared" si="24"/>
        <v>-0.25169</v>
      </c>
      <c r="O40" s="43">
        <f t="shared" si="24"/>
        <v>-0.25989</v>
      </c>
      <c r="P40" s="43">
        <f t="shared" si="24"/>
        <v>-0.25363</v>
      </c>
      <c r="Q40" s="43">
        <f t="shared" si="24"/>
        <v>-0.2401</v>
      </c>
      <c r="R40" s="43">
        <f t="shared" si="24"/>
        <v>-0.13629</v>
      </c>
      <c r="S40" s="43">
        <f t="shared" si="24"/>
        <v>-0.16605</v>
      </c>
      <c r="T40" s="43">
        <f t="shared" si="24"/>
        <v>-0.24638</v>
      </c>
      <c r="U40" s="43">
        <f t="shared" si="24"/>
        <v>0</v>
      </c>
      <c r="V40" s="43">
        <f t="shared" si="24"/>
        <v>0</v>
      </c>
      <c r="W40" s="43">
        <f t="shared" si="24"/>
        <v>0.25098</v>
      </c>
      <c r="X40" s="43">
        <f t="shared" si="24"/>
        <v>0.2055</v>
      </c>
      <c r="Y40" s="43">
        <f t="shared" si="24"/>
        <v>0</v>
      </c>
      <c r="Z40" s="43">
        <f t="shared" si="24"/>
        <v>0.19892</v>
      </c>
      <c r="AA40" s="43">
        <f t="shared" si="24"/>
        <v>0.15865</v>
      </c>
      <c r="AB40" s="43">
        <f t="shared" si="24"/>
        <v>0.11728</v>
      </c>
      <c r="AC40" s="43">
        <f t="shared" si="24"/>
        <v>0.10381</v>
      </c>
    </row>
    <row r="41" spans="1:29">
      <c r="A41" s="32"/>
      <c r="B41" s="33"/>
      <c r="C41" s="35" t="s">
        <v>51</v>
      </c>
      <c r="D41" s="31" t="s">
        <v>48</v>
      </c>
      <c r="E41" s="31">
        <f>AVERAGE(F41:AC41)</f>
        <v>344.00125</v>
      </c>
      <c r="F41" s="43">
        <v>294.77</v>
      </c>
      <c r="G41" s="43">
        <v>289.84</v>
      </c>
      <c r="H41" s="43">
        <v>287.68</v>
      </c>
      <c r="I41" s="43">
        <v>274.08</v>
      </c>
      <c r="J41" s="43">
        <v>267.12</v>
      </c>
      <c r="K41" s="43">
        <v>267.33</v>
      </c>
      <c r="L41" s="43">
        <v>298.28</v>
      </c>
      <c r="M41" s="43">
        <v>315.85</v>
      </c>
      <c r="N41" s="43">
        <v>345.25</v>
      </c>
      <c r="O41" s="43">
        <v>326.72</v>
      </c>
      <c r="P41" s="43">
        <v>278.41</v>
      </c>
      <c r="Q41" s="43">
        <v>291.72</v>
      </c>
      <c r="R41" s="43">
        <v>282.46</v>
      </c>
      <c r="S41" s="43">
        <v>407.66</v>
      </c>
      <c r="T41" s="43">
        <v>285.64</v>
      </c>
      <c r="U41" s="43">
        <v>280.35</v>
      </c>
      <c r="V41" s="43">
        <v>335.89</v>
      </c>
      <c r="W41" s="43">
        <v>466.23</v>
      </c>
      <c r="X41" s="43">
        <v>512.22</v>
      </c>
      <c r="Y41" s="43">
        <v>530.68</v>
      </c>
      <c r="Z41" s="43">
        <v>476.82</v>
      </c>
      <c r="AA41" s="43">
        <v>460</v>
      </c>
      <c r="AB41" s="43">
        <v>379.04</v>
      </c>
      <c r="AC41" s="43">
        <v>301.99</v>
      </c>
    </row>
    <row r="42" spans="1:29">
      <c r="A42" s="32"/>
      <c r="B42" s="33"/>
      <c r="C42" s="32"/>
      <c r="D42" s="31" t="s">
        <v>49</v>
      </c>
      <c r="E42" s="31">
        <f>AVERAGE(F42:AC42)</f>
        <v>270.762083333333</v>
      </c>
      <c r="F42" s="43">
        <v>287.03</v>
      </c>
      <c r="G42" s="43">
        <v>273.4</v>
      </c>
      <c r="H42" s="43">
        <v>264.08</v>
      </c>
      <c r="I42" s="43">
        <v>258.66</v>
      </c>
      <c r="J42" s="43">
        <v>257.17</v>
      </c>
      <c r="K42" s="43">
        <v>264.44</v>
      </c>
      <c r="L42" s="43">
        <v>279.71</v>
      </c>
      <c r="M42" s="43">
        <v>300.95</v>
      </c>
      <c r="N42" s="43">
        <v>337.07</v>
      </c>
      <c r="O42" s="43">
        <v>290.65</v>
      </c>
      <c r="P42" s="43">
        <v>244.42</v>
      </c>
      <c r="Q42" s="43">
        <v>219.51</v>
      </c>
      <c r="R42" s="43">
        <v>101.35</v>
      </c>
      <c r="S42" s="43">
        <v>113.46</v>
      </c>
      <c r="T42" s="43">
        <v>151.46</v>
      </c>
      <c r="U42" s="43">
        <v>236.26</v>
      </c>
      <c r="V42" s="43">
        <v>312.63</v>
      </c>
      <c r="W42" s="43">
        <v>329.72</v>
      </c>
      <c r="X42" s="43">
        <v>349.43</v>
      </c>
      <c r="Y42" s="43">
        <v>358.94</v>
      </c>
      <c r="Z42" s="43">
        <v>306.98</v>
      </c>
      <c r="AA42" s="43">
        <v>322.78</v>
      </c>
      <c r="AB42" s="43">
        <v>343.95</v>
      </c>
      <c r="AC42" s="43">
        <v>294.24</v>
      </c>
    </row>
    <row r="43" spans="1:29">
      <c r="A43" s="32"/>
      <c r="B43" s="33"/>
      <c r="C43" s="34"/>
      <c r="D43" s="31" t="s">
        <v>50</v>
      </c>
      <c r="E43" s="26">
        <f>E41-E42</f>
        <v>73.2391666666667</v>
      </c>
      <c r="F43" s="43">
        <f t="shared" ref="F43:AC43" si="25">(F41-F42)*1</f>
        <v>7.74000000000001</v>
      </c>
      <c r="G43" s="43">
        <f t="shared" si="25"/>
        <v>16.44</v>
      </c>
      <c r="H43" s="43">
        <f t="shared" si="25"/>
        <v>23.6</v>
      </c>
      <c r="I43" s="43">
        <f t="shared" si="25"/>
        <v>15.42</v>
      </c>
      <c r="J43" s="43">
        <f t="shared" si="25"/>
        <v>9.94999999999999</v>
      </c>
      <c r="K43" s="43">
        <f t="shared" si="25"/>
        <v>2.88999999999999</v>
      </c>
      <c r="L43" s="43">
        <f t="shared" si="25"/>
        <v>18.57</v>
      </c>
      <c r="M43" s="43">
        <f t="shared" si="25"/>
        <v>14.9</v>
      </c>
      <c r="N43" s="43">
        <f t="shared" si="25"/>
        <v>8.18000000000001</v>
      </c>
      <c r="O43" s="43">
        <f t="shared" si="25"/>
        <v>36.0700000000001</v>
      </c>
      <c r="P43" s="43">
        <f t="shared" si="25"/>
        <v>33.99</v>
      </c>
      <c r="Q43" s="43">
        <f t="shared" si="25"/>
        <v>72.21</v>
      </c>
      <c r="R43" s="43">
        <f t="shared" si="25"/>
        <v>181.11</v>
      </c>
      <c r="S43" s="43">
        <f t="shared" si="25"/>
        <v>294.2</v>
      </c>
      <c r="T43" s="43">
        <f t="shared" si="25"/>
        <v>134.18</v>
      </c>
      <c r="U43" s="43">
        <f t="shared" si="25"/>
        <v>44.09</v>
      </c>
      <c r="V43" s="43">
        <f t="shared" si="25"/>
        <v>23.26</v>
      </c>
      <c r="W43" s="43">
        <f t="shared" si="25"/>
        <v>136.51</v>
      </c>
      <c r="X43" s="43">
        <f t="shared" si="25"/>
        <v>162.79</v>
      </c>
      <c r="Y43" s="43">
        <f t="shared" si="25"/>
        <v>171.74</v>
      </c>
      <c r="Z43" s="43">
        <f t="shared" si="25"/>
        <v>169.84</v>
      </c>
      <c r="AA43" s="43">
        <f t="shared" si="25"/>
        <v>137.22</v>
      </c>
      <c r="AB43" s="43">
        <f t="shared" si="25"/>
        <v>35.09</v>
      </c>
      <c r="AC43" s="43">
        <f t="shared" si="25"/>
        <v>7.75</v>
      </c>
    </row>
    <row r="44" spans="1:29">
      <c r="A44" s="32"/>
      <c r="B44" s="33"/>
      <c r="C44" s="36" t="s">
        <v>52</v>
      </c>
      <c r="D44" s="37"/>
      <c r="E44" s="26">
        <f t="shared" ref="E44:E48" si="26">SUM(F44:AC44)</f>
        <v>30.3267188</v>
      </c>
      <c r="F44" s="43">
        <f t="shared" ref="F44:AC44" si="27">(-F40*F43)*1</f>
        <v>0</v>
      </c>
      <c r="G44" s="43">
        <f t="shared" si="27"/>
        <v>1.3286808</v>
      </c>
      <c r="H44" s="43">
        <f t="shared" si="27"/>
        <v>3.794408</v>
      </c>
      <c r="I44" s="43">
        <f t="shared" si="27"/>
        <v>2.45393879999999</v>
      </c>
      <c r="J44" s="43">
        <f t="shared" si="27"/>
        <v>1.591403</v>
      </c>
      <c r="K44" s="43">
        <f t="shared" si="27"/>
        <v>0.448007799999998</v>
      </c>
      <c r="L44" s="43">
        <f t="shared" si="27"/>
        <v>3.0298812</v>
      </c>
      <c r="M44" s="43">
        <f t="shared" si="27"/>
        <v>1.883211</v>
      </c>
      <c r="N44" s="43">
        <f t="shared" si="27"/>
        <v>2.0588242</v>
      </c>
      <c r="O44" s="43">
        <f t="shared" si="27"/>
        <v>9.37423230000001</v>
      </c>
      <c r="P44" s="43">
        <f t="shared" si="27"/>
        <v>8.62088370000002</v>
      </c>
      <c r="Q44" s="43">
        <f t="shared" si="27"/>
        <v>17.337621</v>
      </c>
      <c r="R44" s="43">
        <f t="shared" si="27"/>
        <v>24.6834819</v>
      </c>
      <c r="S44" s="43">
        <f t="shared" si="27"/>
        <v>48.85191</v>
      </c>
      <c r="T44" s="43">
        <f t="shared" si="27"/>
        <v>33.0592684</v>
      </c>
      <c r="U44" s="43">
        <f t="shared" si="27"/>
        <v>0</v>
      </c>
      <c r="V44" s="43">
        <f t="shared" si="27"/>
        <v>0</v>
      </c>
      <c r="W44" s="43">
        <f t="shared" si="27"/>
        <v>-34.2612798</v>
      </c>
      <c r="X44" s="43">
        <f t="shared" si="27"/>
        <v>-33.453345</v>
      </c>
      <c r="Y44" s="43">
        <f t="shared" si="27"/>
        <v>0</v>
      </c>
      <c r="Z44" s="43">
        <f t="shared" si="27"/>
        <v>-33.7845728</v>
      </c>
      <c r="AA44" s="43">
        <f t="shared" si="27"/>
        <v>-21.769953</v>
      </c>
      <c r="AB44" s="43">
        <f t="shared" si="27"/>
        <v>-4.1153552</v>
      </c>
      <c r="AC44" s="43">
        <f t="shared" si="27"/>
        <v>-0.8045275</v>
      </c>
    </row>
    <row r="45" spans="1:29">
      <c r="A45" s="32"/>
      <c r="B45" s="33"/>
      <c r="C45" s="38" t="s">
        <v>53</v>
      </c>
      <c r="D45" s="37"/>
      <c r="E45" s="26">
        <f t="shared" si="26"/>
        <v>30.3267188</v>
      </c>
      <c r="F45" s="43">
        <f t="shared" ref="F45:AC45" si="28">(IF(F44&gt;0,ABS(MIN(F39*0.2,ABS(F40))*F43),F44))*1</f>
        <v>0</v>
      </c>
      <c r="G45" s="43">
        <f t="shared" si="28"/>
        <v>1.3286808</v>
      </c>
      <c r="H45" s="43">
        <f t="shared" si="28"/>
        <v>3.794408</v>
      </c>
      <c r="I45" s="43">
        <f t="shared" si="28"/>
        <v>2.45393879999999</v>
      </c>
      <c r="J45" s="43">
        <f t="shared" si="28"/>
        <v>1.591403</v>
      </c>
      <c r="K45" s="43">
        <f t="shared" si="28"/>
        <v>0.448007799999998</v>
      </c>
      <c r="L45" s="43">
        <f t="shared" si="28"/>
        <v>3.0298812</v>
      </c>
      <c r="M45" s="43">
        <f t="shared" si="28"/>
        <v>1.883211</v>
      </c>
      <c r="N45" s="43">
        <f t="shared" si="28"/>
        <v>2.0588242</v>
      </c>
      <c r="O45" s="43">
        <f t="shared" si="28"/>
        <v>9.37423230000001</v>
      </c>
      <c r="P45" s="43">
        <f t="shared" si="28"/>
        <v>8.62088370000002</v>
      </c>
      <c r="Q45" s="43">
        <f t="shared" si="28"/>
        <v>17.337621</v>
      </c>
      <c r="R45" s="43">
        <f t="shared" si="28"/>
        <v>24.6834819</v>
      </c>
      <c r="S45" s="43">
        <f t="shared" si="28"/>
        <v>48.85191</v>
      </c>
      <c r="T45" s="43">
        <f t="shared" si="28"/>
        <v>33.0592684</v>
      </c>
      <c r="U45" s="43">
        <f t="shared" si="28"/>
        <v>0</v>
      </c>
      <c r="V45" s="43">
        <f t="shared" si="28"/>
        <v>0</v>
      </c>
      <c r="W45" s="43">
        <f t="shared" si="28"/>
        <v>-34.2612798</v>
      </c>
      <c r="X45" s="43">
        <f t="shared" si="28"/>
        <v>-33.453345</v>
      </c>
      <c r="Y45" s="43">
        <f t="shared" si="28"/>
        <v>0</v>
      </c>
      <c r="Z45" s="43">
        <f t="shared" si="28"/>
        <v>-33.7845728</v>
      </c>
      <c r="AA45" s="43">
        <f t="shared" si="28"/>
        <v>-21.769953</v>
      </c>
      <c r="AB45" s="43">
        <f t="shared" si="28"/>
        <v>-4.1153552</v>
      </c>
      <c r="AC45" s="43">
        <f t="shared" si="28"/>
        <v>-0.8045275</v>
      </c>
    </row>
    <row r="46" spans="1:29">
      <c r="A46" s="32"/>
      <c r="B46" s="33"/>
      <c r="C46" s="39" t="s">
        <v>50</v>
      </c>
      <c r="D46" s="37"/>
      <c r="E46" s="44">
        <f>E44-E45</f>
        <v>0</v>
      </c>
      <c r="F46" s="26">
        <f t="shared" ref="F46:AC46" si="29">(F44-F45)*1</f>
        <v>0</v>
      </c>
      <c r="G46" s="26">
        <f t="shared" si="29"/>
        <v>0</v>
      </c>
      <c r="H46" s="26">
        <f t="shared" si="29"/>
        <v>0</v>
      </c>
      <c r="I46" s="26">
        <f t="shared" si="29"/>
        <v>0</v>
      </c>
      <c r="J46" s="26">
        <f t="shared" si="29"/>
        <v>0</v>
      </c>
      <c r="K46" s="26">
        <f t="shared" si="29"/>
        <v>-2.77555756156289e-16</v>
      </c>
      <c r="L46" s="26">
        <f t="shared" si="29"/>
        <v>0</v>
      </c>
      <c r="M46" s="26">
        <f t="shared" si="29"/>
        <v>0</v>
      </c>
      <c r="N46" s="26">
        <f t="shared" si="29"/>
        <v>0</v>
      </c>
      <c r="O46" s="26">
        <f t="shared" si="29"/>
        <v>0</v>
      </c>
      <c r="P46" s="26">
        <f t="shared" si="29"/>
        <v>0</v>
      </c>
      <c r="Q46" s="26">
        <f t="shared" si="29"/>
        <v>0</v>
      </c>
      <c r="R46" s="26">
        <f t="shared" si="29"/>
        <v>0</v>
      </c>
      <c r="S46" s="26">
        <f t="shared" si="29"/>
        <v>0</v>
      </c>
      <c r="T46" s="26">
        <f t="shared" si="29"/>
        <v>0</v>
      </c>
      <c r="U46" s="26">
        <f t="shared" si="29"/>
        <v>0</v>
      </c>
      <c r="V46" s="26">
        <f t="shared" si="29"/>
        <v>0</v>
      </c>
      <c r="W46" s="26">
        <f t="shared" si="29"/>
        <v>0</v>
      </c>
      <c r="X46" s="26">
        <f t="shared" si="29"/>
        <v>0</v>
      </c>
      <c r="Y46" s="26">
        <f t="shared" si="29"/>
        <v>0</v>
      </c>
      <c r="Z46" s="26">
        <f t="shared" si="29"/>
        <v>0</v>
      </c>
      <c r="AA46" s="26">
        <f t="shared" si="29"/>
        <v>0</v>
      </c>
      <c r="AB46" s="26">
        <f t="shared" si="29"/>
        <v>0</v>
      </c>
      <c r="AC46" s="26">
        <f t="shared" si="29"/>
        <v>0</v>
      </c>
    </row>
    <row r="47" spans="1:29">
      <c r="A47" s="29">
        <v>45997</v>
      </c>
      <c r="B47" s="30">
        <f>E54</f>
        <v>32.5917840999999</v>
      </c>
      <c r="C47" s="31" t="s">
        <v>47</v>
      </c>
      <c r="D47" s="31" t="s">
        <v>48</v>
      </c>
      <c r="E47" s="42">
        <f t="shared" si="26"/>
        <v>58.33729</v>
      </c>
      <c r="F47" s="43">
        <v>1.76099</v>
      </c>
      <c r="G47" s="43">
        <v>1.80774</v>
      </c>
      <c r="H47" s="43">
        <v>1.5929</v>
      </c>
      <c r="I47" s="43">
        <v>1.5742</v>
      </c>
      <c r="J47" s="43">
        <v>1.39221</v>
      </c>
      <c r="K47" s="43">
        <v>1.42164</v>
      </c>
      <c r="L47" s="43">
        <v>1.42119</v>
      </c>
      <c r="M47" s="43">
        <v>1.9618</v>
      </c>
      <c r="N47" s="43">
        <v>3.46401</v>
      </c>
      <c r="O47" s="43">
        <v>3.34632</v>
      </c>
      <c r="P47" s="43">
        <v>2.86208</v>
      </c>
      <c r="Q47" s="43">
        <v>2.78888</v>
      </c>
      <c r="R47" s="43">
        <v>2.5596</v>
      </c>
      <c r="S47" s="43">
        <v>2.6792</v>
      </c>
      <c r="T47" s="43">
        <v>3.16512</v>
      </c>
      <c r="U47" s="43">
        <v>2.99096</v>
      </c>
      <c r="V47" s="43">
        <v>3.31749</v>
      </c>
      <c r="W47" s="43">
        <v>3.8951</v>
      </c>
      <c r="X47" s="43">
        <v>2.79801</v>
      </c>
      <c r="Y47" s="43">
        <v>2.81781</v>
      </c>
      <c r="Z47" s="43">
        <v>2.52693</v>
      </c>
      <c r="AA47" s="43">
        <v>2.3265</v>
      </c>
      <c r="AB47" s="43">
        <v>2.0977</v>
      </c>
      <c r="AC47" s="43">
        <v>1.76891</v>
      </c>
    </row>
    <row r="48" spans="1:29">
      <c r="A48" s="32"/>
      <c r="B48" s="33"/>
      <c r="C48" s="32"/>
      <c r="D48" s="6" t="s">
        <v>49</v>
      </c>
      <c r="E48" s="42">
        <f t="shared" si="26"/>
        <v>64.1786</v>
      </c>
      <c r="F48" s="43">
        <v>1.6009</v>
      </c>
      <c r="G48" s="43">
        <v>1.6434</v>
      </c>
      <c r="H48" s="43">
        <v>1.5929</v>
      </c>
      <c r="I48" s="43">
        <v>1.5742</v>
      </c>
      <c r="J48" s="43">
        <v>1.5469</v>
      </c>
      <c r="K48" s="43">
        <v>1.5796</v>
      </c>
      <c r="L48" s="43">
        <v>1.5791</v>
      </c>
      <c r="M48" s="43">
        <v>1.9618</v>
      </c>
      <c r="N48" s="43">
        <v>3.8489</v>
      </c>
      <c r="O48" s="43">
        <v>4.1829</v>
      </c>
      <c r="P48" s="43">
        <v>3.5776</v>
      </c>
      <c r="Q48" s="43">
        <v>3.4861</v>
      </c>
      <c r="R48" s="43">
        <v>2.844</v>
      </c>
      <c r="S48" s="43">
        <v>3.349</v>
      </c>
      <c r="T48" s="43">
        <v>3.9564</v>
      </c>
      <c r="U48" s="43">
        <v>3.7387</v>
      </c>
      <c r="V48" s="43">
        <v>3.6861</v>
      </c>
      <c r="W48" s="43">
        <v>3.541</v>
      </c>
      <c r="X48" s="43">
        <v>3.1089</v>
      </c>
      <c r="Y48" s="43">
        <v>3.1309</v>
      </c>
      <c r="Z48" s="43">
        <v>2.8077</v>
      </c>
      <c r="AA48" s="43">
        <v>2.3265</v>
      </c>
      <c r="AB48" s="43">
        <v>1.907</v>
      </c>
      <c r="AC48" s="43">
        <v>1.6081</v>
      </c>
    </row>
    <row r="49" spans="1:29">
      <c r="A49" s="32"/>
      <c r="B49" s="33"/>
      <c r="C49" s="34"/>
      <c r="D49" s="31" t="s">
        <v>50</v>
      </c>
      <c r="E49" s="26">
        <f>E47-E48</f>
        <v>-5.84130999999999</v>
      </c>
      <c r="F49" s="43">
        <f t="shared" ref="F49:AC49" si="30">(F47-F48)*1</f>
        <v>0.16009</v>
      </c>
      <c r="G49" s="43">
        <f t="shared" si="30"/>
        <v>0.16434</v>
      </c>
      <c r="H49" s="43">
        <f t="shared" si="30"/>
        <v>0</v>
      </c>
      <c r="I49" s="43">
        <f t="shared" si="30"/>
        <v>0</v>
      </c>
      <c r="J49" s="43">
        <f t="shared" si="30"/>
        <v>-0.15469</v>
      </c>
      <c r="K49" s="43">
        <f t="shared" si="30"/>
        <v>-0.15796</v>
      </c>
      <c r="L49" s="43">
        <f t="shared" si="30"/>
        <v>-0.15791</v>
      </c>
      <c r="M49" s="43">
        <f t="shared" si="30"/>
        <v>0</v>
      </c>
      <c r="N49" s="43">
        <f t="shared" si="30"/>
        <v>-0.38489</v>
      </c>
      <c r="O49" s="43">
        <f t="shared" si="30"/>
        <v>-0.83658</v>
      </c>
      <c r="P49" s="43">
        <f t="shared" si="30"/>
        <v>-0.71552</v>
      </c>
      <c r="Q49" s="43">
        <f t="shared" si="30"/>
        <v>-0.69722</v>
      </c>
      <c r="R49" s="43">
        <f t="shared" si="30"/>
        <v>-0.2844</v>
      </c>
      <c r="S49" s="43">
        <f t="shared" si="30"/>
        <v>-0.6698</v>
      </c>
      <c r="T49" s="43">
        <f t="shared" si="30"/>
        <v>-0.79128</v>
      </c>
      <c r="U49" s="43">
        <f t="shared" si="30"/>
        <v>-0.74774</v>
      </c>
      <c r="V49" s="43">
        <f t="shared" si="30"/>
        <v>-0.36861</v>
      </c>
      <c r="W49" s="43">
        <f t="shared" si="30"/>
        <v>0.3541</v>
      </c>
      <c r="X49" s="43">
        <f t="shared" si="30"/>
        <v>-0.31089</v>
      </c>
      <c r="Y49" s="43">
        <f t="shared" si="30"/>
        <v>-0.31309</v>
      </c>
      <c r="Z49" s="43">
        <f t="shared" si="30"/>
        <v>-0.28077</v>
      </c>
      <c r="AA49" s="43">
        <f t="shared" si="30"/>
        <v>0</v>
      </c>
      <c r="AB49" s="43">
        <f t="shared" si="30"/>
        <v>0.1907</v>
      </c>
      <c r="AC49" s="43">
        <f t="shared" si="30"/>
        <v>0.16081</v>
      </c>
    </row>
    <row r="50" spans="1:29">
      <c r="A50" s="32"/>
      <c r="B50" s="33"/>
      <c r="C50" s="35" t="s">
        <v>51</v>
      </c>
      <c r="D50" s="31" t="s">
        <v>48</v>
      </c>
      <c r="E50" s="31">
        <f>AVERAGE(F50:AC50)</f>
        <v>280.090833333333</v>
      </c>
      <c r="F50" s="43">
        <v>314.79</v>
      </c>
      <c r="G50" s="43">
        <v>294.81</v>
      </c>
      <c r="H50" s="43">
        <v>293.42</v>
      </c>
      <c r="I50" s="43">
        <v>289.13</v>
      </c>
      <c r="J50" s="43">
        <v>280.01</v>
      </c>
      <c r="K50" s="43">
        <v>277.77</v>
      </c>
      <c r="L50" s="43">
        <v>288.15</v>
      </c>
      <c r="M50" s="43">
        <v>299.22</v>
      </c>
      <c r="N50" s="43">
        <v>302.66</v>
      </c>
      <c r="O50" s="43">
        <v>285.73</v>
      </c>
      <c r="P50" s="43">
        <v>258.62</v>
      </c>
      <c r="Q50" s="43">
        <v>212.65</v>
      </c>
      <c r="R50" s="43">
        <v>139.15</v>
      </c>
      <c r="S50" s="43">
        <v>148.64</v>
      </c>
      <c r="T50" s="43">
        <v>186.07</v>
      </c>
      <c r="U50" s="43">
        <v>254.68</v>
      </c>
      <c r="V50" s="43">
        <v>292.4</v>
      </c>
      <c r="W50" s="43">
        <v>317.37</v>
      </c>
      <c r="X50" s="43">
        <v>347.09</v>
      </c>
      <c r="Y50" s="43">
        <v>360.19</v>
      </c>
      <c r="Z50" s="43">
        <v>347.2</v>
      </c>
      <c r="AA50" s="43">
        <v>332.78</v>
      </c>
      <c r="AB50" s="43">
        <v>311.74</v>
      </c>
      <c r="AC50" s="43">
        <v>287.91</v>
      </c>
    </row>
    <row r="51" spans="1:29">
      <c r="A51" s="32"/>
      <c r="B51" s="33"/>
      <c r="C51" s="32"/>
      <c r="D51" s="31" t="s">
        <v>49</v>
      </c>
      <c r="E51" s="31">
        <f>AVERAGE(F51:AC51)</f>
        <v>289.604166666667</v>
      </c>
      <c r="F51" s="43">
        <v>376.15</v>
      </c>
      <c r="G51" s="43">
        <v>331.54</v>
      </c>
      <c r="H51" s="43">
        <v>310.62</v>
      </c>
      <c r="I51" s="43">
        <v>311.33</v>
      </c>
      <c r="J51" s="43">
        <v>292.9</v>
      </c>
      <c r="K51" s="43">
        <v>279.85</v>
      </c>
      <c r="L51" s="43">
        <v>287.91</v>
      </c>
      <c r="M51" s="43">
        <v>294.4</v>
      </c>
      <c r="N51" s="43">
        <v>308.24</v>
      </c>
      <c r="O51" s="43">
        <v>291.97</v>
      </c>
      <c r="P51" s="43">
        <v>258.35</v>
      </c>
      <c r="Q51" s="43">
        <v>201.2</v>
      </c>
      <c r="R51" s="43">
        <v>131.5</v>
      </c>
      <c r="S51" s="43">
        <v>115.55</v>
      </c>
      <c r="T51" s="43">
        <v>137.27</v>
      </c>
      <c r="U51" s="43">
        <v>238.61</v>
      </c>
      <c r="V51" s="43">
        <v>289.28</v>
      </c>
      <c r="W51" s="43">
        <v>333.57</v>
      </c>
      <c r="X51" s="43">
        <v>527.84</v>
      </c>
      <c r="Y51" s="43">
        <v>395.11</v>
      </c>
      <c r="Z51" s="43">
        <v>329.46</v>
      </c>
      <c r="AA51" s="43">
        <v>316.43</v>
      </c>
      <c r="AB51" s="43">
        <v>305.76</v>
      </c>
      <c r="AC51" s="43">
        <v>285.66</v>
      </c>
    </row>
    <row r="52" spans="1:29">
      <c r="A52" s="32"/>
      <c r="B52" s="33"/>
      <c r="C52" s="34"/>
      <c r="D52" s="31" t="s">
        <v>50</v>
      </c>
      <c r="E52" s="26">
        <f>E50-E51</f>
        <v>-9.51333333333338</v>
      </c>
      <c r="F52" s="43">
        <f t="shared" ref="F52:AC52" si="31">(F50-F51)*1</f>
        <v>-61.36</v>
      </c>
      <c r="G52" s="43">
        <f t="shared" si="31"/>
        <v>-36.73</v>
      </c>
      <c r="H52" s="43">
        <f t="shared" si="31"/>
        <v>-17.2</v>
      </c>
      <c r="I52" s="43">
        <f t="shared" si="31"/>
        <v>-22.2</v>
      </c>
      <c r="J52" s="43">
        <f t="shared" si="31"/>
        <v>-12.89</v>
      </c>
      <c r="K52" s="43">
        <f t="shared" si="31"/>
        <v>-2.08000000000004</v>
      </c>
      <c r="L52" s="43">
        <f t="shared" si="31"/>
        <v>0.239999999999952</v>
      </c>
      <c r="M52" s="43">
        <f t="shared" si="31"/>
        <v>4.82000000000005</v>
      </c>
      <c r="N52" s="43">
        <f t="shared" si="31"/>
        <v>-5.57999999999998</v>
      </c>
      <c r="O52" s="43">
        <f t="shared" si="31"/>
        <v>-6.24000000000001</v>
      </c>
      <c r="P52" s="43">
        <f t="shared" si="31"/>
        <v>0.269999999999982</v>
      </c>
      <c r="Q52" s="43">
        <f t="shared" si="31"/>
        <v>11.45</v>
      </c>
      <c r="R52" s="43">
        <f t="shared" si="31"/>
        <v>7.65000000000001</v>
      </c>
      <c r="S52" s="43">
        <f t="shared" si="31"/>
        <v>33.09</v>
      </c>
      <c r="T52" s="43">
        <f t="shared" si="31"/>
        <v>48.8</v>
      </c>
      <c r="U52" s="43">
        <f t="shared" si="31"/>
        <v>16.07</v>
      </c>
      <c r="V52" s="43">
        <f t="shared" si="31"/>
        <v>3.12</v>
      </c>
      <c r="W52" s="43">
        <f t="shared" si="31"/>
        <v>-16.2</v>
      </c>
      <c r="X52" s="43">
        <f t="shared" si="31"/>
        <v>-180.75</v>
      </c>
      <c r="Y52" s="43">
        <f t="shared" si="31"/>
        <v>-34.92</v>
      </c>
      <c r="Z52" s="43">
        <f t="shared" si="31"/>
        <v>17.74</v>
      </c>
      <c r="AA52" s="43">
        <f t="shared" si="31"/>
        <v>16.35</v>
      </c>
      <c r="AB52" s="43">
        <f t="shared" si="31"/>
        <v>5.98000000000002</v>
      </c>
      <c r="AC52" s="43">
        <f t="shared" si="31"/>
        <v>2.25</v>
      </c>
    </row>
    <row r="53" spans="1:29">
      <c r="A53" s="32"/>
      <c r="B53" s="33"/>
      <c r="C53" s="36" t="s">
        <v>52</v>
      </c>
      <c r="D53" s="37"/>
      <c r="E53" s="26">
        <f t="shared" ref="E53:E57" si="32">SUM(F53:AC53)</f>
        <v>32.5917840999999</v>
      </c>
      <c r="F53" s="43">
        <f t="shared" ref="F53:AC53" si="33">(-F49*F52)*1</f>
        <v>9.8231224</v>
      </c>
      <c r="G53" s="43">
        <f t="shared" si="33"/>
        <v>6.0362082</v>
      </c>
      <c r="H53" s="43">
        <f t="shared" si="33"/>
        <v>0</v>
      </c>
      <c r="I53" s="43">
        <f t="shared" si="33"/>
        <v>0</v>
      </c>
      <c r="J53" s="43">
        <f t="shared" si="33"/>
        <v>-1.9939541</v>
      </c>
      <c r="K53" s="43">
        <f t="shared" si="33"/>
        <v>-0.328556800000006</v>
      </c>
      <c r="L53" s="43">
        <f t="shared" si="33"/>
        <v>0.0378983999999925</v>
      </c>
      <c r="M53" s="43">
        <f t="shared" si="33"/>
        <v>0</v>
      </c>
      <c r="N53" s="43">
        <f t="shared" si="33"/>
        <v>-2.14768619999999</v>
      </c>
      <c r="O53" s="43">
        <f t="shared" si="33"/>
        <v>-5.22025920000001</v>
      </c>
      <c r="P53" s="43">
        <f t="shared" si="33"/>
        <v>0.193190399999987</v>
      </c>
      <c r="Q53" s="43">
        <f t="shared" si="33"/>
        <v>7.98316900000001</v>
      </c>
      <c r="R53" s="43">
        <f t="shared" si="33"/>
        <v>2.17566</v>
      </c>
      <c r="S53" s="43">
        <f t="shared" si="33"/>
        <v>22.163682</v>
      </c>
      <c r="T53" s="43">
        <f t="shared" si="33"/>
        <v>38.614464</v>
      </c>
      <c r="U53" s="43">
        <f t="shared" si="33"/>
        <v>12.0161818</v>
      </c>
      <c r="V53" s="43">
        <f t="shared" si="33"/>
        <v>1.1500632</v>
      </c>
      <c r="W53" s="43">
        <f t="shared" si="33"/>
        <v>5.73641999999999</v>
      </c>
      <c r="X53" s="43">
        <f t="shared" si="33"/>
        <v>-56.1933675</v>
      </c>
      <c r="Y53" s="43">
        <f t="shared" si="33"/>
        <v>-10.9331028</v>
      </c>
      <c r="Z53" s="43">
        <f t="shared" si="33"/>
        <v>4.9808598</v>
      </c>
      <c r="AA53" s="43">
        <f t="shared" si="33"/>
        <v>0</v>
      </c>
      <c r="AB53" s="43">
        <f t="shared" si="33"/>
        <v>-1.140386</v>
      </c>
      <c r="AC53" s="43">
        <f t="shared" si="33"/>
        <v>-0.3618225</v>
      </c>
    </row>
    <row r="54" spans="1:29">
      <c r="A54" s="32"/>
      <c r="B54" s="33"/>
      <c r="C54" s="38" t="s">
        <v>53</v>
      </c>
      <c r="D54" s="37"/>
      <c r="E54" s="26">
        <f t="shared" si="32"/>
        <v>32.5917840999999</v>
      </c>
      <c r="F54" s="43">
        <f t="shared" ref="F54:AC54" si="34">(IF(F53&gt;0,ABS(MIN(F48*0.2,ABS(F49))*F52),F53))*1</f>
        <v>9.8231224</v>
      </c>
      <c r="G54" s="43">
        <f t="shared" si="34"/>
        <v>6.0362082</v>
      </c>
      <c r="H54" s="43">
        <f t="shared" si="34"/>
        <v>0</v>
      </c>
      <c r="I54" s="43">
        <f t="shared" si="34"/>
        <v>0</v>
      </c>
      <c r="J54" s="43">
        <f t="shared" si="34"/>
        <v>-1.9939541</v>
      </c>
      <c r="K54" s="43">
        <f t="shared" si="34"/>
        <v>-0.328556800000006</v>
      </c>
      <c r="L54" s="43">
        <f t="shared" si="34"/>
        <v>0.0378983999999925</v>
      </c>
      <c r="M54" s="43">
        <f t="shared" si="34"/>
        <v>0</v>
      </c>
      <c r="N54" s="43">
        <f t="shared" si="34"/>
        <v>-2.14768619999999</v>
      </c>
      <c r="O54" s="43">
        <f t="shared" si="34"/>
        <v>-5.22025920000001</v>
      </c>
      <c r="P54" s="43">
        <f t="shared" si="34"/>
        <v>0.193190399999987</v>
      </c>
      <c r="Q54" s="43">
        <f t="shared" si="34"/>
        <v>7.98316900000001</v>
      </c>
      <c r="R54" s="43">
        <f t="shared" si="34"/>
        <v>2.17566</v>
      </c>
      <c r="S54" s="43">
        <f t="shared" si="34"/>
        <v>22.163682</v>
      </c>
      <c r="T54" s="43">
        <f t="shared" si="34"/>
        <v>38.614464</v>
      </c>
      <c r="U54" s="43">
        <f t="shared" si="34"/>
        <v>12.0161818</v>
      </c>
      <c r="V54" s="43">
        <f t="shared" si="34"/>
        <v>1.1500632</v>
      </c>
      <c r="W54" s="43">
        <f t="shared" si="34"/>
        <v>5.73641999999999</v>
      </c>
      <c r="X54" s="43">
        <f t="shared" si="34"/>
        <v>-56.1933675</v>
      </c>
      <c r="Y54" s="43">
        <f t="shared" si="34"/>
        <v>-10.9331028</v>
      </c>
      <c r="Z54" s="43">
        <f t="shared" si="34"/>
        <v>4.9808598</v>
      </c>
      <c r="AA54" s="43">
        <f t="shared" si="34"/>
        <v>0</v>
      </c>
      <c r="AB54" s="43">
        <f t="shared" si="34"/>
        <v>-1.140386</v>
      </c>
      <c r="AC54" s="43">
        <f t="shared" si="34"/>
        <v>-0.3618225</v>
      </c>
    </row>
    <row r="55" spans="1:29">
      <c r="A55" s="32"/>
      <c r="B55" s="33"/>
      <c r="C55" s="39" t="s">
        <v>50</v>
      </c>
      <c r="D55" s="37"/>
      <c r="E55" s="44">
        <f>E53-E54</f>
        <v>0</v>
      </c>
      <c r="F55" s="26">
        <f t="shared" ref="F55:AC55" si="35">(F53-F54)*1</f>
        <v>0</v>
      </c>
      <c r="G55" s="26">
        <f t="shared" si="35"/>
        <v>0</v>
      </c>
      <c r="H55" s="26">
        <f t="shared" si="35"/>
        <v>0</v>
      </c>
      <c r="I55" s="26">
        <f t="shared" si="35"/>
        <v>0</v>
      </c>
      <c r="J55" s="26">
        <f t="shared" si="35"/>
        <v>0</v>
      </c>
      <c r="K55" s="26">
        <f t="shared" si="35"/>
        <v>0</v>
      </c>
      <c r="L55" s="26">
        <f t="shared" si="35"/>
        <v>0</v>
      </c>
      <c r="M55" s="26">
        <f t="shared" si="35"/>
        <v>0</v>
      </c>
      <c r="N55" s="26">
        <f t="shared" si="35"/>
        <v>0</v>
      </c>
      <c r="O55" s="26">
        <f t="shared" si="35"/>
        <v>0</v>
      </c>
      <c r="P55" s="26">
        <f t="shared" si="35"/>
        <v>0</v>
      </c>
      <c r="Q55" s="26">
        <f t="shared" si="35"/>
        <v>0</v>
      </c>
      <c r="R55" s="26">
        <f t="shared" si="35"/>
        <v>0</v>
      </c>
      <c r="S55" s="26">
        <f t="shared" si="35"/>
        <v>0</v>
      </c>
      <c r="T55" s="26">
        <f t="shared" si="35"/>
        <v>0</v>
      </c>
      <c r="U55" s="26">
        <f t="shared" si="35"/>
        <v>0</v>
      </c>
      <c r="V55" s="26">
        <f t="shared" si="35"/>
        <v>0</v>
      </c>
      <c r="W55" s="26">
        <f t="shared" si="35"/>
        <v>0</v>
      </c>
      <c r="X55" s="26">
        <f t="shared" si="35"/>
        <v>0</v>
      </c>
      <c r="Y55" s="26">
        <f t="shared" si="35"/>
        <v>0</v>
      </c>
      <c r="Z55" s="26">
        <f t="shared" si="35"/>
        <v>0</v>
      </c>
      <c r="AA55" s="26">
        <f t="shared" si="35"/>
        <v>0</v>
      </c>
      <c r="AB55" s="26">
        <f t="shared" si="35"/>
        <v>0</v>
      </c>
      <c r="AC55" s="26">
        <f t="shared" si="35"/>
        <v>0</v>
      </c>
    </row>
    <row r="56" spans="1:29">
      <c r="A56" s="29">
        <v>45998</v>
      </c>
      <c r="B56" s="30">
        <f>E63</f>
        <v>167.1903431</v>
      </c>
      <c r="C56" s="31" t="s">
        <v>47</v>
      </c>
      <c r="D56" s="31" t="s">
        <v>48</v>
      </c>
      <c r="E56" s="42">
        <f t="shared" si="32"/>
        <v>39.62134</v>
      </c>
      <c r="F56" s="43">
        <v>1.7321</v>
      </c>
      <c r="G56" s="43">
        <v>1.6177</v>
      </c>
      <c r="H56" s="43">
        <v>1.41651</v>
      </c>
      <c r="I56" s="43">
        <v>1.28826</v>
      </c>
      <c r="J56" s="43">
        <v>1.16152</v>
      </c>
      <c r="K56" s="43">
        <v>1.1572</v>
      </c>
      <c r="L56" s="43">
        <v>1.12088</v>
      </c>
      <c r="M56" s="43">
        <v>1.1356</v>
      </c>
      <c r="N56" s="43">
        <v>2.02576</v>
      </c>
      <c r="O56" s="43">
        <v>2.18728</v>
      </c>
      <c r="P56" s="43">
        <v>1.966</v>
      </c>
      <c r="Q56" s="43">
        <v>2.3773</v>
      </c>
      <c r="R56" s="43">
        <v>2.2551</v>
      </c>
      <c r="S56" s="43">
        <v>1.9725</v>
      </c>
      <c r="T56" s="43">
        <v>2.22561</v>
      </c>
      <c r="U56" s="43">
        <v>1.96216</v>
      </c>
      <c r="V56" s="43">
        <v>2.21859</v>
      </c>
      <c r="W56" s="43">
        <v>2.05929</v>
      </c>
      <c r="X56" s="43">
        <v>1.5153</v>
      </c>
      <c r="Y56" s="43">
        <v>1.30797</v>
      </c>
      <c r="Z56" s="43">
        <v>1.32417</v>
      </c>
      <c r="AA56" s="43">
        <v>1.22841</v>
      </c>
      <c r="AB56" s="43">
        <v>1.15533</v>
      </c>
      <c r="AC56" s="43">
        <v>1.2108</v>
      </c>
    </row>
    <row r="57" spans="1:29">
      <c r="A57" s="32"/>
      <c r="B57" s="33"/>
      <c r="C57" s="32"/>
      <c r="D57" s="6" t="s">
        <v>49</v>
      </c>
      <c r="E57" s="42">
        <f t="shared" si="32"/>
        <v>44.3809</v>
      </c>
      <c r="F57" s="43">
        <v>1.7321</v>
      </c>
      <c r="G57" s="43">
        <v>1.6177</v>
      </c>
      <c r="H57" s="43">
        <v>1.5739</v>
      </c>
      <c r="I57" s="43">
        <v>1.4314</v>
      </c>
      <c r="J57" s="43">
        <v>1.4519</v>
      </c>
      <c r="K57" s="43">
        <v>1.4465</v>
      </c>
      <c r="L57" s="43">
        <v>1.4011</v>
      </c>
      <c r="M57" s="43">
        <v>1.4195</v>
      </c>
      <c r="N57" s="43">
        <v>2.5322</v>
      </c>
      <c r="O57" s="43">
        <v>2.7341</v>
      </c>
      <c r="P57" s="43">
        <v>2.4575</v>
      </c>
      <c r="Q57" s="43">
        <v>2.3773</v>
      </c>
      <c r="R57" s="43">
        <v>2.2551</v>
      </c>
      <c r="S57" s="43">
        <v>1.9725</v>
      </c>
      <c r="T57" s="43">
        <v>2.4729</v>
      </c>
      <c r="U57" s="43">
        <v>2.4527</v>
      </c>
      <c r="V57" s="43">
        <v>2.4651</v>
      </c>
      <c r="W57" s="43">
        <v>2.2881</v>
      </c>
      <c r="X57" s="43">
        <v>1.5153</v>
      </c>
      <c r="Y57" s="43">
        <v>1.4533</v>
      </c>
      <c r="Z57" s="43">
        <v>1.4713</v>
      </c>
      <c r="AA57" s="43">
        <v>1.3649</v>
      </c>
      <c r="AB57" s="43">
        <v>1.2837</v>
      </c>
      <c r="AC57" s="43">
        <v>1.2108</v>
      </c>
    </row>
    <row r="58" spans="1:29">
      <c r="A58" s="32"/>
      <c r="B58" s="33"/>
      <c r="C58" s="34"/>
      <c r="D58" s="31" t="s">
        <v>50</v>
      </c>
      <c r="E58" s="26">
        <f>E56-E57</f>
        <v>-4.75956</v>
      </c>
      <c r="F58" s="43">
        <f t="shared" ref="F58:AC58" si="36">(F56-F57)*1</f>
        <v>0</v>
      </c>
      <c r="G58" s="43">
        <f t="shared" si="36"/>
        <v>0</v>
      </c>
      <c r="H58" s="43">
        <f t="shared" si="36"/>
        <v>-0.15739</v>
      </c>
      <c r="I58" s="43">
        <f t="shared" si="36"/>
        <v>-0.14314</v>
      </c>
      <c r="J58" s="43">
        <f t="shared" si="36"/>
        <v>-0.29038</v>
      </c>
      <c r="K58" s="43">
        <f t="shared" si="36"/>
        <v>-0.2893</v>
      </c>
      <c r="L58" s="43">
        <f t="shared" si="36"/>
        <v>-0.28022</v>
      </c>
      <c r="M58" s="43">
        <f t="shared" si="36"/>
        <v>-0.2839</v>
      </c>
      <c r="N58" s="43">
        <f t="shared" si="36"/>
        <v>-0.50644</v>
      </c>
      <c r="O58" s="43">
        <f t="shared" si="36"/>
        <v>-0.54682</v>
      </c>
      <c r="P58" s="43">
        <f t="shared" si="36"/>
        <v>-0.4915</v>
      </c>
      <c r="Q58" s="43">
        <f t="shared" si="36"/>
        <v>0</v>
      </c>
      <c r="R58" s="43">
        <f t="shared" si="36"/>
        <v>0</v>
      </c>
      <c r="S58" s="43">
        <f t="shared" si="36"/>
        <v>0</v>
      </c>
      <c r="T58" s="43">
        <f t="shared" si="36"/>
        <v>-0.24729</v>
      </c>
      <c r="U58" s="43">
        <f t="shared" si="36"/>
        <v>-0.49054</v>
      </c>
      <c r="V58" s="43">
        <f t="shared" si="36"/>
        <v>-0.24651</v>
      </c>
      <c r="W58" s="43">
        <f t="shared" si="36"/>
        <v>-0.22881</v>
      </c>
      <c r="X58" s="43">
        <f t="shared" si="36"/>
        <v>0</v>
      </c>
      <c r="Y58" s="43">
        <f t="shared" si="36"/>
        <v>-0.14533</v>
      </c>
      <c r="Z58" s="43">
        <f t="shared" si="36"/>
        <v>-0.14713</v>
      </c>
      <c r="AA58" s="43">
        <f t="shared" si="36"/>
        <v>-0.13649</v>
      </c>
      <c r="AB58" s="43">
        <f t="shared" si="36"/>
        <v>-0.12837</v>
      </c>
      <c r="AC58" s="43">
        <f t="shared" si="36"/>
        <v>0</v>
      </c>
    </row>
    <row r="59" spans="1:29">
      <c r="A59" s="32"/>
      <c r="B59" s="33"/>
      <c r="C59" s="35" t="s">
        <v>51</v>
      </c>
      <c r="D59" s="31" t="s">
        <v>48</v>
      </c>
      <c r="E59" s="31">
        <f>AVERAGE(F59:AC59)</f>
        <v>263.115416666667</v>
      </c>
      <c r="F59" s="43">
        <v>298.73</v>
      </c>
      <c r="G59" s="43">
        <v>293.58</v>
      </c>
      <c r="H59" s="43">
        <v>287.87</v>
      </c>
      <c r="I59" s="43">
        <v>283.32</v>
      </c>
      <c r="J59" s="43">
        <v>278.17</v>
      </c>
      <c r="K59" s="43">
        <v>277.32</v>
      </c>
      <c r="L59" s="43">
        <v>279.27</v>
      </c>
      <c r="M59" s="43">
        <v>280</v>
      </c>
      <c r="N59" s="43">
        <v>271.67</v>
      </c>
      <c r="O59" s="43">
        <v>265.22</v>
      </c>
      <c r="P59" s="43">
        <v>214.97</v>
      </c>
      <c r="Q59" s="43">
        <v>149.01</v>
      </c>
      <c r="R59" s="43">
        <v>150.81</v>
      </c>
      <c r="S59" s="43">
        <v>154.75</v>
      </c>
      <c r="T59" s="43">
        <v>167.22</v>
      </c>
      <c r="U59" s="43">
        <v>233.33</v>
      </c>
      <c r="V59" s="43">
        <v>274.47</v>
      </c>
      <c r="W59" s="43">
        <v>307.06</v>
      </c>
      <c r="X59" s="43">
        <v>324.82</v>
      </c>
      <c r="Y59" s="43">
        <v>330.51</v>
      </c>
      <c r="Z59" s="43">
        <v>319.5</v>
      </c>
      <c r="AA59" s="43">
        <v>311.79</v>
      </c>
      <c r="AB59" s="43">
        <v>292.07</v>
      </c>
      <c r="AC59" s="43">
        <v>269.31</v>
      </c>
    </row>
    <row r="60" spans="1:29">
      <c r="A60" s="32"/>
      <c r="B60" s="33"/>
      <c r="C60" s="32"/>
      <c r="D60" s="31" t="s">
        <v>49</v>
      </c>
      <c r="E60" s="31">
        <f>AVERAGE(F60:AC60)</f>
        <v>250.4775</v>
      </c>
      <c r="F60" s="43">
        <v>304.14</v>
      </c>
      <c r="G60" s="43">
        <v>287.51</v>
      </c>
      <c r="H60" s="43">
        <v>281.07</v>
      </c>
      <c r="I60" s="43">
        <v>276.31</v>
      </c>
      <c r="J60" s="43">
        <v>274.29</v>
      </c>
      <c r="K60" s="43">
        <v>271.17</v>
      </c>
      <c r="L60" s="43">
        <v>276.18</v>
      </c>
      <c r="M60" s="43">
        <v>277.95</v>
      </c>
      <c r="N60" s="43">
        <v>270.31</v>
      </c>
      <c r="O60" s="43">
        <v>228.03</v>
      </c>
      <c r="P60" s="43">
        <v>89.02</v>
      </c>
      <c r="Q60" s="43">
        <v>3.9</v>
      </c>
      <c r="R60" s="43">
        <v>-30.06</v>
      </c>
      <c r="S60" s="43">
        <v>-1.32</v>
      </c>
      <c r="T60" s="43">
        <v>-27.8</v>
      </c>
      <c r="U60" s="43">
        <v>69.42</v>
      </c>
      <c r="V60" s="43">
        <v>263.93</v>
      </c>
      <c r="W60" s="43">
        <v>337.27</v>
      </c>
      <c r="X60" s="43">
        <v>711.52</v>
      </c>
      <c r="Y60" s="43">
        <v>568.39</v>
      </c>
      <c r="Z60" s="43">
        <v>345.44</v>
      </c>
      <c r="AA60" s="43">
        <v>365.93</v>
      </c>
      <c r="AB60" s="43">
        <v>297.57</v>
      </c>
      <c r="AC60" s="43">
        <v>271.29</v>
      </c>
    </row>
    <row r="61" spans="1:29">
      <c r="A61" s="32"/>
      <c r="B61" s="33"/>
      <c r="C61" s="34"/>
      <c r="D61" s="31" t="s">
        <v>50</v>
      </c>
      <c r="E61" s="26">
        <f>E59-E60</f>
        <v>12.6379166666667</v>
      </c>
      <c r="F61" s="43">
        <f t="shared" ref="F61:AC61" si="37">(F59-F60)*1</f>
        <v>-5.40999999999997</v>
      </c>
      <c r="G61" s="43">
        <f t="shared" si="37"/>
        <v>6.06999999999999</v>
      </c>
      <c r="H61" s="43">
        <f t="shared" si="37"/>
        <v>6.80000000000001</v>
      </c>
      <c r="I61" s="43">
        <f t="shared" si="37"/>
        <v>7.00999999999999</v>
      </c>
      <c r="J61" s="43">
        <f t="shared" si="37"/>
        <v>3.88</v>
      </c>
      <c r="K61" s="43">
        <f t="shared" si="37"/>
        <v>6.14999999999998</v>
      </c>
      <c r="L61" s="43">
        <f t="shared" si="37"/>
        <v>3.08999999999997</v>
      </c>
      <c r="M61" s="43">
        <f t="shared" si="37"/>
        <v>2.05000000000001</v>
      </c>
      <c r="N61" s="43">
        <f t="shared" si="37"/>
        <v>1.36000000000001</v>
      </c>
      <c r="O61" s="43">
        <f t="shared" si="37"/>
        <v>37.19</v>
      </c>
      <c r="P61" s="43">
        <f t="shared" si="37"/>
        <v>125.95</v>
      </c>
      <c r="Q61" s="43">
        <f t="shared" si="37"/>
        <v>145.11</v>
      </c>
      <c r="R61" s="43">
        <f t="shared" si="37"/>
        <v>180.87</v>
      </c>
      <c r="S61" s="43">
        <f t="shared" si="37"/>
        <v>156.07</v>
      </c>
      <c r="T61" s="43">
        <f t="shared" si="37"/>
        <v>195.02</v>
      </c>
      <c r="U61" s="43">
        <f t="shared" si="37"/>
        <v>163.91</v>
      </c>
      <c r="V61" s="43">
        <f t="shared" si="37"/>
        <v>10.54</v>
      </c>
      <c r="W61" s="43">
        <f t="shared" si="37"/>
        <v>-30.21</v>
      </c>
      <c r="X61" s="43">
        <f t="shared" si="37"/>
        <v>-386.7</v>
      </c>
      <c r="Y61" s="43">
        <f t="shared" si="37"/>
        <v>-237.88</v>
      </c>
      <c r="Z61" s="43">
        <f t="shared" si="37"/>
        <v>-25.94</v>
      </c>
      <c r="AA61" s="43">
        <f t="shared" si="37"/>
        <v>-54.14</v>
      </c>
      <c r="AB61" s="43">
        <f t="shared" si="37"/>
        <v>-5.5</v>
      </c>
      <c r="AC61" s="43">
        <f t="shared" si="37"/>
        <v>-1.98000000000002</v>
      </c>
    </row>
    <row r="62" spans="1:29">
      <c r="A62" s="32"/>
      <c r="B62" s="33"/>
      <c r="C62" s="36" t="s">
        <v>52</v>
      </c>
      <c r="D62" s="37"/>
      <c r="E62" s="26">
        <f t="shared" ref="E62:E66" si="38">SUM(F62:AC62)</f>
        <v>167.1903431</v>
      </c>
      <c r="F62" s="43">
        <f t="shared" ref="F62:AC62" si="39">(-F58*F61)*1</f>
        <v>0</v>
      </c>
      <c r="G62" s="43">
        <f t="shared" si="39"/>
        <v>0</v>
      </c>
      <c r="H62" s="43">
        <f t="shared" si="39"/>
        <v>1.070252</v>
      </c>
      <c r="I62" s="43">
        <f t="shared" si="39"/>
        <v>1.0034114</v>
      </c>
      <c r="J62" s="43">
        <f t="shared" si="39"/>
        <v>1.1266744</v>
      </c>
      <c r="K62" s="43">
        <f t="shared" si="39"/>
        <v>1.77919499999999</v>
      </c>
      <c r="L62" s="43">
        <f t="shared" si="39"/>
        <v>0.865879799999993</v>
      </c>
      <c r="M62" s="43">
        <f t="shared" si="39"/>
        <v>0.581995000000003</v>
      </c>
      <c r="N62" s="43">
        <f t="shared" si="39"/>
        <v>0.688758400000007</v>
      </c>
      <c r="O62" s="43">
        <f t="shared" si="39"/>
        <v>20.3362358</v>
      </c>
      <c r="P62" s="43">
        <f t="shared" si="39"/>
        <v>61.904425</v>
      </c>
      <c r="Q62" s="43">
        <f t="shared" si="39"/>
        <v>0</v>
      </c>
      <c r="R62" s="43">
        <f t="shared" si="39"/>
        <v>0</v>
      </c>
      <c r="S62" s="43">
        <f t="shared" si="39"/>
        <v>0</v>
      </c>
      <c r="T62" s="43">
        <f t="shared" si="39"/>
        <v>48.2264958</v>
      </c>
      <c r="U62" s="43">
        <f t="shared" si="39"/>
        <v>80.4044114</v>
      </c>
      <c r="V62" s="43">
        <f t="shared" si="39"/>
        <v>2.59821540000001</v>
      </c>
      <c r="W62" s="43">
        <f t="shared" si="39"/>
        <v>-6.9123501</v>
      </c>
      <c r="X62" s="43">
        <f t="shared" si="39"/>
        <v>0</v>
      </c>
      <c r="Y62" s="43">
        <f t="shared" si="39"/>
        <v>-34.5711004</v>
      </c>
      <c r="Z62" s="43">
        <f t="shared" si="39"/>
        <v>-3.8165522</v>
      </c>
      <c r="AA62" s="43">
        <f t="shared" si="39"/>
        <v>-7.3895686</v>
      </c>
      <c r="AB62" s="43">
        <f t="shared" si="39"/>
        <v>-0.706035000000001</v>
      </c>
      <c r="AC62" s="43">
        <f t="shared" si="39"/>
        <v>0</v>
      </c>
    </row>
    <row r="63" spans="1:29">
      <c r="A63" s="32"/>
      <c r="B63" s="33"/>
      <c r="C63" s="38" t="s">
        <v>53</v>
      </c>
      <c r="D63" s="37"/>
      <c r="E63" s="26">
        <f t="shared" si="38"/>
        <v>167.1903431</v>
      </c>
      <c r="F63" s="43">
        <f t="shared" ref="F63:AC63" si="40">(IF(F62&gt;0,ABS(MIN(F57*0.2,ABS(F58))*F61),F62))*1</f>
        <v>0</v>
      </c>
      <c r="G63" s="43">
        <f t="shared" si="40"/>
        <v>0</v>
      </c>
      <c r="H63" s="43">
        <f t="shared" si="40"/>
        <v>1.070252</v>
      </c>
      <c r="I63" s="43">
        <f t="shared" si="40"/>
        <v>1.0034114</v>
      </c>
      <c r="J63" s="43">
        <f t="shared" si="40"/>
        <v>1.1266744</v>
      </c>
      <c r="K63" s="43">
        <f t="shared" si="40"/>
        <v>1.77919499999999</v>
      </c>
      <c r="L63" s="43">
        <f t="shared" si="40"/>
        <v>0.865879799999993</v>
      </c>
      <c r="M63" s="43">
        <f t="shared" si="40"/>
        <v>0.581995000000003</v>
      </c>
      <c r="N63" s="43">
        <f t="shared" si="40"/>
        <v>0.688758400000007</v>
      </c>
      <c r="O63" s="43">
        <f t="shared" si="40"/>
        <v>20.3362358</v>
      </c>
      <c r="P63" s="43">
        <f t="shared" si="40"/>
        <v>61.904425</v>
      </c>
      <c r="Q63" s="43">
        <f t="shared" si="40"/>
        <v>0</v>
      </c>
      <c r="R63" s="43">
        <f t="shared" si="40"/>
        <v>0</v>
      </c>
      <c r="S63" s="43">
        <f t="shared" si="40"/>
        <v>0</v>
      </c>
      <c r="T63" s="43">
        <f t="shared" si="40"/>
        <v>48.2264958</v>
      </c>
      <c r="U63" s="43">
        <f t="shared" si="40"/>
        <v>80.4044114</v>
      </c>
      <c r="V63" s="43">
        <f t="shared" si="40"/>
        <v>2.59821540000001</v>
      </c>
      <c r="W63" s="43">
        <f t="shared" si="40"/>
        <v>-6.9123501</v>
      </c>
      <c r="X63" s="43">
        <f t="shared" si="40"/>
        <v>0</v>
      </c>
      <c r="Y63" s="43">
        <f t="shared" si="40"/>
        <v>-34.5711004</v>
      </c>
      <c r="Z63" s="43">
        <f t="shared" si="40"/>
        <v>-3.8165522</v>
      </c>
      <c r="AA63" s="43">
        <f t="shared" si="40"/>
        <v>-7.3895686</v>
      </c>
      <c r="AB63" s="43">
        <f t="shared" si="40"/>
        <v>-0.706035000000001</v>
      </c>
      <c r="AC63" s="43">
        <f t="shared" si="40"/>
        <v>0</v>
      </c>
    </row>
    <row r="64" spans="1:29">
      <c r="A64" s="32"/>
      <c r="B64" s="33"/>
      <c r="C64" s="39" t="s">
        <v>50</v>
      </c>
      <c r="D64" s="37"/>
      <c r="E64" s="44">
        <f>E62-E63</f>
        <v>0</v>
      </c>
      <c r="F64" s="26">
        <f t="shared" ref="F64:AC64" si="41">(F62-F63)*1</f>
        <v>0</v>
      </c>
      <c r="G64" s="26">
        <f t="shared" si="41"/>
        <v>0</v>
      </c>
      <c r="H64" s="26">
        <f t="shared" si="41"/>
        <v>0</v>
      </c>
      <c r="I64" s="26">
        <f t="shared" si="41"/>
        <v>0</v>
      </c>
      <c r="J64" s="26">
        <f t="shared" si="41"/>
        <v>0</v>
      </c>
      <c r="K64" s="26">
        <f t="shared" si="41"/>
        <v>0</v>
      </c>
      <c r="L64" s="26">
        <f t="shared" si="41"/>
        <v>0</v>
      </c>
      <c r="M64" s="26">
        <f t="shared" si="41"/>
        <v>0</v>
      </c>
      <c r="N64" s="26">
        <f t="shared" si="41"/>
        <v>0</v>
      </c>
      <c r="O64" s="26">
        <f t="shared" si="41"/>
        <v>0</v>
      </c>
      <c r="P64" s="26">
        <f t="shared" si="41"/>
        <v>0</v>
      </c>
      <c r="Q64" s="26">
        <f t="shared" si="41"/>
        <v>0</v>
      </c>
      <c r="R64" s="26">
        <f t="shared" si="41"/>
        <v>0</v>
      </c>
      <c r="S64" s="26">
        <f t="shared" si="41"/>
        <v>0</v>
      </c>
      <c r="T64" s="26">
        <f t="shared" si="41"/>
        <v>0</v>
      </c>
      <c r="U64" s="26">
        <f t="shared" si="41"/>
        <v>0</v>
      </c>
      <c r="V64" s="26">
        <f t="shared" si="41"/>
        <v>0</v>
      </c>
      <c r="W64" s="26">
        <f t="shared" si="41"/>
        <v>0</v>
      </c>
      <c r="X64" s="26">
        <f t="shared" si="41"/>
        <v>0</v>
      </c>
      <c r="Y64" s="26">
        <f t="shared" si="41"/>
        <v>0</v>
      </c>
      <c r="Z64" s="26">
        <f t="shared" si="41"/>
        <v>0</v>
      </c>
      <c r="AA64" s="26">
        <f t="shared" si="41"/>
        <v>0</v>
      </c>
      <c r="AB64" s="26">
        <f t="shared" si="41"/>
        <v>0</v>
      </c>
      <c r="AC64" s="26">
        <f t="shared" si="41"/>
        <v>0</v>
      </c>
    </row>
    <row r="65" spans="1:29">
      <c r="A65" s="29">
        <v>45999</v>
      </c>
      <c r="B65" s="30">
        <f>E72</f>
        <v>86.7286822000002</v>
      </c>
      <c r="C65" s="31" t="s">
        <v>47</v>
      </c>
      <c r="D65" s="31" t="s">
        <v>48</v>
      </c>
      <c r="E65" s="42">
        <f t="shared" si="38"/>
        <v>54.68164</v>
      </c>
      <c r="F65" s="43">
        <v>1.2914</v>
      </c>
      <c r="G65" s="43">
        <v>1.3249</v>
      </c>
      <c r="H65" s="43">
        <v>1.3515</v>
      </c>
      <c r="I65" s="43">
        <v>1.38</v>
      </c>
      <c r="J65" s="43">
        <v>1.19115</v>
      </c>
      <c r="K65" s="43">
        <v>1.19646</v>
      </c>
      <c r="L65" s="43">
        <v>1.2722</v>
      </c>
      <c r="M65" s="43">
        <v>1.57815</v>
      </c>
      <c r="N65" s="43">
        <v>3.1059</v>
      </c>
      <c r="O65" s="43">
        <v>3.10544</v>
      </c>
      <c r="P65" s="43">
        <v>2.60304</v>
      </c>
      <c r="Q65" s="43">
        <v>2.85192</v>
      </c>
      <c r="R65" s="43">
        <v>2.40975</v>
      </c>
      <c r="S65" s="43">
        <v>2.87712</v>
      </c>
      <c r="T65" s="43">
        <v>2.96896</v>
      </c>
      <c r="U65" s="43">
        <v>3.22236</v>
      </c>
      <c r="V65" s="43">
        <v>3.39246</v>
      </c>
      <c r="W65" s="43">
        <v>3.27807</v>
      </c>
      <c r="X65" s="43">
        <v>2.91834</v>
      </c>
      <c r="Y65" s="43">
        <v>2.91114</v>
      </c>
      <c r="Z65" s="43">
        <v>2.8762</v>
      </c>
      <c r="AA65" s="43">
        <v>2.434</v>
      </c>
      <c r="AB65" s="43">
        <v>1.69434</v>
      </c>
      <c r="AC65" s="43">
        <v>1.44684</v>
      </c>
    </row>
    <row r="66" spans="1:29">
      <c r="A66" s="32"/>
      <c r="B66" s="33"/>
      <c r="C66" s="32"/>
      <c r="D66" s="6" t="s">
        <v>49</v>
      </c>
      <c r="E66" s="42">
        <f t="shared" si="38"/>
        <v>60.637</v>
      </c>
      <c r="F66" s="43">
        <v>1.2914</v>
      </c>
      <c r="G66" s="43">
        <v>1.3249</v>
      </c>
      <c r="H66" s="43">
        <v>1.3515</v>
      </c>
      <c r="I66" s="43">
        <v>1.38</v>
      </c>
      <c r="J66" s="43">
        <v>1.3235</v>
      </c>
      <c r="K66" s="43">
        <v>1.3294</v>
      </c>
      <c r="L66" s="43">
        <v>1.2722</v>
      </c>
      <c r="M66" s="43">
        <v>1.7535</v>
      </c>
      <c r="N66" s="43">
        <v>3.451</v>
      </c>
      <c r="O66" s="43">
        <v>3.8818</v>
      </c>
      <c r="P66" s="43">
        <v>3.2538</v>
      </c>
      <c r="Q66" s="43">
        <v>3.1688</v>
      </c>
      <c r="R66" s="43">
        <v>2.6775</v>
      </c>
      <c r="S66" s="43">
        <v>3.1968</v>
      </c>
      <c r="T66" s="43">
        <v>3.7112</v>
      </c>
      <c r="U66" s="43">
        <v>3.5804</v>
      </c>
      <c r="V66" s="43">
        <v>3.7694</v>
      </c>
      <c r="W66" s="43">
        <v>3.6423</v>
      </c>
      <c r="X66" s="43">
        <v>3.2426</v>
      </c>
      <c r="Y66" s="43">
        <v>3.2346</v>
      </c>
      <c r="Z66" s="43">
        <v>2.8762</v>
      </c>
      <c r="AA66" s="43">
        <v>2.434</v>
      </c>
      <c r="AB66" s="43">
        <v>1.8826</v>
      </c>
      <c r="AC66" s="43">
        <v>1.6076</v>
      </c>
    </row>
    <row r="67" spans="1:29">
      <c r="A67" s="32"/>
      <c r="B67" s="33"/>
      <c r="C67" s="34"/>
      <c r="D67" s="31" t="s">
        <v>50</v>
      </c>
      <c r="E67" s="26">
        <f>E65-E66</f>
        <v>-5.95536</v>
      </c>
      <c r="F67" s="43">
        <f t="shared" ref="F67:AC67" si="42">(F65-F66)*1</f>
        <v>0</v>
      </c>
      <c r="G67" s="43">
        <f t="shared" si="42"/>
        <v>0</v>
      </c>
      <c r="H67" s="43">
        <f t="shared" si="42"/>
        <v>0</v>
      </c>
      <c r="I67" s="43">
        <f t="shared" si="42"/>
        <v>0</v>
      </c>
      <c r="J67" s="43">
        <f t="shared" si="42"/>
        <v>-0.13235</v>
      </c>
      <c r="K67" s="43">
        <f t="shared" si="42"/>
        <v>-0.13294</v>
      </c>
      <c r="L67" s="43">
        <f t="shared" si="42"/>
        <v>0</v>
      </c>
      <c r="M67" s="43">
        <f t="shared" si="42"/>
        <v>-0.17535</v>
      </c>
      <c r="N67" s="43">
        <f t="shared" si="42"/>
        <v>-0.3451</v>
      </c>
      <c r="O67" s="43">
        <f t="shared" si="42"/>
        <v>-0.77636</v>
      </c>
      <c r="P67" s="43">
        <f t="shared" si="42"/>
        <v>-0.65076</v>
      </c>
      <c r="Q67" s="43">
        <f t="shared" si="42"/>
        <v>-0.31688</v>
      </c>
      <c r="R67" s="43">
        <f t="shared" si="42"/>
        <v>-0.26775</v>
      </c>
      <c r="S67" s="43">
        <f t="shared" si="42"/>
        <v>-0.31968</v>
      </c>
      <c r="T67" s="43">
        <f t="shared" si="42"/>
        <v>-0.74224</v>
      </c>
      <c r="U67" s="43">
        <f t="shared" si="42"/>
        <v>-0.35804</v>
      </c>
      <c r="V67" s="43">
        <f t="shared" si="42"/>
        <v>-0.37694</v>
      </c>
      <c r="W67" s="43">
        <f t="shared" si="42"/>
        <v>-0.36423</v>
      </c>
      <c r="X67" s="43">
        <f t="shared" si="42"/>
        <v>-0.32426</v>
      </c>
      <c r="Y67" s="43">
        <f t="shared" si="42"/>
        <v>-0.32346</v>
      </c>
      <c r="Z67" s="43">
        <f t="shared" si="42"/>
        <v>0</v>
      </c>
      <c r="AA67" s="43">
        <f t="shared" si="42"/>
        <v>0</v>
      </c>
      <c r="AB67" s="43">
        <f t="shared" si="42"/>
        <v>-0.18826</v>
      </c>
      <c r="AC67" s="43">
        <f t="shared" si="42"/>
        <v>-0.16076</v>
      </c>
    </row>
    <row r="68" spans="1:29">
      <c r="A68" s="32"/>
      <c r="B68" s="33"/>
      <c r="C68" s="35" t="s">
        <v>51</v>
      </c>
      <c r="D68" s="31" t="s">
        <v>48</v>
      </c>
      <c r="E68" s="31">
        <f>AVERAGE(F68:AC68)</f>
        <v>260.362916666667</v>
      </c>
      <c r="F68" s="43">
        <v>280.17</v>
      </c>
      <c r="G68" s="43">
        <v>272.08</v>
      </c>
      <c r="H68" s="43">
        <v>265.99</v>
      </c>
      <c r="I68" s="43">
        <v>262.42</v>
      </c>
      <c r="J68" s="43">
        <v>258.49</v>
      </c>
      <c r="K68" s="43">
        <v>258.96</v>
      </c>
      <c r="L68" s="43">
        <v>267.51</v>
      </c>
      <c r="M68" s="43">
        <v>271.37</v>
      </c>
      <c r="N68" s="43">
        <v>283.26</v>
      </c>
      <c r="O68" s="43">
        <v>278.46</v>
      </c>
      <c r="P68" s="43">
        <v>228.63</v>
      </c>
      <c r="Q68" s="43">
        <v>160.58</v>
      </c>
      <c r="R68" s="43">
        <v>96.51</v>
      </c>
      <c r="S68" s="43">
        <v>122.93</v>
      </c>
      <c r="T68" s="43">
        <v>166.06</v>
      </c>
      <c r="U68" s="43">
        <v>252</v>
      </c>
      <c r="V68" s="43">
        <v>282.9</v>
      </c>
      <c r="W68" s="43">
        <v>317.1</v>
      </c>
      <c r="X68" s="43">
        <v>344.49</v>
      </c>
      <c r="Y68" s="43">
        <v>351.18</v>
      </c>
      <c r="Z68" s="43">
        <v>337.96</v>
      </c>
      <c r="AA68" s="43">
        <v>314.98</v>
      </c>
      <c r="AB68" s="43">
        <v>299.65</v>
      </c>
      <c r="AC68" s="43">
        <v>275.03</v>
      </c>
    </row>
    <row r="69" spans="1:29">
      <c r="A69" s="32"/>
      <c r="B69" s="33"/>
      <c r="C69" s="32"/>
      <c r="D69" s="31" t="s">
        <v>49</v>
      </c>
      <c r="E69" s="31">
        <f>AVERAGE(F69:AC69)</f>
        <v>262.767083333333</v>
      </c>
      <c r="F69" s="43">
        <v>278.8</v>
      </c>
      <c r="G69" s="43">
        <v>265.86</v>
      </c>
      <c r="H69" s="43">
        <v>261.46</v>
      </c>
      <c r="I69" s="43">
        <v>251.13</v>
      </c>
      <c r="J69" s="43">
        <v>239.18</v>
      </c>
      <c r="K69" s="43">
        <v>242.74</v>
      </c>
      <c r="L69" s="43">
        <v>264.53</v>
      </c>
      <c r="M69" s="43">
        <v>271.52</v>
      </c>
      <c r="N69" s="43">
        <v>273.49</v>
      </c>
      <c r="O69" s="43">
        <v>195.99</v>
      </c>
      <c r="P69" s="43">
        <v>134.88</v>
      </c>
      <c r="Q69" s="43">
        <v>108.75</v>
      </c>
      <c r="R69" s="43">
        <v>-7.65</v>
      </c>
      <c r="S69" s="43">
        <v>37.98</v>
      </c>
      <c r="T69" s="43">
        <v>21.71</v>
      </c>
      <c r="U69" s="43">
        <v>151.04</v>
      </c>
      <c r="V69" s="43">
        <v>281.7</v>
      </c>
      <c r="W69" s="43">
        <v>447.56</v>
      </c>
      <c r="X69" s="43">
        <v>994.54</v>
      </c>
      <c r="Y69" s="43">
        <v>365.04</v>
      </c>
      <c r="Z69" s="43">
        <v>360.95</v>
      </c>
      <c r="AA69" s="43">
        <v>296.86</v>
      </c>
      <c r="AB69" s="43">
        <v>292.65</v>
      </c>
      <c r="AC69" s="43">
        <v>275.7</v>
      </c>
    </row>
    <row r="70" spans="1:29">
      <c r="A70" s="32"/>
      <c r="B70" s="33"/>
      <c r="C70" s="34"/>
      <c r="D70" s="31" t="s">
        <v>50</v>
      </c>
      <c r="E70" s="26">
        <f>E68-E69</f>
        <v>-2.40416666666658</v>
      </c>
      <c r="F70" s="43">
        <f t="shared" ref="F70:AC70" si="43">(F68-F69)*1</f>
        <v>1.37</v>
      </c>
      <c r="G70" s="43">
        <f t="shared" si="43"/>
        <v>6.21999999999997</v>
      </c>
      <c r="H70" s="43">
        <f t="shared" si="43"/>
        <v>4.53000000000003</v>
      </c>
      <c r="I70" s="43">
        <f t="shared" si="43"/>
        <v>11.29</v>
      </c>
      <c r="J70" s="43">
        <f t="shared" si="43"/>
        <v>19.31</v>
      </c>
      <c r="K70" s="43">
        <f t="shared" si="43"/>
        <v>16.22</v>
      </c>
      <c r="L70" s="43">
        <f t="shared" si="43"/>
        <v>2.98000000000002</v>
      </c>
      <c r="M70" s="43">
        <f t="shared" si="43"/>
        <v>-0.149999999999977</v>
      </c>
      <c r="N70" s="43">
        <f t="shared" si="43"/>
        <v>9.76999999999998</v>
      </c>
      <c r="O70" s="43">
        <f t="shared" si="43"/>
        <v>82.47</v>
      </c>
      <c r="P70" s="43">
        <f t="shared" si="43"/>
        <v>93.75</v>
      </c>
      <c r="Q70" s="43">
        <f t="shared" si="43"/>
        <v>51.83</v>
      </c>
      <c r="R70" s="43">
        <f t="shared" si="43"/>
        <v>104.16</v>
      </c>
      <c r="S70" s="43">
        <f t="shared" si="43"/>
        <v>84.95</v>
      </c>
      <c r="T70" s="43">
        <f t="shared" si="43"/>
        <v>144.35</v>
      </c>
      <c r="U70" s="43">
        <f t="shared" si="43"/>
        <v>100.96</v>
      </c>
      <c r="V70" s="43">
        <f t="shared" si="43"/>
        <v>1.19999999999999</v>
      </c>
      <c r="W70" s="43">
        <f t="shared" si="43"/>
        <v>-130.46</v>
      </c>
      <c r="X70" s="43">
        <f t="shared" si="43"/>
        <v>-650.05</v>
      </c>
      <c r="Y70" s="43">
        <f t="shared" si="43"/>
        <v>-13.86</v>
      </c>
      <c r="Z70" s="43">
        <f t="shared" si="43"/>
        <v>-22.99</v>
      </c>
      <c r="AA70" s="43">
        <f t="shared" si="43"/>
        <v>18.12</v>
      </c>
      <c r="AB70" s="43">
        <f t="shared" si="43"/>
        <v>7</v>
      </c>
      <c r="AC70" s="43">
        <f t="shared" si="43"/>
        <v>-0.670000000000016</v>
      </c>
    </row>
    <row r="71" spans="1:29">
      <c r="A71" s="32"/>
      <c r="B71" s="33"/>
      <c r="C71" s="36" t="s">
        <v>52</v>
      </c>
      <c r="D71" s="37"/>
      <c r="E71" s="26">
        <f t="shared" ref="E71:E75" si="44">SUM(F71:AC71)</f>
        <v>86.7286822000001</v>
      </c>
      <c r="F71" s="43">
        <f t="shared" ref="F71:AC71" si="45">(-F67*F70)*1</f>
        <v>0</v>
      </c>
      <c r="G71" s="43">
        <f t="shared" si="45"/>
        <v>0</v>
      </c>
      <c r="H71" s="43">
        <f t="shared" si="45"/>
        <v>0</v>
      </c>
      <c r="I71" s="43">
        <f t="shared" si="45"/>
        <v>0</v>
      </c>
      <c r="J71" s="43">
        <f t="shared" si="45"/>
        <v>2.5556785</v>
      </c>
      <c r="K71" s="43">
        <f t="shared" si="45"/>
        <v>2.15628679999999</v>
      </c>
      <c r="L71" s="43">
        <f t="shared" si="45"/>
        <v>0</v>
      </c>
      <c r="M71" s="43">
        <f t="shared" si="45"/>
        <v>-0.026302499999996</v>
      </c>
      <c r="N71" s="43">
        <f t="shared" si="45"/>
        <v>3.37162699999999</v>
      </c>
      <c r="O71" s="43">
        <f t="shared" si="45"/>
        <v>64.0264092</v>
      </c>
      <c r="P71" s="43">
        <f t="shared" si="45"/>
        <v>61.00875</v>
      </c>
      <c r="Q71" s="43">
        <f t="shared" si="45"/>
        <v>16.4238904</v>
      </c>
      <c r="R71" s="43">
        <f t="shared" si="45"/>
        <v>27.88884</v>
      </c>
      <c r="S71" s="43">
        <f t="shared" si="45"/>
        <v>27.156816</v>
      </c>
      <c r="T71" s="43">
        <f t="shared" si="45"/>
        <v>107.142344</v>
      </c>
      <c r="U71" s="43">
        <f t="shared" si="45"/>
        <v>36.1477184</v>
      </c>
      <c r="V71" s="43">
        <f t="shared" si="45"/>
        <v>0.452327999999996</v>
      </c>
      <c r="W71" s="43">
        <f t="shared" si="45"/>
        <v>-47.5174458</v>
      </c>
      <c r="X71" s="43">
        <f t="shared" si="45"/>
        <v>-210.785213</v>
      </c>
      <c r="Y71" s="43">
        <f t="shared" si="45"/>
        <v>-4.4831556</v>
      </c>
      <c r="Z71" s="43">
        <f t="shared" si="45"/>
        <v>0</v>
      </c>
      <c r="AA71" s="43">
        <f t="shared" si="45"/>
        <v>0</v>
      </c>
      <c r="AB71" s="43">
        <f t="shared" si="45"/>
        <v>1.31782</v>
      </c>
      <c r="AC71" s="43">
        <f t="shared" si="45"/>
        <v>-0.107709200000003</v>
      </c>
    </row>
    <row r="72" spans="1:29">
      <c r="A72" s="32"/>
      <c r="B72" s="33"/>
      <c r="C72" s="38" t="s">
        <v>53</v>
      </c>
      <c r="D72" s="37"/>
      <c r="E72" s="26">
        <f t="shared" si="44"/>
        <v>86.7286822000002</v>
      </c>
      <c r="F72" s="43">
        <f t="shared" ref="F72:AC72" si="46">(IF(F71&gt;0,ABS(MIN(F66*0.2,ABS(F67))*F70),F71))*1</f>
        <v>0</v>
      </c>
      <c r="G72" s="43">
        <f t="shared" si="46"/>
        <v>0</v>
      </c>
      <c r="H72" s="43">
        <f t="shared" si="46"/>
        <v>0</v>
      </c>
      <c r="I72" s="43">
        <f t="shared" si="46"/>
        <v>0</v>
      </c>
      <c r="J72" s="43">
        <f t="shared" si="46"/>
        <v>2.5556785</v>
      </c>
      <c r="K72" s="43">
        <f t="shared" si="46"/>
        <v>2.15628679999999</v>
      </c>
      <c r="L72" s="43">
        <f t="shared" si="46"/>
        <v>0</v>
      </c>
      <c r="M72" s="43">
        <f t="shared" si="46"/>
        <v>-0.026302499999996</v>
      </c>
      <c r="N72" s="43">
        <f t="shared" si="46"/>
        <v>3.37162699999999</v>
      </c>
      <c r="O72" s="43">
        <f t="shared" si="46"/>
        <v>64.0264092</v>
      </c>
      <c r="P72" s="43">
        <f t="shared" si="46"/>
        <v>61.00875</v>
      </c>
      <c r="Q72" s="43">
        <f t="shared" si="46"/>
        <v>16.4238904</v>
      </c>
      <c r="R72" s="43">
        <f t="shared" si="46"/>
        <v>27.88884</v>
      </c>
      <c r="S72" s="43">
        <f t="shared" si="46"/>
        <v>27.156816</v>
      </c>
      <c r="T72" s="43">
        <f t="shared" si="46"/>
        <v>107.142344</v>
      </c>
      <c r="U72" s="43">
        <f t="shared" si="46"/>
        <v>36.1477184</v>
      </c>
      <c r="V72" s="43">
        <f t="shared" si="46"/>
        <v>0.452327999999996</v>
      </c>
      <c r="W72" s="43">
        <f t="shared" si="46"/>
        <v>-47.5174458</v>
      </c>
      <c r="X72" s="43">
        <f t="shared" si="46"/>
        <v>-210.785213</v>
      </c>
      <c r="Y72" s="43">
        <f t="shared" si="46"/>
        <v>-4.4831556</v>
      </c>
      <c r="Z72" s="43">
        <f t="shared" si="46"/>
        <v>0</v>
      </c>
      <c r="AA72" s="43">
        <f t="shared" si="46"/>
        <v>0</v>
      </c>
      <c r="AB72" s="43">
        <f t="shared" si="46"/>
        <v>1.31782</v>
      </c>
      <c r="AC72" s="43">
        <f t="shared" si="46"/>
        <v>-0.107709200000003</v>
      </c>
    </row>
    <row r="73" spans="1:29">
      <c r="A73" s="32"/>
      <c r="B73" s="33"/>
      <c r="C73" s="39" t="s">
        <v>50</v>
      </c>
      <c r="D73" s="37"/>
      <c r="E73" s="44">
        <f>E71-E72</f>
        <v>0</v>
      </c>
      <c r="F73" s="26">
        <f t="shared" ref="F73:AC73" si="47">(F71-F72)*1</f>
        <v>0</v>
      </c>
      <c r="G73" s="26">
        <f t="shared" si="47"/>
        <v>0</v>
      </c>
      <c r="H73" s="26">
        <f t="shared" si="47"/>
        <v>0</v>
      </c>
      <c r="I73" s="26">
        <f t="shared" si="47"/>
        <v>0</v>
      </c>
      <c r="J73" s="26">
        <f t="shared" si="47"/>
        <v>0</v>
      </c>
      <c r="K73" s="26">
        <f t="shared" si="47"/>
        <v>0</v>
      </c>
      <c r="L73" s="26">
        <f t="shared" si="47"/>
        <v>0</v>
      </c>
      <c r="M73" s="26">
        <f t="shared" si="47"/>
        <v>0</v>
      </c>
      <c r="N73" s="26">
        <f t="shared" si="47"/>
        <v>0</v>
      </c>
      <c r="O73" s="26">
        <f t="shared" si="47"/>
        <v>0</v>
      </c>
      <c r="P73" s="26">
        <f t="shared" si="47"/>
        <v>0</v>
      </c>
      <c r="Q73" s="26">
        <f t="shared" si="47"/>
        <v>0</v>
      </c>
      <c r="R73" s="26">
        <f t="shared" si="47"/>
        <v>0</v>
      </c>
      <c r="S73" s="26">
        <f t="shared" si="47"/>
        <v>0</v>
      </c>
      <c r="T73" s="26">
        <f t="shared" si="47"/>
        <v>0</v>
      </c>
      <c r="U73" s="26">
        <f t="shared" si="47"/>
        <v>0</v>
      </c>
      <c r="V73" s="26">
        <f t="shared" si="47"/>
        <v>0</v>
      </c>
      <c r="W73" s="26">
        <f t="shared" si="47"/>
        <v>0</v>
      </c>
      <c r="X73" s="26">
        <f t="shared" si="47"/>
        <v>0</v>
      </c>
      <c r="Y73" s="26">
        <f t="shared" si="47"/>
        <v>0</v>
      </c>
      <c r="Z73" s="26">
        <f t="shared" si="47"/>
        <v>0</v>
      </c>
      <c r="AA73" s="26">
        <f t="shared" si="47"/>
        <v>0</v>
      </c>
      <c r="AB73" s="26">
        <f t="shared" si="47"/>
        <v>0</v>
      </c>
      <c r="AC73" s="26">
        <f t="shared" si="47"/>
        <v>0</v>
      </c>
    </row>
    <row r="74" spans="1:29">
      <c r="A74" s="29">
        <v>46000</v>
      </c>
      <c r="B74" s="30">
        <f>E81</f>
        <v>-254.5132391</v>
      </c>
      <c r="C74" s="31" t="s">
        <v>47</v>
      </c>
      <c r="D74" s="31" t="s">
        <v>48</v>
      </c>
      <c r="E74" s="42">
        <f t="shared" si="44"/>
        <v>54.21354</v>
      </c>
      <c r="F74" s="43">
        <v>1.24614</v>
      </c>
      <c r="G74" s="43">
        <v>1.31382</v>
      </c>
      <c r="H74" s="43">
        <v>1.25577</v>
      </c>
      <c r="I74" s="43">
        <v>1.25514</v>
      </c>
      <c r="J74" s="43">
        <v>1.2816</v>
      </c>
      <c r="K74" s="43">
        <v>1.31058</v>
      </c>
      <c r="L74" s="43">
        <v>1.22166</v>
      </c>
      <c r="M74" s="43">
        <v>1.88848</v>
      </c>
      <c r="N74" s="43">
        <v>3.47512</v>
      </c>
      <c r="O74" s="43">
        <v>3.66553</v>
      </c>
      <c r="P74" s="43">
        <v>3.22619</v>
      </c>
      <c r="Q74" s="43">
        <v>2.97</v>
      </c>
      <c r="R74" s="43">
        <v>2.33299</v>
      </c>
      <c r="S74" s="43">
        <v>2.74835</v>
      </c>
      <c r="T74" s="43">
        <v>3.43189</v>
      </c>
      <c r="U74" s="43">
        <v>3.31507</v>
      </c>
      <c r="V74" s="43">
        <v>3.47952</v>
      </c>
      <c r="W74" s="43">
        <v>3.1023</v>
      </c>
      <c r="X74" s="43">
        <v>2.4363</v>
      </c>
      <c r="Y74" s="43">
        <v>2.47977</v>
      </c>
      <c r="Z74" s="43">
        <v>2.12049</v>
      </c>
      <c r="AA74" s="43">
        <v>1.7973</v>
      </c>
      <c r="AB74" s="43">
        <v>1.40643</v>
      </c>
      <c r="AC74" s="43">
        <v>1.4531</v>
      </c>
    </row>
    <row r="75" spans="1:29">
      <c r="A75" s="32"/>
      <c r="B75" s="33"/>
      <c r="C75" s="32"/>
      <c r="D75" s="6" t="s">
        <v>49</v>
      </c>
      <c r="E75" s="45">
        <f t="shared" si="44"/>
        <v>53.5628</v>
      </c>
      <c r="F75" s="43">
        <v>1.3846</v>
      </c>
      <c r="G75" s="43">
        <v>1.4598</v>
      </c>
      <c r="H75" s="43">
        <v>1.3953</v>
      </c>
      <c r="I75" s="43">
        <v>1.3946</v>
      </c>
      <c r="J75" s="43">
        <v>1.424</v>
      </c>
      <c r="K75" s="43">
        <v>1.4562</v>
      </c>
      <c r="L75" s="43">
        <v>1.3574</v>
      </c>
      <c r="M75" s="43">
        <v>1.7168</v>
      </c>
      <c r="N75" s="43">
        <v>3.1592</v>
      </c>
      <c r="O75" s="43">
        <v>3.3323</v>
      </c>
      <c r="P75" s="43">
        <v>2.9329</v>
      </c>
      <c r="Q75" s="43">
        <v>2.7</v>
      </c>
      <c r="R75" s="43">
        <v>2.1209</v>
      </c>
      <c r="S75" s="43">
        <v>2.4985</v>
      </c>
      <c r="T75" s="43">
        <v>3.1199</v>
      </c>
      <c r="U75" s="43">
        <v>3.0137</v>
      </c>
      <c r="V75" s="43">
        <v>3.1632</v>
      </c>
      <c r="W75" s="43">
        <v>3.1023</v>
      </c>
      <c r="X75" s="43">
        <v>2.707</v>
      </c>
      <c r="Y75" s="43">
        <v>2.7553</v>
      </c>
      <c r="Z75" s="43">
        <v>2.3561</v>
      </c>
      <c r="AA75" s="43">
        <v>1.997</v>
      </c>
      <c r="AB75" s="43">
        <v>1.5627</v>
      </c>
      <c r="AC75" s="43">
        <v>1.4531</v>
      </c>
    </row>
    <row r="76" spans="1:29">
      <c r="A76" s="32"/>
      <c r="B76" s="33"/>
      <c r="C76" s="34"/>
      <c r="D76" s="31" t="s">
        <v>50</v>
      </c>
      <c r="E76" s="26">
        <f>E74-E75</f>
        <v>0.650740000000013</v>
      </c>
      <c r="F76" s="43">
        <f t="shared" ref="F76:AC76" si="48">(F74-F75)*1</f>
        <v>-0.13846</v>
      </c>
      <c r="G76" s="43">
        <f t="shared" si="48"/>
        <v>-0.14598</v>
      </c>
      <c r="H76" s="43">
        <f t="shared" si="48"/>
        <v>-0.13953</v>
      </c>
      <c r="I76" s="43">
        <f t="shared" si="48"/>
        <v>-0.13946</v>
      </c>
      <c r="J76" s="43">
        <f t="shared" si="48"/>
        <v>-0.1424</v>
      </c>
      <c r="K76" s="43">
        <f t="shared" si="48"/>
        <v>-0.14562</v>
      </c>
      <c r="L76" s="43">
        <f t="shared" si="48"/>
        <v>-0.13574</v>
      </c>
      <c r="M76" s="43">
        <f t="shared" si="48"/>
        <v>0.17168</v>
      </c>
      <c r="N76" s="43">
        <f t="shared" si="48"/>
        <v>0.31592</v>
      </c>
      <c r="O76" s="43">
        <f t="shared" si="48"/>
        <v>0.33323</v>
      </c>
      <c r="P76" s="43">
        <f t="shared" si="48"/>
        <v>0.29329</v>
      </c>
      <c r="Q76" s="43">
        <f t="shared" si="48"/>
        <v>0.270000000000001</v>
      </c>
      <c r="R76" s="43">
        <f t="shared" si="48"/>
        <v>0.21209</v>
      </c>
      <c r="S76" s="43">
        <f t="shared" si="48"/>
        <v>0.24985</v>
      </c>
      <c r="T76" s="43">
        <f t="shared" si="48"/>
        <v>0.31199</v>
      </c>
      <c r="U76" s="43">
        <f t="shared" si="48"/>
        <v>0.30137</v>
      </c>
      <c r="V76" s="43">
        <f t="shared" si="48"/>
        <v>0.31632</v>
      </c>
      <c r="W76" s="43">
        <f t="shared" si="48"/>
        <v>0</v>
      </c>
      <c r="X76" s="43">
        <f t="shared" si="48"/>
        <v>-0.2707</v>
      </c>
      <c r="Y76" s="43">
        <f t="shared" si="48"/>
        <v>-0.27553</v>
      </c>
      <c r="Z76" s="43">
        <f t="shared" si="48"/>
        <v>-0.23561</v>
      </c>
      <c r="AA76" s="43">
        <f t="shared" si="48"/>
        <v>-0.1997</v>
      </c>
      <c r="AB76" s="43">
        <f t="shared" si="48"/>
        <v>-0.15627</v>
      </c>
      <c r="AC76" s="43">
        <f t="shared" si="48"/>
        <v>0</v>
      </c>
    </row>
    <row r="77" spans="1:29">
      <c r="A77" s="32"/>
      <c r="B77" s="33"/>
      <c r="C77" s="35" t="s">
        <v>51</v>
      </c>
      <c r="D77" s="31" t="s">
        <v>48</v>
      </c>
      <c r="E77" s="31">
        <f>AVERAGE(F77:AC77)</f>
        <v>259.844583333333</v>
      </c>
      <c r="F77" s="43">
        <v>284.13</v>
      </c>
      <c r="G77" s="43">
        <v>278.79</v>
      </c>
      <c r="H77" s="43">
        <v>275.57</v>
      </c>
      <c r="I77" s="43">
        <v>270.34</v>
      </c>
      <c r="J77" s="43">
        <v>267.69</v>
      </c>
      <c r="K77" s="43">
        <v>266.03</v>
      </c>
      <c r="L77" s="43">
        <v>272</v>
      </c>
      <c r="M77" s="43">
        <v>276.29</v>
      </c>
      <c r="N77" s="43">
        <v>284.26</v>
      </c>
      <c r="O77" s="43">
        <v>271.74</v>
      </c>
      <c r="P77" s="43">
        <v>207.6</v>
      </c>
      <c r="Q77" s="43">
        <v>131.61</v>
      </c>
      <c r="R77" s="43">
        <v>106.08</v>
      </c>
      <c r="S77" s="43">
        <v>143.67</v>
      </c>
      <c r="T77" s="43">
        <v>156.17</v>
      </c>
      <c r="U77" s="43">
        <v>241.74</v>
      </c>
      <c r="V77" s="43">
        <v>280.21</v>
      </c>
      <c r="W77" s="43">
        <v>317.27</v>
      </c>
      <c r="X77" s="43">
        <v>345.66</v>
      </c>
      <c r="Y77" s="43">
        <v>345.44</v>
      </c>
      <c r="Z77" s="43">
        <v>323.94</v>
      </c>
      <c r="AA77" s="43">
        <v>317.64</v>
      </c>
      <c r="AB77" s="43">
        <v>298.54</v>
      </c>
      <c r="AC77" s="43">
        <v>273.86</v>
      </c>
    </row>
    <row r="78" spans="1:29">
      <c r="A78" s="32"/>
      <c r="B78" s="33"/>
      <c r="C78" s="32"/>
      <c r="D78" s="31" t="s">
        <v>49</v>
      </c>
      <c r="E78" s="31">
        <f>AVERAGE(F78:AC78)</f>
        <v>256.350833333333</v>
      </c>
      <c r="F78" s="43">
        <v>289.33</v>
      </c>
      <c r="G78" s="43">
        <v>275.22</v>
      </c>
      <c r="H78" s="43">
        <v>267.95</v>
      </c>
      <c r="I78" s="43">
        <v>259.78</v>
      </c>
      <c r="J78" s="43">
        <v>255.8</v>
      </c>
      <c r="K78" s="43">
        <v>242.1</v>
      </c>
      <c r="L78" s="43">
        <v>271.61</v>
      </c>
      <c r="M78" s="43">
        <v>271.46</v>
      </c>
      <c r="N78" s="43">
        <v>274.62</v>
      </c>
      <c r="O78" s="43">
        <v>217.05</v>
      </c>
      <c r="P78" s="43">
        <v>126.79</v>
      </c>
      <c r="Q78" s="43">
        <v>81.94</v>
      </c>
      <c r="R78" s="43">
        <v>-0.48</v>
      </c>
      <c r="S78" s="43">
        <v>56.98</v>
      </c>
      <c r="T78" s="43">
        <v>53.8</v>
      </c>
      <c r="U78" s="43">
        <v>170.79</v>
      </c>
      <c r="V78" s="43">
        <v>295.02</v>
      </c>
      <c r="W78" s="43">
        <v>422.51</v>
      </c>
      <c r="X78" s="43">
        <v>623.62</v>
      </c>
      <c r="Y78" s="43">
        <v>434.92</v>
      </c>
      <c r="Z78" s="43">
        <v>352.81</v>
      </c>
      <c r="AA78" s="43">
        <v>334.42</v>
      </c>
      <c r="AB78" s="43">
        <v>298.05</v>
      </c>
      <c r="AC78" s="43">
        <v>276.33</v>
      </c>
    </row>
    <row r="79" spans="1:29">
      <c r="A79" s="32"/>
      <c r="B79" s="33"/>
      <c r="C79" s="34"/>
      <c r="D79" s="31" t="s">
        <v>50</v>
      </c>
      <c r="E79" s="26">
        <f>E77-E78</f>
        <v>3.49374999999998</v>
      </c>
      <c r="F79" s="43">
        <f t="shared" ref="F79:AC79" si="49">(F77-F78)*1</f>
        <v>-5.19999999999999</v>
      </c>
      <c r="G79" s="43">
        <f t="shared" si="49"/>
        <v>3.56999999999999</v>
      </c>
      <c r="H79" s="43">
        <f t="shared" si="49"/>
        <v>7.62</v>
      </c>
      <c r="I79" s="43">
        <f t="shared" si="49"/>
        <v>10.56</v>
      </c>
      <c r="J79" s="43">
        <f t="shared" si="49"/>
        <v>11.89</v>
      </c>
      <c r="K79" s="43">
        <f t="shared" si="49"/>
        <v>23.93</v>
      </c>
      <c r="L79" s="43">
        <f t="shared" si="49"/>
        <v>0.389999999999986</v>
      </c>
      <c r="M79" s="43">
        <f t="shared" si="49"/>
        <v>4.83000000000004</v>
      </c>
      <c r="N79" s="43">
        <f t="shared" si="49"/>
        <v>9.63999999999999</v>
      </c>
      <c r="O79" s="43">
        <f t="shared" si="49"/>
        <v>54.69</v>
      </c>
      <c r="P79" s="43">
        <f t="shared" si="49"/>
        <v>80.81</v>
      </c>
      <c r="Q79" s="43">
        <f t="shared" si="49"/>
        <v>49.67</v>
      </c>
      <c r="R79" s="43">
        <f t="shared" si="49"/>
        <v>106.56</v>
      </c>
      <c r="S79" s="43">
        <f t="shared" si="49"/>
        <v>86.69</v>
      </c>
      <c r="T79" s="43">
        <f t="shared" si="49"/>
        <v>102.37</v>
      </c>
      <c r="U79" s="43">
        <f t="shared" si="49"/>
        <v>70.95</v>
      </c>
      <c r="V79" s="43">
        <f t="shared" si="49"/>
        <v>-14.81</v>
      </c>
      <c r="W79" s="43">
        <f t="shared" si="49"/>
        <v>-105.24</v>
      </c>
      <c r="X79" s="43">
        <f t="shared" si="49"/>
        <v>-277.96</v>
      </c>
      <c r="Y79" s="43">
        <f t="shared" si="49"/>
        <v>-89.48</v>
      </c>
      <c r="Z79" s="43">
        <f t="shared" si="49"/>
        <v>-28.87</v>
      </c>
      <c r="AA79" s="43">
        <f t="shared" si="49"/>
        <v>-16.78</v>
      </c>
      <c r="AB79" s="43">
        <f t="shared" si="49"/>
        <v>0.490000000000009</v>
      </c>
      <c r="AC79" s="43">
        <f t="shared" si="49"/>
        <v>-2.46999999999997</v>
      </c>
    </row>
    <row r="80" spans="1:29">
      <c r="A80" s="32"/>
      <c r="B80" s="33"/>
      <c r="C80" s="36" t="s">
        <v>52</v>
      </c>
      <c r="D80" s="37"/>
      <c r="E80" s="26">
        <f t="shared" ref="E80:E84" si="50">SUM(F80:AC80)</f>
        <v>-254.5132391</v>
      </c>
      <c r="F80" s="43">
        <f t="shared" ref="F80:AC80" si="51">(-F76*F79)*1</f>
        <v>-0.719991999999999</v>
      </c>
      <c r="G80" s="43">
        <f t="shared" si="51"/>
        <v>0.521148599999999</v>
      </c>
      <c r="H80" s="43">
        <f t="shared" si="51"/>
        <v>1.0632186</v>
      </c>
      <c r="I80" s="43">
        <f t="shared" si="51"/>
        <v>1.4726976</v>
      </c>
      <c r="J80" s="43">
        <f t="shared" si="51"/>
        <v>1.693136</v>
      </c>
      <c r="K80" s="43">
        <f t="shared" si="51"/>
        <v>3.48468659999999</v>
      </c>
      <c r="L80" s="43">
        <f t="shared" si="51"/>
        <v>0.0529385999999981</v>
      </c>
      <c r="M80" s="43">
        <f t="shared" si="51"/>
        <v>-0.829214400000006</v>
      </c>
      <c r="N80" s="43">
        <f t="shared" si="51"/>
        <v>-3.0454688</v>
      </c>
      <c r="O80" s="43">
        <f t="shared" si="51"/>
        <v>-18.2243487</v>
      </c>
      <c r="P80" s="43">
        <f t="shared" si="51"/>
        <v>-23.7007649</v>
      </c>
      <c r="Q80" s="43">
        <f t="shared" si="51"/>
        <v>-13.4109</v>
      </c>
      <c r="R80" s="43">
        <f t="shared" si="51"/>
        <v>-22.6003104</v>
      </c>
      <c r="S80" s="43">
        <f t="shared" si="51"/>
        <v>-21.6594965</v>
      </c>
      <c r="T80" s="43">
        <f t="shared" si="51"/>
        <v>-31.9384163</v>
      </c>
      <c r="U80" s="43">
        <f t="shared" si="51"/>
        <v>-21.3822015</v>
      </c>
      <c r="V80" s="43">
        <f t="shared" si="51"/>
        <v>4.6846992</v>
      </c>
      <c r="W80" s="43">
        <f t="shared" si="51"/>
        <v>0</v>
      </c>
      <c r="X80" s="43">
        <f t="shared" si="51"/>
        <v>-75.2437719999999</v>
      </c>
      <c r="Y80" s="43">
        <f t="shared" si="51"/>
        <v>-24.6544244</v>
      </c>
      <c r="Z80" s="43">
        <f t="shared" si="51"/>
        <v>-6.8020607</v>
      </c>
      <c r="AA80" s="43">
        <f t="shared" si="51"/>
        <v>-3.35096600000001</v>
      </c>
      <c r="AB80" s="43">
        <f t="shared" si="51"/>
        <v>0.0765723000000014</v>
      </c>
      <c r="AC80" s="43">
        <f t="shared" si="51"/>
        <v>0</v>
      </c>
    </row>
    <row r="81" spans="1:29">
      <c r="A81" s="32"/>
      <c r="B81" s="33"/>
      <c r="C81" s="38" t="s">
        <v>53</v>
      </c>
      <c r="D81" s="37"/>
      <c r="E81" s="26">
        <f t="shared" si="50"/>
        <v>-254.5132391</v>
      </c>
      <c r="F81" s="43">
        <f t="shared" ref="F81:AC81" si="52">(IF(F80&gt;0,ABS(MIN(F75*0.2,ABS(F76))*F79),F80))*1</f>
        <v>-0.719991999999999</v>
      </c>
      <c r="G81" s="43">
        <f t="shared" si="52"/>
        <v>0.521148599999999</v>
      </c>
      <c r="H81" s="43">
        <f t="shared" si="52"/>
        <v>1.0632186</v>
      </c>
      <c r="I81" s="43">
        <f t="shared" si="52"/>
        <v>1.4726976</v>
      </c>
      <c r="J81" s="43">
        <f t="shared" si="52"/>
        <v>1.693136</v>
      </c>
      <c r="K81" s="43">
        <f t="shared" si="52"/>
        <v>3.48468659999999</v>
      </c>
      <c r="L81" s="43">
        <f t="shared" si="52"/>
        <v>0.0529385999999981</v>
      </c>
      <c r="M81" s="43">
        <f t="shared" si="52"/>
        <v>-0.829214400000006</v>
      </c>
      <c r="N81" s="43">
        <f t="shared" si="52"/>
        <v>-3.0454688</v>
      </c>
      <c r="O81" s="43">
        <f t="shared" si="52"/>
        <v>-18.2243487</v>
      </c>
      <c r="P81" s="43">
        <f t="shared" si="52"/>
        <v>-23.7007649</v>
      </c>
      <c r="Q81" s="43">
        <f t="shared" si="52"/>
        <v>-13.4109</v>
      </c>
      <c r="R81" s="43">
        <f t="shared" si="52"/>
        <v>-22.6003104</v>
      </c>
      <c r="S81" s="43">
        <f t="shared" si="52"/>
        <v>-21.6594965</v>
      </c>
      <c r="T81" s="43">
        <f t="shared" si="52"/>
        <v>-31.9384163</v>
      </c>
      <c r="U81" s="43">
        <f t="shared" si="52"/>
        <v>-21.3822015</v>
      </c>
      <c r="V81" s="43">
        <f t="shared" si="52"/>
        <v>4.6846992</v>
      </c>
      <c r="W81" s="43">
        <f t="shared" si="52"/>
        <v>0</v>
      </c>
      <c r="X81" s="43">
        <f t="shared" si="52"/>
        <v>-75.2437719999999</v>
      </c>
      <c r="Y81" s="43">
        <f t="shared" si="52"/>
        <v>-24.6544244</v>
      </c>
      <c r="Z81" s="43">
        <f t="shared" si="52"/>
        <v>-6.8020607</v>
      </c>
      <c r="AA81" s="43">
        <f t="shared" si="52"/>
        <v>-3.35096600000001</v>
      </c>
      <c r="AB81" s="43">
        <f t="shared" si="52"/>
        <v>0.0765723000000014</v>
      </c>
      <c r="AC81" s="43">
        <f t="shared" si="52"/>
        <v>0</v>
      </c>
    </row>
    <row r="82" spans="1:29">
      <c r="A82" s="32"/>
      <c r="B82" s="33"/>
      <c r="C82" s="39" t="s">
        <v>50</v>
      </c>
      <c r="D82" s="37"/>
      <c r="E82" s="44">
        <f>E80-E81</f>
        <v>0</v>
      </c>
      <c r="F82" s="26">
        <f t="shared" ref="F82:AC82" si="53">(F80-F81)*1</f>
        <v>0</v>
      </c>
      <c r="G82" s="26">
        <f t="shared" si="53"/>
        <v>0</v>
      </c>
      <c r="H82" s="26">
        <f t="shared" si="53"/>
        <v>0</v>
      </c>
      <c r="I82" s="26">
        <f t="shared" si="53"/>
        <v>0</v>
      </c>
      <c r="J82" s="26">
        <f t="shared" si="53"/>
        <v>0</v>
      </c>
      <c r="K82" s="26">
        <f t="shared" si="53"/>
        <v>0</v>
      </c>
      <c r="L82" s="26">
        <f t="shared" si="53"/>
        <v>0</v>
      </c>
      <c r="M82" s="26">
        <f t="shared" si="53"/>
        <v>0</v>
      </c>
      <c r="N82" s="26">
        <f t="shared" si="53"/>
        <v>0</v>
      </c>
      <c r="O82" s="26">
        <f t="shared" si="53"/>
        <v>0</v>
      </c>
      <c r="P82" s="26">
        <f t="shared" si="53"/>
        <v>0</v>
      </c>
      <c r="Q82" s="26">
        <f t="shared" si="53"/>
        <v>0</v>
      </c>
      <c r="R82" s="26">
        <f t="shared" si="53"/>
        <v>0</v>
      </c>
      <c r="S82" s="26">
        <f t="shared" si="53"/>
        <v>0</v>
      </c>
      <c r="T82" s="26">
        <f t="shared" si="53"/>
        <v>0</v>
      </c>
      <c r="U82" s="26">
        <f t="shared" si="53"/>
        <v>0</v>
      </c>
      <c r="V82" s="26">
        <f t="shared" si="53"/>
        <v>0</v>
      </c>
      <c r="W82" s="26">
        <f t="shared" si="53"/>
        <v>0</v>
      </c>
      <c r="X82" s="26">
        <f t="shared" si="53"/>
        <v>0</v>
      </c>
      <c r="Y82" s="26">
        <f t="shared" si="53"/>
        <v>0</v>
      </c>
      <c r="Z82" s="26">
        <f t="shared" si="53"/>
        <v>0</v>
      </c>
      <c r="AA82" s="26">
        <f t="shared" si="53"/>
        <v>0</v>
      </c>
      <c r="AB82" s="26">
        <f t="shared" si="53"/>
        <v>0</v>
      </c>
      <c r="AC82" s="26">
        <f t="shared" si="53"/>
        <v>0</v>
      </c>
    </row>
    <row r="83" spans="1:29">
      <c r="A83" s="29">
        <v>46001</v>
      </c>
      <c r="B83" s="30">
        <f>E90</f>
        <v>-255.8042388</v>
      </c>
      <c r="C83" s="31" t="s">
        <v>47</v>
      </c>
      <c r="D83" s="31" t="s">
        <v>48</v>
      </c>
      <c r="E83" s="42">
        <f t="shared" si="50"/>
        <v>55.973</v>
      </c>
      <c r="F83" s="43">
        <v>1.48014</v>
      </c>
      <c r="G83" s="43">
        <v>1.46457</v>
      </c>
      <c r="H83" s="43">
        <v>1.45431</v>
      </c>
      <c r="I83" s="43">
        <v>1.39932</v>
      </c>
      <c r="J83" s="43">
        <v>1.4706</v>
      </c>
      <c r="K83" s="43">
        <v>1.51677</v>
      </c>
      <c r="L83" s="43">
        <v>1.4526</v>
      </c>
      <c r="M83" s="43">
        <v>1.82286</v>
      </c>
      <c r="N83" s="43">
        <v>3.53502</v>
      </c>
      <c r="O83" s="43">
        <v>3.43136</v>
      </c>
      <c r="P83" s="43">
        <v>2.88536</v>
      </c>
      <c r="Q83" s="43">
        <v>2.8952</v>
      </c>
      <c r="R83" s="43">
        <v>2.36312</v>
      </c>
      <c r="S83" s="43">
        <v>2.80488</v>
      </c>
      <c r="T83" s="43">
        <v>3.25312</v>
      </c>
      <c r="U83" s="43">
        <v>3.55113</v>
      </c>
      <c r="V83" s="43">
        <v>3.58416</v>
      </c>
      <c r="W83" s="43">
        <v>2.97672</v>
      </c>
      <c r="X83" s="43">
        <v>2.6308</v>
      </c>
      <c r="Y83" s="43">
        <v>2.78496</v>
      </c>
      <c r="Z83" s="43">
        <v>2.38072</v>
      </c>
      <c r="AA83" s="43">
        <v>1.99504</v>
      </c>
      <c r="AB83" s="43">
        <v>1.5764</v>
      </c>
      <c r="AC83" s="43">
        <v>1.26384</v>
      </c>
    </row>
    <row r="84" spans="1:29">
      <c r="A84" s="32"/>
      <c r="B84" s="33"/>
      <c r="C84" s="32"/>
      <c r="D84" s="6" t="s">
        <v>49</v>
      </c>
      <c r="E84" s="42">
        <f t="shared" si="50"/>
        <v>66.8091</v>
      </c>
      <c r="F84" s="43">
        <v>1.6446</v>
      </c>
      <c r="G84" s="43">
        <v>1.6273</v>
      </c>
      <c r="H84" s="43">
        <v>1.6159</v>
      </c>
      <c r="I84" s="43">
        <v>1.5548</v>
      </c>
      <c r="J84" s="43">
        <v>1.634</v>
      </c>
      <c r="K84" s="43">
        <v>1.6853</v>
      </c>
      <c r="L84" s="43">
        <v>1.614</v>
      </c>
      <c r="M84" s="43">
        <v>2.0254</v>
      </c>
      <c r="N84" s="43">
        <v>3.9278</v>
      </c>
      <c r="O84" s="43">
        <v>4.2892</v>
      </c>
      <c r="P84" s="43">
        <v>3.6067</v>
      </c>
      <c r="Q84" s="43">
        <v>3.619</v>
      </c>
      <c r="R84" s="43">
        <v>2.9539</v>
      </c>
      <c r="S84" s="43">
        <v>3.5061</v>
      </c>
      <c r="T84" s="43">
        <v>4.0664</v>
      </c>
      <c r="U84" s="43">
        <v>3.9457</v>
      </c>
      <c r="V84" s="43">
        <v>3.9824</v>
      </c>
      <c r="W84" s="43">
        <v>3.7209</v>
      </c>
      <c r="X84" s="43">
        <v>3.2885</v>
      </c>
      <c r="Y84" s="43">
        <v>3.4812</v>
      </c>
      <c r="Z84" s="43">
        <v>2.9759</v>
      </c>
      <c r="AA84" s="43">
        <v>2.4938</v>
      </c>
      <c r="AB84" s="43">
        <v>1.9705</v>
      </c>
      <c r="AC84" s="43">
        <v>1.5798</v>
      </c>
    </row>
    <row r="85" spans="1:29">
      <c r="A85" s="32"/>
      <c r="B85" s="33"/>
      <c r="C85" s="34"/>
      <c r="D85" s="31" t="s">
        <v>50</v>
      </c>
      <c r="E85" s="26">
        <f>E83-E84</f>
        <v>-10.8361</v>
      </c>
      <c r="F85" s="43">
        <f t="shared" ref="F85:AC85" si="54">(F83-F84)*1</f>
        <v>-0.16446</v>
      </c>
      <c r="G85" s="43">
        <f t="shared" si="54"/>
        <v>-0.16273</v>
      </c>
      <c r="H85" s="43">
        <f t="shared" si="54"/>
        <v>-0.16159</v>
      </c>
      <c r="I85" s="43">
        <f t="shared" si="54"/>
        <v>-0.15548</v>
      </c>
      <c r="J85" s="43">
        <f t="shared" si="54"/>
        <v>-0.1634</v>
      </c>
      <c r="K85" s="43">
        <f t="shared" si="54"/>
        <v>-0.16853</v>
      </c>
      <c r="L85" s="43">
        <f t="shared" si="54"/>
        <v>-0.1614</v>
      </c>
      <c r="M85" s="43">
        <f t="shared" si="54"/>
        <v>-0.20254</v>
      </c>
      <c r="N85" s="43">
        <f t="shared" si="54"/>
        <v>-0.39278</v>
      </c>
      <c r="O85" s="43">
        <f t="shared" si="54"/>
        <v>-0.85784</v>
      </c>
      <c r="P85" s="43">
        <f t="shared" si="54"/>
        <v>-0.72134</v>
      </c>
      <c r="Q85" s="43">
        <f t="shared" si="54"/>
        <v>-0.7238</v>
      </c>
      <c r="R85" s="43">
        <f t="shared" si="54"/>
        <v>-0.59078</v>
      </c>
      <c r="S85" s="43">
        <f t="shared" si="54"/>
        <v>-0.70122</v>
      </c>
      <c r="T85" s="43">
        <f t="shared" si="54"/>
        <v>-0.81328</v>
      </c>
      <c r="U85" s="43">
        <f t="shared" si="54"/>
        <v>-0.39457</v>
      </c>
      <c r="V85" s="43">
        <f t="shared" si="54"/>
        <v>-0.39824</v>
      </c>
      <c r="W85" s="43">
        <f t="shared" si="54"/>
        <v>-0.74418</v>
      </c>
      <c r="X85" s="43">
        <f t="shared" si="54"/>
        <v>-0.6577</v>
      </c>
      <c r="Y85" s="43">
        <f t="shared" si="54"/>
        <v>-0.69624</v>
      </c>
      <c r="Z85" s="43">
        <f t="shared" si="54"/>
        <v>-0.59518</v>
      </c>
      <c r="AA85" s="43">
        <f t="shared" si="54"/>
        <v>-0.49876</v>
      </c>
      <c r="AB85" s="43">
        <f t="shared" si="54"/>
        <v>-0.3941</v>
      </c>
      <c r="AC85" s="43">
        <f t="shared" si="54"/>
        <v>-0.31596</v>
      </c>
    </row>
    <row r="86" spans="1:29">
      <c r="A86" s="32"/>
      <c r="B86" s="33"/>
      <c r="C86" s="35" t="s">
        <v>51</v>
      </c>
      <c r="D86" s="31" t="s">
        <v>48</v>
      </c>
      <c r="E86" s="31">
        <f>AVERAGE(F86:AC86)</f>
        <v>312.893333333333</v>
      </c>
      <c r="F86" s="43">
        <v>299.99</v>
      </c>
      <c r="G86" s="43">
        <v>298.56</v>
      </c>
      <c r="H86" s="43">
        <v>294.23</v>
      </c>
      <c r="I86" s="43">
        <v>289.67</v>
      </c>
      <c r="J86" s="43">
        <v>283.54</v>
      </c>
      <c r="K86" s="43">
        <v>281.4</v>
      </c>
      <c r="L86" s="43">
        <v>293.35</v>
      </c>
      <c r="M86" s="43">
        <v>301.89</v>
      </c>
      <c r="N86" s="43">
        <v>316.54</v>
      </c>
      <c r="O86" s="43">
        <v>305.72</v>
      </c>
      <c r="P86" s="43">
        <v>282.49</v>
      </c>
      <c r="Q86" s="43">
        <v>262.05</v>
      </c>
      <c r="R86" s="43">
        <v>246.52</v>
      </c>
      <c r="S86" s="43">
        <v>258.12</v>
      </c>
      <c r="T86" s="43">
        <v>259.85</v>
      </c>
      <c r="U86" s="43">
        <v>279.7</v>
      </c>
      <c r="V86" s="43">
        <v>306.09</v>
      </c>
      <c r="W86" s="43">
        <v>354.02</v>
      </c>
      <c r="X86" s="43">
        <v>422.18</v>
      </c>
      <c r="Y86" s="43">
        <v>423.61</v>
      </c>
      <c r="Z86" s="43">
        <v>418.78</v>
      </c>
      <c r="AA86" s="43">
        <v>389.98</v>
      </c>
      <c r="AB86" s="43">
        <v>339.95</v>
      </c>
      <c r="AC86" s="43">
        <v>301.21</v>
      </c>
    </row>
    <row r="87" spans="1:29">
      <c r="A87" s="32"/>
      <c r="B87" s="33"/>
      <c r="C87" s="32"/>
      <c r="D87" s="31" t="s">
        <v>49</v>
      </c>
      <c r="E87" s="31">
        <f>AVERAGE(F87:AC87)</f>
        <v>329.079583333333</v>
      </c>
      <c r="F87" s="43">
        <v>293.32</v>
      </c>
      <c r="G87" s="43">
        <v>308.43</v>
      </c>
      <c r="H87" s="43">
        <v>289.55</v>
      </c>
      <c r="I87" s="43">
        <v>293.24</v>
      </c>
      <c r="J87" s="43">
        <v>273.21</v>
      </c>
      <c r="K87" s="43">
        <v>281.91</v>
      </c>
      <c r="L87" s="43">
        <v>299.31</v>
      </c>
      <c r="M87" s="43">
        <v>293.59</v>
      </c>
      <c r="N87" s="43">
        <v>343.07</v>
      </c>
      <c r="O87" s="43">
        <v>360.92</v>
      </c>
      <c r="P87" s="43">
        <v>306.93</v>
      </c>
      <c r="Q87" s="43">
        <v>277.19</v>
      </c>
      <c r="R87" s="43">
        <v>258.37</v>
      </c>
      <c r="S87" s="43">
        <v>273.72</v>
      </c>
      <c r="T87" s="43">
        <v>268.07</v>
      </c>
      <c r="U87" s="43">
        <v>277.3</v>
      </c>
      <c r="V87" s="43">
        <v>310.64</v>
      </c>
      <c r="W87" s="43">
        <v>401.68</v>
      </c>
      <c r="X87" s="43">
        <v>498.1</v>
      </c>
      <c r="Y87" s="43">
        <v>426.19</v>
      </c>
      <c r="Z87" s="43">
        <v>474.07</v>
      </c>
      <c r="AA87" s="43">
        <v>425.99</v>
      </c>
      <c r="AB87" s="43">
        <v>352.32</v>
      </c>
      <c r="AC87" s="43">
        <v>310.79</v>
      </c>
    </row>
    <row r="88" spans="1:29">
      <c r="A88" s="32"/>
      <c r="B88" s="33"/>
      <c r="C88" s="34"/>
      <c r="D88" s="31" t="s">
        <v>50</v>
      </c>
      <c r="E88" s="26">
        <f>E86-E87</f>
        <v>-16.1862500000001</v>
      </c>
      <c r="F88" s="43">
        <f t="shared" ref="F88:AC88" si="55">(F86-F87)*1</f>
        <v>6.67000000000002</v>
      </c>
      <c r="G88" s="43">
        <f t="shared" si="55"/>
        <v>-9.87</v>
      </c>
      <c r="H88" s="43">
        <f t="shared" si="55"/>
        <v>4.68000000000001</v>
      </c>
      <c r="I88" s="43">
        <f t="shared" si="55"/>
        <v>-3.56999999999999</v>
      </c>
      <c r="J88" s="43">
        <f t="shared" si="55"/>
        <v>10.33</v>
      </c>
      <c r="K88" s="43">
        <f t="shared" si="55"/>
        <v>-0.510000000000048</v>
      </c>
      <c r="L88" s="43">
        <f t="shared" si="55"/>
        <v>-5.95999999999998</v>
      </c>
      <c r="M88" s="43">
        <f t="shared" si="55"/>
        <v>8.30000000000001</v>
      </c>
      <c r="N88" s="43">
        <f t="shared" si="55"/>
        <v>-26.53</v>
      </c>
      <c r="O88" s="43">
        <f t="shared" si="55"/>
        <v>-55.2</v>
      </c>
      <c r="P88" s="43">
        <f t="shared" si="55"/>
        <v>-24.44</v>
      </c>
      <c r="Q88" s="43">
        <f t="shared" si="55"/>
        <v>-15.14</v>
      </c>
      <c r="R88" s="43">
        <f t="shared" si="55"/>
        <v>-11.85</v>
      </c>
      <c r="S88" s="43">
        <f t="shared" si="55"/>
        <v>-15.6</v>
      </c>
      <c r="T88" s="43">
        <f t="shared" si="55"/>
        <v>-8.21999999999997</v>
      </c>
      <c r="U88" s="43">
        <f t="shared" si="55"/>
        <v>2.39999999999998</v>
      </c>
      <c r="V88" s="43">
        <f t="shared" si="55"/>
        <v>-4.55000000000001</v>
      </c>
      <c r="W88" s="43">
        <f t="shared" si="55"/>
        <v>-47.66</v>
      </c>
      <c r="X88" s="43">
        <f t="shared" si="55"/>
        <v>-75.92</v>
      </c>
      <c r="Y88" s="43">
        <f t="shared" si="55"/>
        <v>-2.57999999999998</v>
      </c>
      <c r="Z88" s="43">
        <f t="shared" si="55"/>
        <v>-55.29</v>
      </c>
      <c r="AA88" s="43">
        <f t="shared" si="55"/>
        <v>-36.01</v>
      </c>
      <c r="AB88" s="43">
        <f t="shared" si="55"/>
        <v>-12.37</v>
      </c>
      <c r="AC88" s="43">
        <f t="shared" si="55"/>
        <v>-9.58000000000004</v>
      </c>
    </row>
    <row r="89" spans="1:29">
      <c r="A89" s="32"/>
      <c r="B89" s="33"/>
      <c r="C89" s="36" t="s">
        <v>52</v>
      </c>
      <c r="D89" s="37"/>
      <c r="E89" s="26">
        <f t="shared" ref="E89:E93" si="56">SUM(F89:AC89)</f>
        <v>-255.8042388</v>
      </c>
      <c r="F89" s="43">
        <f t="shared" ref="F89:AC89" si="57">(-F85*F88)*1</f>
        <v>1.0969482</v>
      </c>
      <c r="G89" s="43">
        <f t="shared" si="57"/>
        <v>-1.6061451</v>
      </c>
      <c r="H89" s="43">
        <f t="shared" si="57"/>
        <v>0.756241200000001</v>
      </c>
      <c r="I89" s="43">
        <f t="shared" si="57"/>
        <v>-0.555063599999999</v>
      </c>
      <c r="J89" s="43">
        <f t="shared" si="57"/>
        <v>1.68792200000001</v>
      </c>
      <c r="K89" s="43">
        <f t="shared" si="57"/>
        <v>-0.0859503000000081</v>
      </c>
      <c r="L89" s="43">
        <f t="shared" si="57"/>
        <v>-0.961943999999998</v>
      </c>
      <c r="M89" s="43">
        <f t="shared" si="57"/>
        <v>1.681082</v>
      </c>
      <c r="N89" s="43">
        <f t="shared" si="57"/>
        <v>-10.4204534</v>
      </c>
      <c r="O89" s="43">
        <f t="shared" si="57"/>
        <v>-47.352768</v>
      </c>
      <c r="P89" s="43">
        <f t="shared" si="57"/>
        <v>-17.6295496</v>
      </c>
      <c r="Q89" s="43">
        <f t="shared" si="57"/>
        <v>-10.958332</v>
      </c>
      <c r="R89" s="43">
        <f t="shared" si="57"/>
        <v>-7.000743</v>
      </c>
      <c r="S89" s="43">
        <f t="shared" si="57"/>
        <v>-10.939032</v>
      </c>
      <c r="T89" s="43">
        <f t="shared" si="57"/>
        <v>-6.68516159999997</v>
      </c>
      <c r="U89" s="43">
        <f t="shared" si="57"/>
        <v>0.946967999999991</v>
      </c>
      <c r="V89" s="43">
        <f t="shared" si="57"/>
        <v>-1.81199200000001</v>
      </c>
      <c r="W89" s="43">
        <f t="shared" si="57"/>
        <v>-35.4676188</v>
      </c>
      <c r="X89" s="43">
        <f t="shared" si="57"/>
        <v>-49.932584</v>
      </c>
      <c r="Y89" s="43">
        <f t="shared" si="57"/>
        <v>-1.79629919999999</v>
      </c>
      <c r="Z89" s="43">
        <f t="shared" si="57"/>
        <v>-32.9075022</v>
      </c>
      <c r="AA89" s="43">
        <f t="shared" si="57"/>
        <v>-17.9603476</v>
      </c>
      <c r="AB89" s="43">
        <f t="shared" si="57"/>
        <v>-4.875017</v>
      </c>
      <c r="AC89" s="43">
        <f t="shared" si="57"/>
        <v>-3.02689680000001</v>
      </c>
    </row>
    <row r="90" spans="1:29">
      <c r="A90" s="32"/>
      <c r="B90" s="33"/>
      <c r="C90" s="38" t="s">
        <v>53</v>
      </c>
      <c r="D90" s="37"/>
      <c r="E90" s="26">
        <f t="shared" si="56"/>
        <v>-255.8042388</v>
      </c>
      <c r="F90" s="43">
        <f t="shared" ref="F90:AC90" si="58">(IF(F89&gt;0,ABS(MIN(F84*0.2,ABS(F85))*F88),F89))*1</f>
        <v>1.0969482</v>
      </c>
      <c r="G90" s="43">
        <f t="shared" si="58"/>
        <v>-1.6061451</v>
      </c>
      <c r="H90" s="43">
        <f t="shared" si="58"/>
        <v>0.756241200000001</v>
      </c>
      <c r="I90" s="43">
        <f t="shared" si="58"/>
        <v>-0.555063599999999</v>
      </c>
      <c r="J90" s="43">
        <f t="shared" si="58"/>
        <v>1.68792200000001</v>
      </c>
      <c r="K90" s="43">
        <f t="shared" si="58"/>
        <v>-0.0859503000000081</v>
      </c>
      <c r="L90" s="43">
        <f t="shared" si="58"/>
        <v>-0.961943999999998</v>
      </c>
      <c r="M90" s="43">
        <f t="shared" si="58"/>
        <v>1.681082</v>
      </c>
      <c r="N90" s="43">
        <f t="shared" si="58"/>
        <v>-10.4204534</v>
      </c>
      <c r="O90" s="43">
        <f t="shared" si="58"/>
        <v>-47.352768</v>
      </c>
      <c r="P90" s="43">
        <f t="shared" si="58"/>
        <v>-17.6295496</v>
      </c>
      <c r="Q90" s="43">
        <f t="shared" si="58"/>
        <v>-10.958332</v>
      </c>
      <c r="R90" s="43">
        <f t="shared" si="58"/>
        <v>-7.000743</v>
      </c>
      <c r="S90" s="43">
        <f t="shared" si="58"/>
        <v>-10.939032</v>
      </c>
      <c r="T90" s="43">
        <f t="shared" si="58"/>
        <v>-6.68516159999997</v>
      </c>
      <c r="U90" s="43">
        <f t="shared" si="58"/>
        <v>0.946967999999991</v>
      </c>
      <c r="V90" s="43">
        <f t="shared" si="58"/>
        <v>-1.81199200000001</v>
      </c>
      <c r="W90" s="43">
        <f t="shared" si="58"/>
        <v>-35.4676188</v>
      </c>
      <c r="X90" s="43">
        <f t="shared" si="58"/>
        <v>-49.932584</v>
      </c>
      <c r="Y90" s="43">
        <f t="shared" si="58"/>
        <v>-1.79629919999999</v>
      </c>
      <c r="Z90" s="43">
        <f t="shared" si="58"/>
        <v>-32.9075022</v>
      </c>
      <c r="AA90" s="43">
        <f t="shared" si="58"/>
        <v>-17.9603476</v>
      </c>
      <c r="AB90" s="43">
        <f t="shared" si="58"/>
        <v>-4.875017</v>
      </c>
      <c r="AC90" s="43">
        <f t="shared" si="58"/>
        <v>-3.02689680000001</v>
      </c>
    </row>
    <row r="91" spans="1:29">
      <c r="A91" s="32"/>
      <c r="B91" s="33"/>
      <c r="C91" s="39" t="s">
        <v>50</v>
      </c>
      <c r="D91" s="37"/>
      <c r="E91" s="44">
        <f t="shared" ref="E91:AC91" si="59">E89-E90</f>
        <v>0</v>
      </c>
      <c r="F91" s="26">
        <f t="shared" si="59"/>
        <v>0</v>
      </c>
      <c r="G91" s="26">
        <f t="shared" si="59"/>
        <v>0</v>
      </c>
      <c r="H91" s="26">
        <f t="shared" si="59"/>
        <v>0</v>
      </c>
      <c r="I91" s="26">
        <f t="shared" si="59"/>
        <v>0</v>
      </c>
      <c r="J91" s="26">
        <f t="shared" si="59"/>
        <v>0</v>
      </c>
      <c r="K91" s="26">
        <f t="shared" si="59"/>
        <v>0</v>
      </c>
      <c r="L91" s="26">
        <f t="shared" si="59"/>
        <v>0</v>
      </c>
      <c r="M91" s="26">
        <f t="shared" si="59"/>
        <v>0</v>
      </c>
      <c r="N91" s="26">
        <f t="shared" si="59"/>
        <v>0</v>
      </c>
      <c r="O91" s="26">
        <f t="shared" si="59"/>
        <v>0</v>
      </c>
      <c r="P91" s="26">
        <f t="shared" si="59"/>
        <v>0</v>
      </c>
      <c r="Q91" s="26">
        <f t="shared" si="59"/>
        <v>0</v>
      </c>
      <c r="R91" s="26">
        <f t="shared" si="59"/>
        <v>0</v>
      </c>
      <c r="S91" s="26">
        <f t="shared" si="59"/>
        <v>0</v>
      </c>
      <c r="T91" s="26">
        <f t="shared" si="59"/>
        <v>0</v>
      </c>
      <c r="U91" s="26">
        <f t="shared" si="59"/>
        <v>0</v>
      </c>
      <c r="V91" s="26">
        <f t="shared" si="59"/>
        <v>0</v>
      </c>
      <c r="W91" s="26">
        <f t="shared" si="59"/>
        <v>0</v>
      </c>
      <c r="X91" s="26">
        <f t="shared" si="59"/>
        <v>0</v>
      </c>
      <c r="Y91" s="26">
        <f t="shared" si="59"/>
        <v>0</v>
      </c>
      <c r="Z91" s="26">
        <f t="shared" si="59"/>
        <v>0</v>
      </c>
      <c r="AA91" s="26">
        <f t="shared" si="59"/>
        <v>0</v>
      </c>
      <c r="AB91" s="26">
        <f t="shared" si="59"/>
        <v>0</v>
      </c>
      <c r="AC91" s="26">
        <f t="shared" si="59"/>
        <v>0</v>
      </c>
    </row>
    <row r="92" spans="1:29">
      <c r="A92" s="29">
        <v>46002</v>
      </c>
      <c r="B92" s="30">
        <f>E99</f>
        <v>82.1687916</v>
      </c>
      <c r="C92" s="31" t="s">
        <v>47</v>
      </c>
      <c r="D92" s="31" t="s">
        <v>48</v>
      </c>
      <c r="E92" s="42">
        <f t="shared" si="56"/>
        <v>61.7485</v>
      </c>
      <c r="F92" s="46">
        <v>1.5969</v>
      </c>
      <c r="G92" s="46">
        <v>1.53216</v>
      </c>
      <c r="H92" s="46">
        <v>1.2836</v>
      </c>
      <c r="I92" s="46">
        <v>1.34496</v>
      </c>
      <c r="J92" s="46">
        <v>1.28096</v>
      </c>
      <c r="K92" s="46">
        <v>1.2888</v>
      </c>
      <c r="L92" s="46">
        <v>1.2504</v>
      </c>
      <c r="M92" s="46">
        <v>1.70316</v>
      </c>
      <c r="N92" s="46">
        <v>3.9873</v>
      </c>
      <c r="O92" s="46">
        <v>4.4796</v>
      </c>
      <c r="P92" s="46">
        <v>3.42081</v>
      </c>
      <c r="Q92" s="46">
        <v>2.80624</v>
      </c>
      <c r="R92" s="46">
        <v>2.2188</v>
      </c>
      <c r="S92" s="46">
        <v>2.68704</v>
      </c>
      <c r="T92" s="46">
        <v>3.30344</v>
      </c>
      <c r="U92" s="46">
        <v>3.19184</v>
      </c>
      <c r="V92" s="46">
        <v>3.83481</v>
      </c>
      <c r="W92" s="46">
        <v>4.29748</v>
      </c>
      <c r="X92" s="46">
        <v>3.3924</v>
      </c>
      <c r="Y92" s="46">
        <v>3.6102</v>
      </c>
      <c r="Z92" s="46">
        <v>3.1383</v>
      </c>
      <c r="AA92" s="46">
        <v>2.5487</v>
      </c>
      <c r="AB92" s="46">
        <v>1.9217</v>
      </c>
      <c r="AC92" s="46">
        <v>1.6289</v>
      </c>
    </row>
    <row r="93" spans="1:29">
      <c r="A93" s="32"/>
      <c r="B93" s="33"/>
      <c r="C93" s="32"/>
      <c r="D93" s="6" t="s">
        <v>49</v>
      </c>
      <c r="E93" s="42">
        <f t="shared" si="56"/>
        <v>67.6875</v>
      </c>
      <c r="F93" s="47">
        <v>1.5969</v>
      </c>
      <c r="G93" s="47">
        <v>1.7024</v>
      </c>
      <c r="H93" s="47">
        <v>1.6045</v>
      </c>
      <c r="I93" s="47">
        <v>1.6812</v>
      </c>
      <c r="J93" s="47">
        <v>1.6012</v>
      </c>
      <c r="K93" s="47">
        <v>1.611</v>
      </c>
      <c r="L93" s="47">
        <v>1.563</v>
      </c>
      <c r="M93" s="47">
        <v>1.8924</v>
      </c>
      <c r="N93" s="47">
        <v>3.9873</v>
      </c>
      <c r="O93" s="47">
        <v>4.4796</v>
      </c>
      <c r="P93" s="47">
        <v>3.8009</v>
      </c>
      <c r="Q93" s="47">
        <v>3.5078</v>
      </c>
      <c r="R93" s="47">
        <v>2.7735</v>
      </c>
      <c r="S93" s="47">
        <v>3.3588</v>
      </c>
      <c r="T93" s="47">
        <v>4.1293</v>
      </c>
      <c r="U93" s="47">
        <v>3.9898</v>
      </c>
      <c r="V93" s="47">
        <v>4.2609</v>
      </c>
      <c r="W93" s="47">
        <v>3.9068</v>
      </c>
      <c r="X93" s="47">
        <v>3.3924</v>
      </c>
      <c r="Y93" s="47">
        <v>3.6102</v>
      </c>
      <c r="Z93" s="47">
        <v>3.1383</v>
      </c>
      <c r="AA93" s="47">
        <v>2.5487</v>
      </c>
      <c r="AB93" s="47">
        <v>1.9217</v>
      </c>
      <c r="AC93" s="47">
        <v>1.6289</v>
      </c>
    </row>
    <row r="94" spans="1:29">
      <c r="A94" s="32"/>
      <c r="B94" s="33"/>
      <c r="C94" s="34"/>
      <c r="D94" s="31" t="s">
        <v>50</v>
      </c>
      <c r="E94" s="26">
        <f t="shared" ref="E94:AC94" si="60">E92-E93</f>
        <v>-5.93900000000001</v>
      </c>
      <c r="F94" s="26">
        <f t="shared" si="60"/>
        <v>0</v>
      </c>
      <c r="G94" s="26">
        <f t="shared" si="60"/>
        <v>-0.17024</v>
      </c>
      <c r="H94" s="26">
        <f t="shared" si="60"/>
        <v>-0.3209</v>
      </c>
      <c r="I94" s="26">
        <f t="shared" si="60"/>
        <v>-0.33624</v>
      </c>
      <c r="J94" s="26">
        <f t="shared" si="60"/>
        <v>-0.32024</v>
      </c>
      <c r="K94" s="26">
        <f t="shared" si="60"/>
        <v>-0.3222</v>
      </c>
      <c r="L94" s="26">
        <f t="shared" si="60"/>
        <v>-0.3126</v>
      </c>
      <c r="M94" s="26">
        <f t="shared" si="60"/>
        <v>-0.18924</v>
      </c>
      <c r="N94" s="26">
        <f t="shared" si="60"/>
        <v>0</v>
      </c>
      <c r="O94" s="26">
        <f t="shared" si="60"/>
        <v>0</v>
      </c>
      <c r="P94" s="26">
        <f t="shared" si="60"/>
        <v>-0.38009</v>
      </c>
      <c r="Q94" s="26">
        <f t="shared" si="60"/>
        <v>-0.70156</v>
      </c>
      <c r="R94" s="26">
        <f t="shared" si="60"/>
        <v>-0.5547</v>
      </c>
      <c r="S94" s="26">
        <f t="shared" si="60"/>
        <v>-0.67176</v>
      </c>
      <c r="T94" s="26">
        <f t="shared" si="60"/>
        <v>-0.82586</v>
      </c>
      <c r="U94" s="26">
        <f t="shared" si="60"/>
        <v>-0.79796</v>
      </c>
      <c r="V94" s="26">
        <f t="shared" si="60"/>
        <v>-0.42609</v>
      </c>
      <c r="W94" s="26">
        <f t="shared" si="60"/>
        <v>0.39068</v>
      </c>
      <c r="X94" s="26">
        <f t="shared" si="60"/>
        <v>0</v>
      </c>
      <c r="Y94" s="26">
        <f t="shared" si="60"/>
        <v>0</v>
      </c>
      <c r="Z94" s="26">
        <f t="shared" si="60"/>
        <v>0</v>
      </c>
      <c r="AA94" s="26">
        <f t="shared" si="60"/>
        <v>0</v>
      </c>
      <c r="AB94" s="26">
        <f t="shared" si="60"/>
        <v>0</v>
      </c>
      <c r="AC94" s="26">
        <f t="shared" si="60"/>
        <v>0</v>
      </c>
    </row>
    <row r="95" spans="1:29">
      <c r="A95" s="32"/>
      <c r="B95" s="33"/>
      <c r="C95" s="35" t="s">
        <v>51</v>
      </c>
      <c r="D95" s="31" t="s">
        <v>48</v>
      </c>
      <c r="E95" s="31">
        <f>AVERAGE(F95:AC95)</f>
        <v>312.0125</v>
      </c>
      <c r="F95" s="43">
        <v>331.18</v>
      </c>
      <c r="G95" s="43">
        <v>320.34</v>
      </c>
      <c r="H95" s="43">
        <v>317.1</v>
      </c>
      <c r="I95" s="43">
        <v>307.13</v>
      </c>
      <c r="J95" s="43">
        <v>304.79</v>
      </c>
      <c r="K95" s="43">
        <v>302.37</v>
      </c>
      <c r="L95" s="43">
        <v>313.63</v>
      </c>
      <c r="M95" s="43">
        <v>319.27</v>
      </c>
      <c r="N95" s="43">
        <v>332.99</v>
      </c>
      <c r="O95" s="43">
        <v>320.77</v>
      </c>
      <c r="P95" s="43">
        <v>288.25</v>
      </c>
      <c r="Q95" s="43">
        <v>265.57</v>
      </c>
      <c r="R95" s="43">
        <v>235.61</v>
      </c>
      <c r="S95" s="43">
        <v>254.33</v>
      </c>
      <c r="T95" s="43">
        <v>263.98</v>
      </c>
      <c r="U95" s="43">
        <v>276.09</v>
      </c>
      <c r="V95" s="43">
        <v>307.37</v>
      </c>
      <c r="W95" s="43">
        <v>348.52</v>
      </c>
      <c r="X95" s="43">
        <v>389.59</v>
      </c>
      <c r="Y95" s="43">
        <v>376.19</v>
      </c>
      <c r="Z95" s="43">
        <v>360.48</v>
      </c>
      <c r="AA95" s="43">
        <v>341.7</v>
      </c>
      <c r="AB95" s="43">
        <v>318.27</v>
      </c>
      <c r="AC95" s="43">
        <v>292.78</v>
      </c>
    </row>
    <row r="96" spans="1:29">
      <c r="A96" s="32"/>
      <c r="B96" s="33"/>
      <c r="C96" s="32"/>
      <c r="D96" s="31" t="s">
        <v>49</v>
      </c>
      <c r="E96" s="31">
        <f>AVERAGE(F96:AC96)</f>
        <v>309.16125</v>
      </c>
      <c r="F96" s="43">
        <v>302.21</v>
      </c>
      <c r="G96" s="43">
        <v>308</v>
      </c>
      <c r="H96" s="43">
        <v>303.48</v>
      </c>
      <c r="I96" s="43">
        <v>291.42</v>
      </c>
      <c r="J96" s="43">
        <v>288.17</v>
      </c>
      <c r="K96" s="43">
        <v>294.67</v>
      </c>
      <c r="L96" s="43">
        <v>302.61</v>
      </c>
      <c r="M96" s="43">
        <v>315.37</v>
      </c>
      <c r="N96" s="43">
        <v>338.08</v>
      </c>
      <c r="O96" s="43">
        <v>358.58</v>
      </c>
      <c r="P96" s="43">
        <v>298.08</v>
      </c>
      <c r="Q96" s="43">
        <v>255.73</v>
      </c>
      <c r="R96" s="43">
        <v>194.38</v>
      </c>
      <c r="S96" s="43">
        <v>220.57</v>
      </c>
      <c r="T96" s="43">
        <v>256.29</v>
      </c>
      <c r="U96" s="43">
        <v>278.14</v>
      </c>
      <c r="V96" s="43">
        <v>316.94</v>
      </c>
      <c r="W96" s="43">
        <v>371.75</v>
      </c>
      <c r="X96" s="43">
        <v>432.88</v>
      </c>
      <c r="Y96" s="43">
        <v>360.85</v>
      </c>
      <c r="Z96" s="43">
        <v>372.03</v>
      </c>
      <c r="AA96" s="43">
        <v>356.67</v>
      </c>
      <c r="AB96" s="43">
        <v>312.86</v>
      </c>
      <c r="AC96" s="43">
        <v>290.11</v>
      </c>
    </row>
    <row r="97" spans="1:29">
      <c r="A97" s="32"/>
      <c r="B97" s="33"/>
      <c r="C97" s="34"/>
      <c r="D97" s="31" t="s">
        <v>50</v>
      </c>
      <c r="E97" s="26">
        <f t="shared" ref="E97:AC97" si="61">E95-E96</f>
        <v>2.85124999999999</v>
      </c>
      <c r="F97" s="26">
        <f t="shared" si="61"/>
        <v>28.97</v>
      </c>
      <c r="G97" s="26">
        <f t="shared" si="61"/>
        <v>12.34</v>
      </c>
      <c r="H97" s="26">
        <f t="shared" si="61"/>
        <v>13.62</v>
      </c>
      <c r="I97" s="26">
        <f t="shared" si="61"/>
        <v>15.71</v>
      </c>
      <c r="J97" s="26">
        <f t="shared" si="61"/>
        <v>16.62</v>
      </c>
      <c r="K97" s="26">
        <f t="shared" si="61"/>
        <v>7.69999999999999</v>
      </c>
      <c r="L97" s="26">
        <f t="shared" si="61"/>
        <v>11.02</v>
      </c>
      <c r="M97" s="26">
        <f t="shared" si="61"/>
        <v>3.89999999999998</v>
      </c>
      <c r="N97" s="26">
        <f t="shared" si="61"/>
        <v>-5.08999999999997</v>
      </c>
      <c r="O97" s="26">
        <f t="shared" si="61"/>
        <v>-37.81</v>
      </c>
      <c r="P97" s="26">
        <f t="shared" si="61"/>
        <v>-9.82999999999998</v>
      </c>
      <c r="Q97" s="26">
        <f t="shared" si="61"/>
        <v>9.84</v>
      </c>
      <c r="R97" s="26">
        <f t="shared" si="61"/>
        <v>41.23</v>
      </c>
      <c r="S97" s="26">
        <f t="shared" si="61"/>
        <v>33.76</v>
      </c>
      <c r="T97" s="26">
        <f t="shared" si="61"/>
        <v>7.69</v>
      </c>
      <c r="U97" s="26">
        <f t="shared" si="61"/>
        <v>-2.05000000000001</v>
      </c>
      <c r="V97" s="26">
        <f t="shared" si="61"/>
        <v>-9.56999999999999</v>
      </c>
      <c r="W97" s="26">
        <f t="shared" si="61"/>
        <v>-23.23</v>
      </c>
      <c r="X97" s="26">
        <f t="shared" si="61"/>
        <v>-43.29</v>
      </c>
      <c r="Y97" s="26">
        <f t="shared" si="61"/>
        <v>15.34</v>
      </c>
      <c r="Z97" s="26">
        <f t="shared" si="61"/>
        <v>-11.55</v>
      </c>
      <c r="AA97" s="26">
        <f t="shared" si="61"/>
        <v>-14.97</v>
      </c>
      <c r="AB97" s="26">
        <f t="shared" si="61"/>
        <v>5.40999999999997</v>
      </c>
      <c r="AC97" s="26">
        <f t="shared" si="61"/>
        <v>2.66999999999996</v>
      </c>
    </row>
    <row r="98" spans="1:29">
      <c r="A98" s="32"/>
      <c r="B98" s="33"/>
      <c r="C98" s="36" t="s">
        <v>52</v>
      </c>
      <c r="D98" s="37"/>
      <c r="E98" s="26">
        <f t="shared" ref="E98:E102" si="62">SUM(F98:AC98)</f>
        <v>82.1687916</v>
      </c>
      <c r="F98" s="48">
        <f t="shared" ref="F98:AC98" si="63">-F94*F97</f>
        <v>0</v>
      </c>
      <c r="G98" s="48">
        <f t="shared" si="63"/>
        <v>2.10076159999999</v>
      </c>
      <c r="H98" s="48">
        <f t="shared" si="63"/>
        <v>4.370658</v>
      </c>
      <c r="I98" s="48">
        <f t="shared" si="63"/>
        <v>5.28233039999999</v>
      </c>
      <c r="J98" s="48">
        <f t="shared" si="63"/>
        <v>5.3223888</v>
      </c>
      <c r="K98" s="48">
        <f t="shared" si="63"/>
        <v>2.48094</v>
      </c>
      <c r="L98" s="48">
        <f t="shared" si="63"/>
        <v>3.44485199999999</v>
      </c>
      <c r="M98" s="48">
        <f t="shared" si="63"/>
        <v>0.738035999999996</v>
      </c>
      <c r="N98" s="48">
        <f t="shared" si="63"/>
        <v>0</v>
      </c>
      <c r="O98" s="48">
        <f t="shared" si="63"/>
        <v>0</v>
      </c>
      <c r="P98" s="48">
        <f t="shared" si="63"/>
        <v>-3.73628469999999</v>
      </c>
      <c r="Q98" s="48">
        <f t="shared" si="63"/>
        <v>6.9033504</v>
      </c>
      <c r="R98" s="48">
        <f t="shared" si="63"/>
        <v>22.870281</v>
      </c>
      <c r="S98" s="48">
        <f t="shared" si="63"/>
        <v>22.6786176</v>
      </c>
      <c r="T98" s="48">
        <f t="shared" si="63"/>
        <v>6.3508634</v>
      </c>
      <c r="U98" s="48">
        <f t="shared" si="63"/>
        <v>-1.63581800000001</v>
      </c>
      <c r="V98" s="48">
        <f t="shared" si="63"/>
        <v>-4.0776813</v>
      </c>
      <c r="W98" s="48">
        <f t="shared" si="63"/>
        <v>9.07549640000001</v>
      </c>
      <c r="X98" s="48">
        <f t="shared" si="63"/>
        <v>0</v>
      </c>
      <c r="Y98" s="48">
        <f t="shared" si="63"/>
        <v>0</v>
      </c>
      <c r="Z98" s="48">
        <f t="shared" si="63"/>
        <v>0</v>
      </c>
      <c r="AA98" s="48">
        <f t="shared" si="63"/>
        <v>0</v>
      </c>
      <c r="AB98" s="48">
        <f t="shared" si="63"/>
        <v>0</v>
      </c>
      <c r="AC98" s="48">
        <f t="shared" si="63"/>
        <v>0</v>
      </c>
    </row>
    <row r="99" spans="1:29">
      <c r="A99" s="32"/>
      <c r="B99" s="33"/>
      <c r="C99" s="38" t="s">
        <v>53</v>
      </c>
      <c r="D99" s="37"/>
      <c r="E99" s="26">
        <f t="shared" si="62"/>
        <v>82.1687916</v>
      </c>
      <c r="F99" s="48">
        <f t="shared" ref="F99:AC99" si="64">IF(F98&gt;0,ABS(MIN(F93*0.2,ABS(F94))*F97),F98)</f>
        <v>0</v>
      </c>
      <c r="G99" s="48">
        <f t="shared" si="64"/>
        <v>2.10076159999999</v>
      </c>
      <c r="H99" s="48">
        <f t="shared" si="64"/>
        <v>4.370658</v>
      </c>
      <c r="I99" s="48">
        <f t="shared" si="64"/>
        <v>5.28233039999999</v>
      </c>
      <c r="J99" s="48">
        <f t="shared" si="64"/>
        <v>5.3223888</v>
      </c>
      <c r="K99" s="48">
        <f t="shared" si="64"/>
        <v>2.48094</v>
      </c>
      <c r="L99" s="48">
        <f t="shared" si="64"/>
        <v>3.44485199999999</v>
      </c>
      <c r="M99" s="48">
        <f t="shared" si="64"/>
        <v>0.738035999999996</v>
      </c>
      <c r="N99" s="48">
        <f t="shared" si="64"/>
        <v>0</v>
      </c>
      <c r="O99" s="48">
        <f t="shared" si="64"/>
        <v>0</v>
      </c>
      <c r="P99" s="48">
        <f t="shared" si="64"/>
        <v>-3.73628469999999</v>
      </c>
      <c r="Q99" s="48">
        <f t="shared" si="64"/>
        <v>6.9033504</v>
      </c>
      <c r="R99" s="48">
        <f t="shared" si="64"/>
        <v>22.870281</v>
      </c>
      <c r="S99" s="48">
        <f t="shared" si="64"/>
        <v>22.6786176</v>
      </c>
      <c r="T99" s="48">
        <f t="shared" si="64"/>
        <v>6.3508634</v>
      </c>
      <c r="U99" s="48">
        <f t="shared" si="64"/>
        <v>-1.63581800000001</v>
      </c>
      <c r="V99" s="48">
        <f t="shared" si="64"/>
        <v>-4.0776813</v>
      </c>
      <c r="W99" s="48">
        <f t="shared" si="64"/>
        <v>9.07549640000001</v>
      </c>
      <c r="X99" s="48">
        <f t="shared" si="64"/>
        <v>0</v>
      </c>
      <c r="Y99" s="48">
        <f t="shared" si="64"/>
        <v>0</v>
      </c>
      <c r="Z99" s="48">
        <f t="shared" si="64"/>
        <v>0</v>
      </c>
      <c r="AA99" s="48">
        <f t="shared" si="64"/>
        <v>0</v>
      </c>
      <c r="AB99" s="48">
        <f t="shared" si="64"/>
        <v>0</v>
      </c>
      <c r="AC99" s="48">
        <f t="shared" si="64"/>
        <v>0</v>
      </c>
    </row>
    <row r="100" spans="1:29">
      <c r="A100" s="32"/>
      <c r="B100" s="33"/>
      <c r="C100" s="39" t="s">
        <v>50</v>
      </c>
      <c r="D100" s="37"/>
      <c r="E100" s="44">
        <f t="shared" ref="E100:AC100" si="65">E98-E99</f>
        <v>0</v>
      </c>
      <c r="F100" s="26">
        <f t="shared" si="65"/>
        <v>0</v>
      </c>
      <c r="G100" s="26">
        <f t="shared" si="65"/>
        <v>0</v>
      </c>
      <c r="H100" s="26">
        <f t="shared" si="65"/>
        <v>0</v>
      </c>
      <c r="I100" s="26">
        <f t="shared" si="65"/>
        <v>0</v>
      </c>
      <c r="J100" s="26">
        <f t="shared" si="65"/>
        <v>0</v>
      </c>
      <c r="K100" s="26">
        <f t="shared" si="65"/>
        <v>0</v>
      </c>
      <c r="L100" s="26">
        <f t="shared" si="65"/>
        <v>0</v>
      </c>
      <c r="M100" s="26">
        <f t="shared" si="65"/>
        <v>0</v>
      </c>
      <c r="N100" s="26">
        <f t="shared" si="65"/>
        <v>0</v>
      </c>
      <c r="O100" s="26">
        <f t="shared" si="65"/>
        <v>0</v>
      </c>
      <c r="P100" s="26">
        <f t="shared" si="65"/>
        <v>0</v>
      </c>
      <c r="Q100" s="26">
        <f t="shared" si="65"/>
        <v>0</v>
      </c>
      <c r="R100" s="26">
        <f t="shared" si="65"/>
        <v>0</v>
      </c>
      <c r="S100" s="26">
        <f t="shared" si="65"/>
        <v>0</v>
      </c>
      <c r="T100" s="26">
        <f t="shared" si="65"/>
        <v>0</v>
      </c>
      <c r="U100" s="26">
        <f t="shared" si="65"/>
        <v>0</v>
      </c>
      <c r="V100" s="26">
        <f t="shared" si="65"/>
        <v>0</v>
      </c>
      <c r="W100" s="26">
        <f t="shared" si="65"/>
        <v>0</v>
      </c>
      <c r="X100" s="26">
        <f t="shared" si="65"/>
        <v>0</v>
      </c>
      <c r="Y100" s="26">
        <f t="shared" si="65"/>
        <v>0</v>
      </c>
      <c r="Z100" s="26">
        <f t="shared" si="65"/>
        <v>0</v>
      </c>
      <c r="AA100" s="26">
        <f t="shared" si="65"/>
        <v>0</v>
      </c>
      <c r="AB100" s="26">
        <f t="shared" si="65"/>
        <v>0</v>
      </c>
      <c r="AC100" s="26">
        <f t="shared" si="65"/>
        <v>0</v>
      </c>
    </row>
    <row r="101" spans="1:29">
      <c r="A101" s="29">
        <v>46003</v>
      </c>
      <c r="B101" s="30">
        <f>E108</f>
        <v>389.0823342</v>
      </c>
      <c r="C101" s="31" t="s">
        <v>47</v>
      </c>
      <c r="D101" s="31" t="s">
        <v>48</v>
      </c>
      <c r="E101" s="42">
        <f t="shared" si="62"/>
        <v>54.05831</v>
      </c>
      <c r="F101" s="47">
        <v>1.55736</v>
      </c>
      <c r="G101" s="47">
        <v>1.54233</v>
      </c>
      <c r="H101" s="47">
        <v>1.55403</v>
      </c>
      <c r="I101" s="47">
        <v>1.48887</v>
      </c>
      <c r="J101" s="47">
        <v>1.50705</v>
      </c>
      <c r="K101" s="47">
        <v>1.50993</v>
      </c>
      <c r="L101" s="47">
        <v>1.47366</v>
      </c>
      <c r="M101" s="47">
        <v>1.82304</v>
      </c>
      <c r="N101" s="47">
        <v>3.474</v>
      </c>
      <c r="O101" s="47">
        <v>3.23872</v>
      </c>
      <c r="P101" s="47">
        <v>2.78848</v>
      </c>
      <c r="Q101" s="47">
        <v>2.5744</v>
      </c>
      <c r="R101" s="47">
        <v>2.18</v>
      </c>
      <c r="S101" s="47">
        <v>2.55008</v>
      </c>
      <c r="T101" s="47">
        <v>2.95872</v>
      </c>
      <c r="U101" s="47">
        <v>2.94224</v>
      </c>
      <c r="V101" s="47">
        <v>3.39399</v>
      </c>
      <c r="W101" s="47">
        <v>2.9204</v>
      </c>
      <c r="X101" s="47">
        <v>2.70408</v>
      </c>
      <c r="Y101" s="47">
        <v>2.68216</v>
      </c>
      <c r="Z101" s="47">
        <v>2.33976</v>
      </c>
      <c r="AA101" s="47">
        <v>1.8744</v>
      </c>
      <c r="AB101" s="47">
        <v>1.44152</v>
      </c>
      <c r="AC101" s="47">
        <v>1.53909</v>
      </c>
    </row>
    <row r="102" spans="1:29">
      <c r="A102" s="32"/>
      <c r="B102" s="33"/>
      <c r="C102" s="32"/>
      <c r="D102" s="6" t="s">
        <v>49</v>
      </c>
      <c r="E102" s="42">
        <f t="shared" si="62"/>
        <v>64.6752</v>
      </c>
      <c r="F102" s="47">
        <v>1.7304</v>
      </c>
      <c r="G102" s="47">
        <v>1.7137</v>
      </c>
      <c r="H102" s="47">
        <v>1.7267</v>
      </c>
      <c r="I102" s="47">
        <v>1.6543</v>
      </c>
      <c r="J102" s="47">
        <v>1.6745</v>
      </c>
      <c r="K102" s="47">
        <v>1.6777</v>
      </c>
      <c r="L102" s="47">
        <v>1.6374</v>
      </c>
      <c r="M102" s="47">
        <v>2.0256</v>
      </c>
      <c r="N102" s="47">
        <v>3.86</v>
      </c>
      <c r="O102" s="47">
        <v>4.0484</v>
      </c>
      <c r="P102" s="47">
        <v>3.4856</v>
      </c>
      <c r="Q102" s="47">
        <v>3.218</v>
      </c>
      <c r="R102" s="47">
        <v>2.725</v>
      </c>
      <c r="S102" s="47">
        <v>3.1876</v>
      </c>
      <c r="T102" s="47">
        <v>3.6984</v>
      </c>
      <c r="U102" s="47">
        <v>3.6778</v>
      </c>
      <c r="V102" s="47">
        <v>3.7711</v>
      </c>
      <c r="W102" s="47">
        <v>3.6505</v>
      </c>
      <c r="X102" s="47">
        <v>3.3801</v>
      </c>
      <c r="Y102" s="47">
        <v>3.3527</v>
      </c>
      <c r="Z102" s="47">
        <v>2.9247</v>
      </c>
      <c r="AA102" s="47">
        <v>2.343</v>
      </c>
      <c r="AB102" s="47">
        <v>1.8019</v>
      </c>
      <c r="AC102" s="47">
        <v>1.7101</v>
      </c>
    </row>
    <row r="103" spans="1:29">
      <c r="A103" s="32"/>
      <c r="B103" s="33"/>
      <c r="C103" s="34"/>
      <c r="D103" s="31" t="s">
        <v>50</v>
      </c>
      <c r="E103" s="26">
        <f>E101-E102</f>
        <v>-10.61689</v>
      </c>
      <c r="F103" s="47">
        <f t="shared" ref="F103:AC103" si="66">(F101-F102)*1</f>
        <v>-0.17304</v>
      </c>
      <c r="G103" s="47">
        <f t="shared" si="66"/>
        <v>-0.17137</v>
      </c>
      <c r="H103" s="47">
        <f t="shared" si="66"/>
        <v>-0.17267</v>
      </c>
      <c r="I103" s="47">
        <f t="shared" si="66"/>
        <v>-0.16543</v>
      </c>
      <c r="J103" s="47">
        <f t="shared" si="66"/>
        <v>-0.16745</v>
      </c>
      <c r="K103" s="47">
        <f t="shared" si="66"/>
        <v>-0.16777</v>
      </c>
      <c r="L103" s="47">
        <f t="shared" si="66"/>
        <v>-0.16374</v>
      </c>
      <c r="M103" s="47">
        <f t="shared" si="66"/>
        <v>-0.20256</v>
      </c>
      <c r="N103" s="47">
        <f t="shared" si="66"/>
        <v>-0.386</v>
      </c>
      <c r="O103" s="47">
        <f t="shared" si="66"/>
        <v>-0.80968</v>
      </c>
      <c r="P103" s="47">
        <f t="shared" si="66"/>
        <v>-0.69712</v>
      </c>
      <c r="Q103" s="47">
        <f t="shared" si="66"/>
        <v>-0.6436</v>
      </c>
      <c r="R103" s="47">
        <f t="shared" si="66"/>
        <v>-0.545</v>
      </c>
      <c r="S103" s="47">
        <f t="shared" si="66"/>
        <v>-0.63752</v>
      </c>
      <c r="T103" s="47">
        <f t="shared" si="66"/>
        <v>-0.73968</v>
      </c>
      <c r="U103" s="47">
        <f t="shared" si="66"/>
        <v>-0.73556</v>
      </c>
      <c r="V103" s="47">
        <f t="shared" si="66"/>
        <v>-0.37711</v>
      </c>
      <c r="W103" s="47">
        <f t="shared" si="66"/>
        <v>-0.7301</v>
      </c>
      <c r="X103" s="47">
        <f t="shared" si="66"/>
        <v>-0.67602</v>
      </c>
      <c r="Y103" s="47">
        <f t="shared" si="66"/>
        <v>-0.67054</v>
      </c>
      <c r="Z103" s="47">
        <f t="shared" si="66"/>
        <v>-0.58494</v>
      </c>
      <c r="AA103" s="47">
        <f t="shared" si="66"/>
        <v>-0.4686</v>
      </c>
      <c r="AB103" s="47">
        <f t="shared" si="66"/>
        <v>-0.36038</v>
      </c>
      <c r="AC103" s="47">
        <f t="shared" si="66"/>
        <v>-0.17101</v>
      </c>
    </row>
    <row r="104" spans="1:29">
      <c r="A104" s="32"/>
      <c r="B104" s="33"/>
      <c r="C104" s="35" t="s">
        <v>51</v>
      </c>
      <c r="D104" s="31" t="s">
        <v>48</v>
      </c>
      <c r="E104" s="31">
        <f>AVERAGE(F104:AC104)</f>
        <v>301.190416666667</v>
      </c>
      <c r="F104" s="47">
        <v>313</v>
      </c>
      <c r="G104" s="47">
        <v>304.8</v>
      </c>
      <c r="H104" s="47">
        <v>299.09</v>
      </c>
      <c r="I104" s="47">
        <v>292.49</v>
      </c>
      <c r="J104" s="47">
        <v>286.09</v>
      </c>
      <c r="K104" s="47">
        <v>284.95</v>
      </c>
      <c r="L104" s="47">
        <v>297.09</v>
      </c>
      <c r="M104" s="47">
        <v>302.05</v>
      </c>
      <c r="N104" s="47">
        <v>316.7</v>
      </c>
      <c r="O104" s="47">
        <v>306.18</v>
      </c>
      <c r="P104" s="47">
        <v>280.3</v>
      </c>
      <c r="Q104" s="47">
        <v>259.15</v>
      </c>
      <c r="R104" s="47">
        <v>227.53</v>
      </c>
      <c r="S104" s="47">
        <v>244.49</v>
      </c>
      <c r="T104" s="47">
        <v>259.27</v>
      </c>
      <c r="U104" s="47">
        <v>272.37</v>
      </c>
      <c r="V104" s="47">
        <v>304.93</v>
      </c>
      <c r="W104" s="47">
        <v>333.99</v>
      </c>
      <c r="X104" s="47">
        <v>378.47</v>
      </c>
      <c r="Y104" s="47">
        <v>355.23</v>
      </c>
      <c r="Z104" s="47">
        <v>346.89</v>
      </c>
      <c r="AA104" s="47">
        <v>341.27</v>
      </c>
      <c r="AB104" s="47">
        <v>323.28</v>
      </c>
      <c r="AC104" s="47">
        <v>298.96</v>
      </c>
    </row>
    <row r="105" spans="1:29">
      <c r="A105" s="32"/>
      <c r="B105" s="33"/>
      <c r="C105" s="32"/>
      <c r="D105" s="31" t="s">
        <v>49</v>
      </c>
      <c r="E105" s="31">
        <f>AVERAGE(F105:AC105)</f>
        <v>271.834166666667</v>
      </c>
      <c r="F105" s="47">
        <v>299.62</v>
      </c>
      <c r="G105" s="47">
        <v>292.17</v>
      </c>
      <c r="H105" s="47">
        <v>287.5</v>
      </c>
      <c r="I105" s="47">
        <v>283.49</v>
      </c>
      <c r="J105" s="47">
        <v>275.9</v>
      </c>
      <c r="K105" s="47">
        <v>278.83</v>
      </c>
      <c r="L105" s="47">
        <v>293.74</v>
      </c>
      <c r="M105" s="47">
        <v>303.2</v>
      </c>
      <c r="N105" s="47">
        <v>308.29</v>
      </c>
      <c r="O105" s="47">
        <v>282.42</v>
      </c>
      <c r="P105" s="47">
        <v>244.4</v>
      </c>
      <c r="Q105" s="47">
        <v>189.45</v>
      </c>
      <c r="R105" s="47">
        <v>56.64</v>
      </c>
      <c r="S105" s="47">
        <v>124</v>
      </c>
      <c r="T105" s="47">
        <v>207.72</v>
      </c>
      <c r="U105" s="47">
        <v>257.08</v>
      </c>
      <c r="V105" s="47">
        <v>296.8</v>
      </c>
      <c r="W105" s="47">
        <v>329.65</v>
      </c>
      <c r="X105" s="47">
        <v>360.76</v>
      </c>
      <c r="Y105" s="47">
        <v>340.15</v>
      </c>
      <c r="Z105" s="47">
        <v>331.14</v>
      </c>
      <c r="AA105" s="47">
        <v>309.52</v>
      </c>
      <c r="AB105" s="47">
        <v>295.35</v>
      </c>
      <c r="AC105" s="47">
        <v>276.2</v>
      </c>
    </row>
    <row r="106" spans="1:29">
      <c r="A106" s="32"/>
      <c r="B106" s="33"/>
      <c r="C106" s="34"/>
      <c r="D106" s="31" t="s">
        <v>50</v>
      </c>
      <c r="E106" s="26">
        <f>E104-E105</f>
        <v>29.35625</v>
      </c>
      <c r="F106" s="47">
        <f t="shared" ref="F106:AC106" si="67">(F104-F105)*1</f>
        <v>13.38</v>
      </c>
      <c r="G106" s="47">
        <f t="shared" si="67"/>
        <v>12.63</v>
      </c>
      <c r="H106" s="47">
        <f t="shared" si="67"/>
        <v>11.59</v>
      </c>
      <c r="I106" s="47">
        <f t="shared" si="67"/>
        <v>9</v>
      </c>
      <c r="J106" s="47">
        <f t="shared" si="67"/>
        <v>10.19</v>
      </c>
      <c r="K106" s="47">
        <f t="shared" si="67"/>
        <v>6.12</v>
      </c>
      <c r="L106" s="47">
        <f t="shared" si="67"/>
        <v>3.34999999999997</v>
      </c>
      <c r="M106" s="47">
        <f t="shared" si="67"/>
        <v>-1.14999999999998</v>
      </c>
      <c r="N106" s="47">
        <f t="shared" si="67"/>
        <v>8.40999999999997</v>
      </c>
      <c r="O106" s="47">
        <f t="shared" si="67"/>
        <v>23.76</v>
      </c>
      <c r="P106" s="47">
        <f t="shared" si="67"/>
        <v>35.9</v>
      </c>
      <c r="Q106" s="47">
        <f t="shared" si="67"/>
        <v>69.7</v>
      </c>
      <c r="R106" s="47">
        <f t="shared" si="67"/>
        <v>170.89</v>
      </c>
      <c r="S106" s="47">
        <f t="shared" si="67"/>
        <v>120.49</v>
      </c>
      <c r="T106" s="47">
        <f t="shared" si="67"/>
        <v>51.55</v>
      </c>
      <c r="U106" s="47">
        <f t="shared" si="67"/>
        <v>15.29</v>
      </c>
      <c r="V106" s="47">
        <f t="shared" si="67"/>
        <v>8.13</v>
      </c>
      <c r="W106" s="47">
        <f t="shared" si="67"/>
        <v>4.34000000000003</v>
      </c>
      <c r="X106" s="47">
        <f t="shared" si="67"/>
        <v>17.71</v>
      </c>
      <c r="Y106" s="47">
        <f t="shared" si="67"/>
        <v>15.08</v>
      </c>
      <c r="Z106" s="47">
        <f t="shared" si="67"/>
        <v>15.75</v>
      </c>
      <c r="AA106" s="47">
        <f t="shared" si="67"/>
        <v>31.75</v>
      </c>
      <c r="AB106" s="47">
        <f t="shared" si="67"/>
        <v>27.9299999999999</v>
      </c>
      <c r="AC106" s="47">
        <f t="shared" si="67"/>
        <v>22.76</v>
      </c>
    </row>
    <row r="107" spans="1:29">
      <c r="A107" s="32"/>
      <c r="B107" s="33"/>
      <c r="C107" s="36" t="s">
        <v>52</v>
      </c>
      <c r="D107" s="37"/>
      <c r="E107" s="26">
        <f t="shared" ref="E107:E111" si="68">SUM(F107:AC107)</f>
        <v>389.0823342</v>
      </c>
      <c r="F107" s="48">
        <f t="shared" ref="F107:AC107" si="69">-F103*F106</f>
        <v>2.3152752</v>
      </c>
      <c r="G107" s="48">
        <f t="shared" si="69"/>
        <v>2.1644031</v>
      </c>
      <c r="H107" s="48">
        <f t="shared" si="69"/>
        <v>2.00124529999999</v>
      </c>
      <c r="I107" s="48">
        <f t="shared" si="69"/>
        <v>1.48887</v>
      </c>
      <c r="J107" s="48">
        <f t="shared" si="69"/>
        <v>1.7063155</v>
      </c>
      <c r="K107" s="48">
        <f t="shared" si="69"/>
        <v>1.0267524</v>
      </c>
      <c r="L107" s="48">
        <f t="shared" si="69"/>
        <v>0.548528999999994</v>
      </c>
      <c r="M107" s="48">
        <f t="shared" si="69"/>
        <v>-0.232943999999995</v>
      </c>
      <c r="N107" s="48">
        <f t="shared" si="69"/>
        <v>3.24625999999998</v>
      </c>
      <c r="O107" s="48">
        <f t="shared" si="69"/>
        <v>19.2379968</v>
      </c>
      <c r="P107" s="48">
        <f t="shared" si="69"/>
        <v>25.026608</v>
      </c>
      <c r="Q107" s="48">
        <f t="shared" si="69"/>
        <v>44.85892</v>
      </c>
      <c r="R107" s="48">
        <f t="shared" si="69"/>
        <v>93.13505</v>
      </c>
      <c r="S107" s="48">
        <f t="shared" si="69"/>
        <v>76.8147848</v>
      </c>
      <c r="T107" s="48">
        <f t="shared" si="69"/>
        <v>38.130504</v>
      </c>
      <c r="U107" s="48">
        <f t="shared" si="69"/>
        <v>11.2467124</v>
      </c>
      <c r="V107" s="48">
        <f t="shared" si="69"/>
        <v>3.0659043</v>
      </c>
      <c r="W107" s="48">
        <f t="shared" si="69"/>
        <v>3.16863400000002</v>
      </c>
      <c r="X107" s="48">
        <f t="shared" si="69"/>
        <v>11.9723142</v>
      </c>
      <c r="Y107" s="48">
        <f t="shared" si="69"/>
        <v>10.1117432</v>
      </c>
      <c r="Z107" s="48">
        <f t="shared" si="69"/>
        <v>9.212805</v>
      </c>
      <c r="AA107" s="48">
        <f t="shared" si="69"/>
        <v>14.87805</v>
      </c>
      <c r="AB107" s="48">
        <f t="shared" si="69"/>
        <v>10.0654134</v>
      </c>
      <c r="AC107" s="48">
        <f t="shared" si="69"/>
        <v>3.8921876</v>
      </c>
    </row>
    <row r="108" spans="1:29">
      <c r="A108" s="32"/>
      <c r="B108" s="33"/>
      <c r="C108" s="38" t="s">
        <v>53</v>
      </c>
      <c r="D108" s="37"/>
      <c r="E108" s="26">
        <f t="shared" si="68"/>
        <v>389.0823342</v>
      </c>
      <c r="F108" s="48">
        <f t="shared" ref="F108:AC108" si="70">IF(F107&gt;0,ABS(MIN(F102*0.2,ABS(F103))*F106),F107)</f>
        <v>2.3152752</v>
      </c>
      <c r="G108" s="48">
        <f t="shared" si="70"/>
        <v>2.1644031</v>
      </c>
      <c r="H108" s="48">
        <f t="shared" si="70"/>
        <v>2.00124529999999</v>
      </c>
      <c r="I108" s="48">
        <f t="shared" si="70"/>
        <v>1.48887</v>
      </c>
      <c r="J108" s="48">
        <f t="shared" si="70"/>
        <v>1.7063155</v>
      </c>
      <c r="K108" s="48">
        <f t="shared" si="70"/>
        <v>1.0267524</v>
      </c>
      <c r="L108" s="48">
        <f t="shared" si="70"/>
        <v>0.548528999999994</v>
      </c>
      <c r="M108" s="48">
        <f t="shared" si="70"/>
        <v>-0.232943999999995</v>
      </c>
      <c r="N108" s="48">
        <f t="shared" si="70"/>
        <v>3.24625999999998</v>
      </c>
      <c r="O108" s="48">
        <f t="shared" si="70"/>
        <v>19.2379968</v>
      </c>
      <c r="P108" s="48">
        <f t="shared" si="70"/>
        <v>25.026608</v>
      </c>
      <c r="Q108" s="48">
        <f t="shared" si="70"/>
        <v>44.85892</v>
      </c>
      <c r="R108" s="48">
        <f t="shared" si="70"/>
        <v>93.13505</v>
      </c>
      <c r="S108" s="48">
        <f t="shared" si="70"/>
        <v>76.8147848</v>
      </c>
      <c r="T108" s="48">
        <f t="shared" si="70"/>
        <v>38.130504</v>
      </c>
      <c r="U108" s="48">
        <f t="shared" si="70"/>
        <v>11.2467124</v>
      </c>
      <c r="V108" s="48">
        <f t="shared" si="70"/>
        <v>3.0659043</v>
      </c>
      <c r="W108" s="48">
        <f t="shared" si="70"/>
        <v>3.16863400000002</v>
      </c>
      <c r="X108" s="48">
        <f t="shared" si="70"/>
        <v>11.9723142</v>
      </c>
      <c r="Y108" s="48">
        <f t="shared" si="70"/>
        <v>10.1117432</v>
      </c>
      <c r="Z108" s="48">
        <f t="shared" si="70"/>
        <v>9.212805</v>
      </c>
      <c r="AA108" s="48">
        <f t="shared" si="70"/>
        <v>14.87805</v>
      </c>
      <c r="AB108" s="48">
        <f t="shared" si="70"/>
        <v>10.0654134</v>
      </c>
      <c r="AC108" s="48">
        <f t="shared" si="70"/>
        <v>3.8921876</v>
      </c>
    </row>
    <row r="109" spans="1:29">
      <c r="A109" s="32"/>
      <c r="B109" s="33"/>
      <c r="C109" s="39" t="s">
        <v>50</v>
      </c>
      <c r="D109" s="37"/>
      <c r="E109" s="44">
        <f t="shared" ref="E109:AC109" si="71">E107-E108</f>
        <v>0</v>
      </c>
      <c r="F109" s="26">
        <f t="shared" si="71"/>
        <v>0</v>
      </c>
      <c r="G109" s="26">
        <f t="shared" si="71"/>
        <v>0</v>
      </c>
      <c r="H109" s="26">
        <f t="shared" si="71"/>
        <v>0</v>
      </c>
      <c r="I109" s="26">
        <f t="shared" si="71"/>
        <v>0</v>
      </c>
      <c r="J109" s="26">
        <f t="shared" si="71"/>
        <v>0</v>
      </c>
      <c r="K109" s="26">
        <f t="shared" si="71"/>
        <v>0</v>
      </c>
      <c r="L109" s="26">
        <f t="shared" si="71"/>
        <v>0</v>
      </c>
      <c r="M109" s="26">
        <f t="shared" si="71"/>
        <v>0</v>
      </c>
      <c r="N109" s="26">
        <f t="shared" si="71"/>
        <v>0</v>
      </c>
      <c r="O109" s="26">
        <f t="shared" si="71"/>
        <v>0</v>
      </c>
      <c r="P109" s="26">
        <f t="shared" si="71"/>
        <v>0</v>
      </c>
      <c r="Q109" s="26">
        <f t="shared" si="71"/>
        <v>0</v>
      </c>
      <c r="R109" s="26">
        <f t="shared" si="71"/>
        <v>0</v>
      </c>
      <c r="S109" s="26">
        <f t="shared" si="71"/>
        <v>0</v>
      </c>
      <c r="T109" s="26">
        <f t="shared" si="71"/>
        <v>0</v>
      </c>
      <c r="U109" s="26">
        <f t="shared" si="71"/>
        <v>0</v>
      </c>
      <c r="V109" s="26">
        <f t="shared" si="71"/>
        <v>0</v>
      </c>
      <c r="W109" s="26">
        <f t="shared" si="71"/>
        <v>0</v>
      </c>
      <c r="X109" s="26">
        <f t="shared" si="71"/>
        <v>0</v>
      </c>
      <c r="Y109" s="26">
        <f t="shared" si="71"/>
        <v>0</v>
      </c>
      <c r="Z109" s="26">
        <f t="shared" si="71"/>
        <v>0</v>
      </c>
      <c r="AA109" s="26">
        <f t="shared" si="71"/>
        <v>0</v>
      </c>
      <c r="AB109" s="26">
        <f t="shared" si="71"/>
        <v>0</v>
      </c>
      <c r="AC109" s="26">
        <f t="shared" si="71"/>
        <v>0</v>
      </c>
    </row>
    <row r="110" spans="1:29">
      <c r="A110" s="29">
        <v>46004</v>
      </c>
      <c r="B110" s="30">
        <f>E117</f>
        <v>-19.1038562</v>
      </c>
      <c r="C110" s="31" t="s">
        <v>47</v>
      </c>
      <c r="D110" s="31" t="s">
        <v>48</v>
      </c>
      <c r="E110" s="42">
        <f t="shared" si="68"/>
        <v>63.02052</v>
      </c>
      <c r="F110" s="47">
        <v>1.93752</v>
      </c>
      <c r="G110" s="47">
        <v>1.87814</v>
      </c>
      <c r="H110" s="47">
        <v>1.84404</v>
      </c>
      <c r="I110" s="47">
        <v>1.8678</v>
      </c>
      <c r="J110" s="47">
        <v>1.54044</v>
      </c>
      <c r="K110" s="47">
        <v>1.53072</v>
      </c>
      <c r="L110" s="47">
        <v>1.49598</v>
      </c>
      <c r="M110" s="47">
        <v>1.77111</v>
      </c>
      <c r="N110" s="47">
        <v>3.47553</v>
      </c>
      <c r="O110" s="47">
        <v>3.47728</v>
      </c>
      <c r="P110" s="47">
        <v>2.87064</v>
      </c>
      <c r="Q110" s="47">
        <v>2.82688</v>
      </c>
      <c r="R110" s="47">
        <v>2.69595</v>
      </c>
      <c r="S110" s="47">
        <v>3.7345</v>
      </c>
      <c r="T110" s="47">
        <v>4.1464</v>
      </c>
      <c r="U110" s="47">
        <v>4.0946</v>
      </c>
      <c r="V110" s="47">
        <v>4.0036</v>
      </c>
      <c r="W110" s="47">
        <v>3.5882</v>
      </c>
      <c r="X110" s="47">
        <v>3.17262</v>
      </c>
      <c r="Y110" s="47">
        <v>3.20023</v>
      </c>
      <c r="Z110" s="47">
        <v>2.35278</v>
      </c>
      <c r="AA110" s="47">
        <v>2.07333</v>
      </c>
      <c r="AB110" s="47">
        <v>1.80486</v>
      </c>
      <c r="AC110" s="47">
        <v>1.63737</v>
      </c>
    </row>
    <row r="111" spans="1:29">
      <c r="A111" s="32"/>
      <c r="B111" s="33"/>
      <c r="C111" s="32"/>
      <c r="D111" s="6" t="s">
        <v>49</v>
      </c>
      <c r="E111" s="42">
        <f t="shared" si="68"/>
        <v>66.168</v>
      </c>
      <c r="F111" s="47">
        <v>1.6146</v>
      </c>
      <c r="G111" s="47">
        <v>1.7074</v>
      </c>
      <c r="H111" s="47">
        <v>1.6764</v>
      </c>
      <c r="I111" s="47">
        <v>1.698</v>
      </c>
      <c r="J111" s="47">
        <v>1.7116</v>
      </c>
      <c r="K111" s="47">
        <v>1.7008</v>
      </c>
      <c r="L111" s="47">
        <v>1.6622</v>
      </c>
      <c r="M111" s="47">
        <v>1.9679</v>
      </c>
      <c r="N111" s="47">
        <v>3.8617</v>
      </c>
      <c r="O111" s="47">
        <v>4.3466</v>
      </c>
      <c r="P111" s="47">
        <v>3.5883</v>
      </c>
      <c r="Q111" s="47">
        <v>3.5336</v>
      </c>
      <c r="R111" s="47">
        <v>2.9955</v>
      </c>
      <c r="S111" s="47">
        <v>3.7345</v>
      </c>
      <c r="T111" s="47">
        <v>4.1464</v>
      </c>
      <c r="U111" s="47">
        <v>4.0946</v>
      </c>
      <c r="V111" s="47">
        <v>4.0036</v>
      </c>
      <c r="W111" s="47">
        <v>3.5882</v>
      </c>
      <c r="X111" s="47">
        <v>2.8842</v>
      </c>
      <c r="Y111" s="47">
        <v>2.9093</v>
      </c>
      <c r="Z111" s="47">
        <v>2.6142</v>
      </c>
      <c r="AA111" s="47">
        <v>2.3037</v>
      </c>
      <c r="AB111" s="47">
        <v>2.0054</v>
      </c>
      <c r="AC111" s="47">
        <v>1.8193</v>
      </c>
    </row>
    <row r="112" spans="1:29">
      <c r="A112" s="32"/>
      <c r="B112" s="33"/>
      <c r="C112" s="34"/>
      <c r="D112" s="31" t="s">
        <v>50</v>
      </c>
      <c r="E112" s="26">
        <f>E110-E111</f>
        <v>-3.14748</v>
      </c>
      <c r="F112" s="47">
        <f t="shared" ref="F112:AC112" si="72">(F110-F111)*1</f>
        <v>0.32292</v>
      </c>
      <c r="G112" s="47">
        <f t="shared" si="72"/>
        <v>0.17074</v>
      </c>
      <c r="H112" s="47">
        <f t="shared" si="72"/>
        <v>0.16764</v>
      </c>
      <c r="I112" s="47">
        <f t="shared" si="72"/>
        <v>0.1698</v>
      </c>
      <c r="J112" s="47">
        <f t="shared" si="72"/>
        <v>-0.17116</v>
      </c>
      <c r="K112" s="47">
        <f t="shared" si="72"/>
        <v>-0.17008</v>
      </c>
      <c r="L112" s="47">
        <f t="shared" si="72"/>
        <v>-0.16622</v>
      </c>
      <c r="M112" s="47">
        <f t="shared" si="72"/>
        <v>-0.19679</v>
      </c>
      <c r="N112" s="47">
        <f t="shared" si="72"/>
        <v>-0.38617</v>
      </c>
      <c r="O112" s="47">
        <f t="shared" si="72"/>
        <v>-0.86932</v>
      </c>
      <c r="P112" s="47">
        <f t="shared" si="72"/>
        <v>-0.71766</v>
      </c>
      <c r="Q112" s="47">
        <f t="shared" si="72"/>
        <v>-0.70672</v>
      </c>
      <c r="R112" s="47">
        <f t="shared" si="72"/>
        <v>-0.29955</v>
      </c>
      <c r="S112" s="47">
        <f t="shared" si="72"/>
        <v>0</v>
      </c>
      <c r="T112" s="47">
        <f t="shared" si="72"/>
        <v>0</v>
      </c>
      <c r="U112" s="47">
        <f t="shared" si="72"/>
        <v>0</v>
      </c>
      <c r="V112" s="47">
        <f t="shared" si="72"/>
        <v>0</v>
      </c>
      <c r="W112" s="47">
        <f t="shared" si="72"/>
        <v>0</v>
      </c>
      <c r="X112" s="47">
        <f t="shared" si="72"/>
        <v>0.28842</v>
      </c>
      <c r="Y112" s="47">
        <f t="shared" si="72"/>
        <v>0.29093</v>
      </c>
      <c r="Z112" s="47">
        <f t="shared" si="72"/>
        <v>-0.26142</v>
      </c>
      <c r="AA112" s="47">
        <f t="shared" si="72"/>
        <v>-0.23037</v>
      </c>
      <c r="AB112" s="47">
        <f t="shared" si="72"/>
        <v>-0.20054</v>
      </c>
      <c r="AC112" s="47">
        <f t="shared" si="72"/>
        <v>-0.18193</v>
      </c>
    </row>
    <row r="113" spans="1:29">
      <c r="A113" s="32"/>
      <c r="B113" s="33"/>
      <c r="C113" s="35" t="s">
        <v>51</v>
      </c>
      <c r="D113" s="31" t="s">
        <v>48</v>
      </c>
      <c r="E113" s="31">
        <f>AVERAGE(F113:AC113)</f>
        <v>296.322916666667</v>
      </c>
      <c r="F113" s="47">
        <v>323.33</v>
      </c>
      <c r="G113" s="47">
        <v>318.55</v>
      </c>
      <c r="H113" s="47">
        <v>313.28</v>
      </c>
      <c r="I113" s="47">
        <v>308.19</v>
      </c>
      <c r="J113" s="47">
        <v>300.4</v>
      </c>
      <c r="K113" s="47">
        <v>281.52</v>
      </c>
      <c r="L113" s="47">
        <v>286.78</v>
      </c>
      <c r="M113" s="47">
        <v>278.81</v>
      </c>
      <c r="N113" s="47">
        <v>289.29</v>
      </c>
      <c r="O113" s="47">
        <v>326.85</v>
      </c>
      <c r="P113" s="47">
        <v>310.68</v>
      </c>
      <c r="Q113" s="47">
        <v>286.78</v>
      </c>
      <c r="R113" s="47">
        <v>273.31</v>
      </c>
      <c r="S113" s="47">
        <v>289.62</v>
      </c>
      <c r="T113" s="47">
        <v>279.2</v>
      </c>
      <c r="U113" s="47">
        <v>279.13</v>
      </c>
      <c r="V113" s="47">
        <v>292.6</v>
      </c>
      <c r="W113" s="47">
        <v>309.12</v>
      </c>
      <c r="X113" s="47">
        <v>303.19</v>
      </c>
      <c r="Y113" s="47">
        <v>292.05</v>
      </c>
      <c r="Z113" s="47">
        <v>309.94</v>
      </c>
      <c r="AA113" s="47">
        <v>306.69</v>
      </c>
      <c r="AB113" s="47">
        <v>287.36</v>
      </c>
      <c r="AC113" s="47">
        <v>265.08</v>
      </c>
    </row>
    <row r="114" spans="1:29">
      <c r="A114" s="32"/>
      <c r="B114" s="33"/>
      <c r="C114" s="32"/>
      <c r="D114" s="31" t="s">
        <v>49</v>
      </c>
      <c r="E114" s="31">
        <f>AVERAGE(F114:AC114)</f>
        <v>309.192083333333</v>
      </c>
      <c r="F114" s="47">
        <v>331.15</v>
      </c>
      <c r="G114" s="47">
        <v>337.01</v>
      </c>
      <c r="H114" s="47">
        <v>329.85</v>
      </c>
      <c r="I114" s="47">
        <v>309.2</v>
      </c>
      <c r="J114" s="47">
        <v>310.73</v>
      </c>
      <c r="K114" s="47">
        <v>305.18</v>
      </c>
      <c r="L114" s="47">
        <v>318.5</v>
      </c>
      <c r="M114" s="47">
        <v>303.32</v>
      </c>
      <c r="N114" s="47">
        <v>316</v>
      </c>
      <c r="O114" s="47">
        <v>323.4</v>
      </c>
      <c r="P114" s="47">
        <v>326.24</v>
      </c>
      <c r="Q114" s="47">
        <v>324.74</v>
      </c>
      <c r="R114" s="47">
        <v>286.1</v>
      </c>
      <c r="S114" s="47">
        <v>348.8</v>
      </c>
      <c r="T114" s="47">
        <v>307.97</v>
      </c>
      <c r="U114" s="47">
        <v>293.33</v>
      </c>
      <c r="V114" s="47">
        <v>290.25</v>
      </c>
      <c r="W114" s="47">
        <v>329.96</v>
      </c>
      <c r="X114" s="47">
        <v>341.28</v>
      </c>
      <c r="Y114" s="47">
        <v>311.97</v>
      </c>
      <c r="Z114" s="47">
        <v>287.39</v>
      </c>
      <c r="AA114" s="47">
        <v>276.91</v>
      </c>
      <c r="AB114" s="47">
        <v>272.18</v>
      </c>
      <c r="AC114" s="47">
        <v>239.15</v>
      </c>
    </row>
    <row r="115" spans="1:29">
      <c r="A115" s="32"/>
      <c r="B115" s="33"/>
      <c r="C115" s="34"/>
      <c r="D115" s="31" t="s">
        <v>50</v>
      </c>
      <c r="E115" s="26">
        <f>E113-E114</f>
        <v>-12.8691666666667</v>
      </c>
      <c r="F115" s="47">
        <f t="shared" ref="F115:AC115" si="73">(F113-F114)*1</f>
        <v>-7.81999999999999</v>
      </c>
      <c r="G115" s="47">
        <f t="shared" si="73"/>
        <v>-18.46</v>
      </c>
      <c r="H115" s="47">
        <f t="shared" si="73"/>
        <v>-16.5700000000001</v>
      </c>
      <c r="I115" s="47">
        <f t="shared" si="73"/>
        <v>-1.00999999999999</v>
      </c>
      <c r="J115" s="47">
        <f t="shared" si="73"/>
        <v>-10.33</v>
      </c>
      <c r="K115" s="47">
        <f t="shared" si="73"/>
        <v>-23.66</v>
      </c>
      <c r="L115" s="47">
        <f t="shared" si="73"/>
        <v>-31.72</v>
      </c>
      <c r="M115" s="47">
        <f t="shared" si="73"/>
        <v>-24.51</v>
      </c>
      <c r="N115" s="47">
        <f t="shared" si="73"/>
        <v>-26.71</v>
      </c>
      <c r="O115" s="47">
        <f t="shared" si="73"/>
        <v>3.45000000000005</v>
      </c>
      <c r="P115" s="47">
        <f t="shared" si="73"/>
        <v>-15.56</v>
      </c>
      <c r="Q115" s="47">
        <f t="shared" si="73"/>
        <v>-37.96</v>
      </c>
      <c r="R115" s="47">
        <f t="shared" si="73"/>
        <v>-12.79</v>
      </c>
      <c r="S115" s="47">
        <f t="shared" si="73"/>
        <v>-59.18</v>
      </c>
      <c r="T115" s="47">
        <f t="shared" si="73"/>
        <v>-28.77</v>
      </c>
      <c r="U115" s="47">
        <f t="shared" si="73"/>
        <v>-14.2</v>
      </c>
      <c r="V115" s="47">
        <f t="shared" si="73"/>
        <v>2.35000000000002</v>
      </c>
      <c r="W115" s="47">
        <f t="shared" si="73"/>
        <v>-20.84</v>
      </c>
      <c r="X115" s="47">
        <f t="shared" si="73"/>
        <v>-38.09</v>
      </c>
      <c r="Y115" s="47">
        <f t="shared" si="73"/>
        <v>-19.92</v>
      </c>
      <c r="Z115" s="47">
        <f t="shared" si="73"/>
        <v>22.55</v>
      </c>
      <c r="AA115" s="47">
        <f t="shared" si="73"/>
        <v>29.78</v>
      </c>
      <c r="AB115" s="47">
        <f t="shared" si="73"/>
        <v>15.18</v>
      </c>
      <c r="AC115" s="47">
        <f t="shared" si="73"/>
        <v>25.93</v>
      </c>
    </row>
    <row r="116" spans="1:29">
      <c r="A116" s="32"/>
      <c r="B116" s="33"/>
      <c r="C116" s="36" t="s">
        <v>52</v>
      </c>
      <c r="D116" s="37"/>
      <c r="E116" s="26">
        <f t="shared" ref="E116:E120" si="74">SUM(F116:AC116)</f>
        <v>-19.1038562</v>
      </c>
      <c r="F116" s="48">
        <f t="shared" ref="F116:AC116" si="75">-F112*F115</f>
        <v>2.5252344</v>
      </c>
      <c r="G116" s="48">
        <f t="shared" si="75"/>
        <v>3.15186039999999</v>
      </c>
      <c r="H116" s="48">
        <f t="shared" si="75"/>
        <v>2.77779480000001</v>
      </c>
      <c r="I116" s="48">
        <f t="shared" si="75"/>
        <v>0.171497999999998</v>
      </c>
      <c r="J116" s="48">
        <f t="shared" si="75"/>
        <v>-1.76808280000001</v>
      </c>
      <c r="K116" s="48">
        <f t="shared" si="75"/>
        <v>-4.0240928</v>
      </c>
      <c r="L116" s="48">
        <f t="shared" si="75"/>
        <v>-5.2724984</v>
      </c>
      <c r="M116" s="48">
        <f t="shared" si="75"/>
        <v>-4.8233229</v>
      </c>
      <c r="N116" s="48">
        <f t="shared" si="75"/>
        <v>-10.3146007</v>
      </c>
      <c r="O116" s="48">
        <f t="shared" si="75"/>
        <v>2.99915400000004</v>
      </c>
      <c r="P116" s="48">
        <f t="shared" si="75"/>
        <v>-11.1667896</v>
      </c>
      <c r="Q116" s="48">
        <f t="shared" si="75"/>
        <v>-26.8270912</v>
      </c>
      <c r="R116" s="48">
        <f t="shared" si="75"/>
        <v>-3.83124450000001</v>
      </c>
      <c r="S116" s="48">
        <f t="shared" si="75"/>
        <v>0</v>
      </c>
      <c r="T116" s="48">
        <f t="shared" si="75"/>
        <v>0</v>
      </c>
      <c r="U116" s="48">
        <f t="shared" si="75"/>
        <v>0</v>
      </c>
      <c r="V116" s="48">
        <f t="shared" si="75"/>
        <v>0</v>
      </c>
      <c r="W116" s="48">
        <f t="shared" si="75"/>
        <v>0</v>
      </c>
      <c r="X116" s="48">
        <f t="shared" si="75"/>
        <v>10.9859178</v>
      </c>
      <c r="Y116" s="48">
        <f t="shared" si="75"/>
        <v>5.7953256</v>
      </c>
      <c r="Z116" s="48">
        <f t="shared" si="75"/>
        <v>5.895021</v>
      </c>
      <c r="AA116" s="48">
        <f t="shared" si="75"/>
        <v>6.8604186</v>
      </c>
      <c r="AB116" s="48">
        <f t="shared" si="75"/>
        <v>3.0441972</v>
      </c>
      <c r="AC116" s="48">
        <f t="shared" si="75"/>
        <v>4.71744489999999</v>
      </c>
    </row>
    <row r="117" spans="1:29">
      <c r="A117" s="32"/>
      <c r="B117" s="33"/>
      <c r="C117" s="38" t="s">
        <v>53</v>
      </c>
      <c r="D117" s="37"/>
      <c r="E117" s="26">
        <f t="shared" si="74"/>
        <v>-19.1038562</v>
      </c>
      <c r="F117" s="48">
        <f t="shared" ref="F117:AC117" si="76">IF(F116&gt;0,ABS(MIN(F111*0.2,ABS(F112))*F115),F116)</f>
        <v>2.5252344</v>
      </c>
      <c r="G117" s="48">
        <f t="shared" si="76"/>
        <v>3.15186039999999</v>
      </c>
      <c r="H117" s="48">
        <f t="shared" si="76"/>
        <v>2.77779480000001</v>
      </c>
      <c r="I117" s="48">
        <f t="shared" si="76"/>
        <v>0.171497999999998</v>
      </c>
      <c r="J117" s="48">
        <f t="shared" si="76"/>
        <v>-1.76808280000001</v>
      </c>
      <c r="K117" s="48">
        <f t="shared" si="76"/>
        <v>-4.0240928</v>
      </c>
      <c r="L117" s="48">
        <f t="shared" si="76"/>
        <v>-5.2724984</v>
      </c>
      <c r="M117" s="48">
        <f t="shared" si="76"/>
        <v>-4.8233229</v>
      </c>
      <c r="N117" s="48">
        <f t="shared" si="76"/>
        <v>-10.3146007</v>
      </c>
      <c r="O117" s="48">
        <f t="shared" si="76"/>
        <v>2.99915400000004</v>
      </c>
      <c r="P117" s="48">
        <f t="shared" si="76"/>
        <v>-11.1667896</v>
      </c>
      <c r="Q117" s="48">
        <f t="shared" si="76"/>
        <v>-26.8270912</v>
      </c>
      <c r="R117" s="48">
        <f t="shared" si="76"/>
        <v>-3.83124450000001</v>
      </c>
      <c r="S117" s="48">
        <f t="shared" si="76"/>
        <v>0</v>
      </c>
      <c r="T117" s="48">
        <f t="shared" si="76"/>
        <v>0</v>
      </c>
      <c r="U117" s="48">
        <f t="shared" si="76"/>
        <v>0</v>
      </c>
      <c r="V117" s="48">
        <f t="shared" si="76"/>
        <v>0</v>
      </c>
      <c r="W117" s="48">
        <f t="shared" si="76"/>
        <v>0</v>
      </c>
      <c r="X117" s="48">
        <f t="shared" si="76"/>
        <v>10.9859178</v>
      </c>
      <c r="Y117" s="48">
        <f t="shared" si="76"/>
        <v>5.7953256</v>
      </c>
      <c r="Z117" s="48">
        <f t="shared" si="76"/>
        <v>5.895021</v>
      </c>
      <c r="AA117" s="48">
        <f t="shared" si="76"/>
        <v>6.8604186</v>
      </c>
      <c r="AB117" s="48">
        <f t="shared" si="76"/>
        <v>3.0441972</v>
      </c>
      <c r="AC117" s="48">
        <f t="shared" si="76"/>
        <v>4.71744489999999</v>
      </c>
    </row>
    <row r="118" spans="1:29">
      <c r="A118" s="32"/>
      <c r="B118" s="33"/>
      <c r="C118" s="39" t="s">
        <v>50</v>
      </c>
      <c r="D118" s="37"/>
      <c r="E118" s="44">
        <f t="shared" ref="E118:AC118" si="77">E116-E117</f>
        <v>0</v>
      </c>
      <c r="F118" s="26">
        <f t="shared" si="77"/>
        <v>0</v>
      </c>
      <c r="G118" s="26">
        <f t="shared" si="77"/>
        <v>0</v>
      </c>
      <c r="H118" s="26">
        <f t="shared" si="77"/>
        <v>0</v>
      </c>
      <c r="I118" s="26">
        <f t="shared" si="77"/>
        <v>0</v>
      </c>
      <c r="J118" s="26">
        <f t="shared" si="77"/>
        <v>0</v>
      </c>
      <c r="K118" s="26">
        <f t="shared" si="77"/>
        <v>0</v>
      </c>
      <c r="L118" s="26">
        <f t="shared" si="77"/>
        <v>0</v>
      </c>
      <c r="M118" s="26">
        <f t="shared" si="77"/>
        <v>0</v>
      </c>
      <c r="N118" s="26">
        <f t="shared" si="77"/>
        <v>0</v>
      </c>
      <c r="O118" s="26">
        <f t="shared" si="77"/>
        <v>0</v>
      </c>
      <c r="P118" s="26">
        <f t="shared" si="77"/>
        <v>0</v>
      </c>
      <c r="Q118" s="26">
        <f t="shared" si="77"/>
        <v>0</v>
      </c>
      <c r="R118" s="26">
        <f t="shared" si="77"/>
        <v>0</v>
      </c>
      <c r="S118" s="26">
        <f t="shared" si="77"/>
        <v>0</v>
      </c>
      <c r="T118" s="26">
        <f t="shared" si="77"/>
        <v>0</v>
      </c>
      <c r="U118" s="26">
        <f t="shared" si="77"/>
        <v>0</v>
      </c>
      <c r="V118" s="26">
        <f t="shared" si="77"/>
        <v>0</v>
      </c>
      <c r="W118" s="26">
        <f t="shared" si="77"/>
        <v>0</v>
      </c>
      <c r="X118" s="26">
        <f t="shared" si="77"/>
        <v>0</v>
      </c>
      <c r="Y118" s="26">
        <f t="shared" si="77"/>
        <v>0</v>
      </c>
      <c r="Z118" s="26">
        <f t="shared" si="77"/>
        <v>0</v>
      </c>
      <c r="AA118" s="26">
        <f t="shared" si="77"/>
        <v>0</v>
      </c>
      <c r="AB118" s="26">
        <f t="shared" si="77"/>
        <v>0</v>
      </c>
      <c r="AC118" s="26">
        <f t="shared" si="77"/>
        <v>0</v>
      </c>
    </row>
    <row r="119" spans="1:29">
      <c r="A119" s="29">
        <v>46005</v>
      </c>
      <c r="B119" s="30">
        <f>E126</f>
        <v>235.6388581</v>
      </c>
      <c r="C119" s="31" t="s">
        <v>47</v>
      </c>
      <c r="D119" s="31" t="s">
        <v>48</v>
      </c>
      <c r="E119" s="42">
        <f t="shared" si="74"/>
        <v>38.20508</v>
      </c>
      <c r="F119" s="47">
        <v>1.5618</v>
      </c>
      <c r="G119" s="47">
        <v>1.47312</v>
      </c>
      <c r="H119" s="47">
        <v>1.43874</v>
      </c>
      <c r="I119" s="47">
        <v>1.3779</v>
      </c>
      <c r="J119" s="47">
        <v>1.37673</v>
      </c>
      <c r="K119" s="47">
        <v>1.38717</v>
      </c>
      <c r="L119" s="47">
        <v>1.31391</v>
      </c>
      <c r="M119" s="47">
        <v>1.38132</v>
      </c>
      <c r="N119" s="47">
        <v>2.12976</v>
      </c>
      <c r="O119" s="47">
        <v>2.37618</v>
      </c>
      <c r="P119" s="47">
        <v>1.75432</v>
      </c>
      <c r="Q119" s="47">
        <v>1.65824</v>
      </c>
      <c r="R119" s="47">
        <v>1.65432</v>
      </c>
      <c r="S119" s="47">
        <v>1.4724</v>
      </c>
      <c r="T119" s="47">
        <v>1.79872</v>
      </c>
      <c r="U119" s="47">
        <v>1.69736</v>
      </c>
      <c r="V119" s="47">
        <v>1.6472</v>
      </c>
      <c r="W119" s="47">
        <v>2.49645</v>
      </c>
      <c r="X119" s="47">
        <v>1.72359</v>
      </c>
      <c r="Y119" s="47">
        <v>1.74229</v>
      </c>
      <c r="Z119" s="47">
        <v>1.3528</v>
      </c>
      <c r="AA119" s="47">
        <v>1.2943</v>
      </c>
      <c r="AB119" s="47">
        <v>1.07973</v>
      </c>
      <c r="AC119" s="47">
        <v>1.01673</v>
      </c>
    </row>
    <row r="120" spans="1:29">
      <c r="A120" s="32"/>
      <c r="B120" s="33"/>
      <c r="C120" s="32"/>
      <c r="D120" s="6" t="s">
        <v>49</v>
      </c>
      <c r="E120" s="42">
        <f t="shared" si="74"/>
        <v>42.4005</v>
      </c>
      <c r="F120" s="47">
        <v>1.5618</v>
      </c>
      <c r="G120" s="47">
        <v>1.6368</v>
      </c>
      <c r="H120" s="47">
        <v>1.5986</v>
      </c>
      <c r="I120" s="47">
        <v>1.531</v>
      </c>
      <c r="J120" s="47">
        <v>1.5297</v>
      </c>
      <c r="K120" s="47">
        <v>1.5413</v>
      </c>
      <c r="L120" s="47">
        <v>1.4599</v>
      </c>
      <c r="M120" s="47">
        <v>1.5348</v>
      </c>
      <c r="N120" s="47">
        <v>2.3664</v>
      </c>
      <c r="O120" s="47">
        <v>2.6402</v>
      </c>
      <c r="P120" s="47">
        <v>2.1929</v>
      </c>
      <c r="Q120" s="47">
        <v>2.0728</v>
      </c>
      <c r="R120" s="47">
        <v>2.0679</v>
      </c>
      <c r="S120" s="47">
        <v>1.8405</v>
      </c>
      <c r="T120" s="47">
        <v>2.2484</v>
      </c>
      <c r="U120" s="47">
        <v>2.1217</v>
      </c>
      <c r="V120" s="47">
        <v>2.059</v>
      </c>
      <c r="W120" s="47">
        <v>2.2695</v>
      </c>
      <c r="X120" s="47">
        <v>1.5669</v>
      </c>
      <c r="Y120" s="47">
        <v>1.5839</v>
      </c>
      <c r="Z120" s="47">
        <v>1.3528</v>
      </c>
      <c r="AA120" s="47">
        <v>1.2943</v>
      </c>
      <c r="AB120" s="47">
        <v>1.1997</v>
      </c>
      <c r="AC120" s="47">
        <v>1.1297</v>
      </c>
    </row>
    <row r="121" spans="1:29">
      <c r="A121" s="32"/>
      <c r="B121" s="33"/>
      <c r="C121" s="34"/>
      <c r="D121" s="31" t="s">
        <v>50</v>
      </c>
      <c r="E121" s="26">
        <f>E119-E120</f>
        <v>-4.19542</v>
      </c>
      <c r="F121" s="47">
        <f t="shared" ref="F121:AC121" si="78">(F119-F120)*1</f>
        <v>0</v>
      </c>
      <c r="G121" s="47">
        <f t="shared" si="78"/>
        <v>-0.16368</v>
      </c>
      <c r="H121" s="47">
        <f t="shared" si="78"/>
        <v>-0.15986</v>
      </c>
      <c r="I121" s="47">
        <f t="shared" si="78"/>
        <v>-0.1531</v>
      </c>
      <c r="J121" s="47">
        <f t="shared" si="78"/>
        <v>-0.15297</v>
      </c>
      <c r="K121" s="47">
        <f t="shared" si="78"/>
        <v>-0.15413</v>
      </c>
      <c r="L121" s="47">
        <f t="shared" si="78"/>
        <v>-0.14599</v>
      </c>
      <c r="M121" s="47">
        <f t="shared" si="78"/>
        <v>-0.15348</v>
      </c>
      <c r="N121" s="47">
        <f t="shared" si="78"/>
        <v>-0.23664</v>
      </c>
      <c r="O121" s="47">
        <f t="shared" si="78"/>
        <v>-0.26402</v>
      </c>
      <c r="P121" s="47">
        <f t="shared" si="78"/>
        <v>-0.43858</v>
      </c>
      <c r="Q121" s="47">
        <f t="shared" si="78"/>
        <v>-0.41456</v>
      </c>
      <c r="R121" s="47">
        <f t="shared" si="78"/>
        <v>-0.41358</v>
      </c>
      <c r="S121" s="47">
        <f t="shared" si="78"/>
        <v>-0.3681</v>
      </c>
      <c r="T121" s="47">
        <f t="shared" si="78"/>
        <v>-0.44968</v>
      </c>
      <c r="U121" s="47">
        <f t="shared" si="78"/>
        <v>-0.42434</v>
      </c>
      <c r="V121" s="47">
        <f t="shared" si="78"/>
        <v>-0.4118</v>
      </c>
      <c r="W121" s="47">
        <f t="shared" si="78"/>
        <v>0.22695</v>
      </c>
      <c r="X121" s="47">
        <f t="shared" si="78"/>
        <v>0.15669</v>
      </c>
      <c r="Y121" s="47">
        <f t="shared" si="78"/>
        <v>0.15839</v>
      </c>
      <c r="Z121" s="47">
        <f t="shared" si="78"/>
        <v>0</v>
      </c>
      <c r="AA121" s="47">
        <f t="shared" si="78"/>
        <v>0</v>
      </c>
      <c r="AB121" s="47">
        <f t="shared" si="78"/>
        <v>-0.11997</v>
      </c>
      <c r="AC121" s="47">
        <f t="shared" si="78"/>
        <v>-0.11297</v>
      </c>
    </row>
    <row r="122" spans="1:29">
      <c r="A122" s="32"/>
      <c r="B122" s="33"/>
      <c r="C122" s="35" t="s">
        <v>51</v>
      </c>
      <c r="D122" s="31" t="s">
        <v>48</v>
      </c>
      <c r="E122" s="31">
        <f>AVERAGE(F122:AC122)</f>
        <v>237.265416666667</v>
      </c>
      <c r="F122" s="47">
        <v>280.59</v>
      </c>
      <c r="G122" s="47">
        <v>272.81</v>
      </c>
      <c r="H122" s="47">
        <v>262.16</v>
      </c>
      <c r="I122" s="47">
        <v>257.1</v>
      </c>
      <c r="J122" s="47">
        <v>250.87</v>
      </c>
      <c r="K122" s="47">
        <v>248.31</v>
      </c>
      <c r="L122" s="47">
        <v>251.17</v>
      </c>
      <c r="M122" s="47">
        <v>253.15</v>
      </c>
      <c r="N122" s="47">
        <v>242.5</v>
      </c>
      <c r="O122" s="47">
        <v>223.25</v>
      </c>
      <c r="P122" s="47">
        <v>169.68</v>
      </c>
      <c r="Q122" s="47">
        <v>106.17</v>
      </c>
      <c r="R122" s="47">
        <v>10.34</v>
      </c>
      <c r="S122" s="47">
        <v>49.7</v>
      </c>
      <c r="T122" s="47">
        <v>119</v>
      </c>
      <c r="U122" s="47">
        <v>188.35</v>
      </c>
      <c r="V122" s="47">
        <v>277.37</v>
      </c>
      <c r="W122" s="47">
        <v>324.45</v>
      </c>
      <c r="X122" s="47">
        <v>334.01</v>
      </c>
      <c r="Y122" s="47">
        <v>334.52</v>
      </c>
      <c r="Z122" s="47">
        <v>328.85</v>
      </c>
      <c r="AA122" s="47">
        <v>327.22</v>
      </c>
      <c r="AB122" s="47">
        <v>305.32</v>
      </c>
      <c r="AC122" s="47">
        <v>277.48</v>
      </c>
    </row>
    <row r="123" spans="1:29">
      <c r="A123" s="32"/>
      <c r="B123" s="33"/>
      <c r="C123" s="32"/>
      <c r="D123" s="31" t="s">
        <v>49</v>
      </c>
      <c r="E123" s="31">
        <f>AVERAGE(F123:AC123)</f>
        <v>193.890833333333</v>
      </c>
      <c r="F123" s="47">
        <v>227.77</v>
      </c>
      <c r="G123" s="47">
        <v>230.51</v>
      </c>
      <c r="H123" s="47">
        <v>231.01</v>
      </c>
      <c r="I123" s="47">
        <v>235.71</v>
      </c>
      <c r="J123" s="47">
        <v>219.98</v>
      </c>
      <c r="K123" s="47">
        <v>223.79</v>
      </c>
      <c r="L123" s="47">
        <v>219.73</v>
      </c>
      <c r="M123" s="47">
        <v>212.15</v>
      </c>
      <c r="N123" s="47">
        <v>223.46</v>
      </c>
      <c r="O123" s="47">
        <v>199.24</v>
      </c>
      <c r="P123" s="47">
        <v>77.37</v>
      </c>
      <c r="Q123" s="47">
        <v>27.06</v>
      </c>
      <c r="R123" s="47">
        <v>-7.04</v>
      </c>
      <c r="S123" s="47">
        <v>25.85</v>
      </c>
      <c r="T123" s="47">
        <v>28.17</v>
      </c>
      <c r="U123" s="47">
        <v>46.23</v>
      </c>
      <c r="V123" s="47">
        <v>249.8</v>
      </c>
      <c r="W123" s="47">
        <v>296.55</v>
      </c>
      <c r="X123" s="47">
        <v>303.67</v>
      </c>
      <c r="Y123" s="47">
        <v>286.75</v>
      </c>
      <c r="Z123" s="47">
        <v>284.18</v>
      </c>
      <c r="AA123" s="47">
        <v>289.45</v>
      </c>
      <c r="AB123" s="47">
        <v>268.46</v>
      </c>
      <c r="AC123" s="47">
        <v>253.53</v>
      </c>
    </row>
    <row r="124" spans="1:29">
      <c r="A124" s="32"/>
      <c r="B124" s="33"/>
      <c r="C124" s="34"/>
      <c r="D124" s="31" t="s">
        <v>50</v>
      </c>
      <c r="E124" s="26">
        <f>E122-E123</f>
        <v>43.3745833333334</v>
      </c>
      <c r="F124" s="47">
        <f t="shared" ref="F124:AC124" si="79">(F122-F123)*1</f>
        <v>52.82</v>
      </c>
      <c r="G124" s="47">
        <f t="shared" si="79"/>
        <v>42.3</v>
      </c>
      <c r="H124" s="47">
        <f t="shared" si="79"/>
        <v>31.15</v>
      </c>
      <c r="I124" s="47">
        <f t="shared" si="79"/>
        <v>21.39</v>
      </c>
      <c r="J124" s="47">
        <f t="shared" si="79"/>
        <v>30.89</v>
      </c>
      <c r="K124" s="47">
        <f t="shared" si="79"/>
        <v>24.52</v>
      </c>
      <c r="L124" s="47">
        <f t="shared" si="79"/>
        <v>31.44</v>
      </c>
      <c r="M124" s="47">
        <f t="shared" si="79"/>
        <v>41</v>
      </c>
      <c r="N124" s="47">
        <f t="shared" si="79"/>
        <v>19.04</v>
      </c>
      <c r="O124" s="47">
        <f t="shared" si="79"/>
        <v>24.01</v>
      </c>
      <c r="P124" s="47">
        <f t="shared" si="79"/>
        <v>92.31</v>
      </c>
      <c r="Q124" s="47">
        <f t="shared" si="79"/>
        <v>79.11</v>
      </c>
      <c r="R124" s="47">
        <f t="shared" si="79"/>
        <v>17.38</v>
      </c>
      <c r="S124" s="47">
        <f t="shared" si="79"/>
        <v>23.85</v>
      </c>
      <c r="T124" s="47">
        <f t="shared" si="79"/>
        <v>90.83</v>
      </c>
      <c r="U124" s="47">
        <f t="shared" si="79"/>
        <v>142.12</v>
      </c>
      <c r="V124" s="47">
        <f t="shared" si="79"/>
        <v>27.57</v>
      </c>
      <c r="W124" s="47">
        <f t="shared" si="79"/>
        <v>27.9</v>
      </c>
      <c r="X124" s="47">
        <f t="shared" si="79"/>
        <v>30.34</v>
      </c>
      <c r="Y124" s="47">
        <f t="shared" si="79"/>
        <v>47.77</v>
      </c>
      <c r="Z124" s="47">
        <f t="shared" si="79"/>
        <v>44.67</v>
      </c>
      <c r="AA124" s="47">
        <f t="shared" si="79"/>
        <v>37.77</v>
      </c>
      <c r="AB124" s="47">
        <f t="shared" si="79"/>
        <v>36.86</v>
      </c>
      <c r="AC124" s="47">
        <f t="shared" si="79"/>
        <v>23.95</v>
      </c>
    </row>
    <row r="125" spans="1:29">
      <c r="A125" s="32"/>
      <c r="B125" s="33"/>
      <c r="C125" s="36" t="s">
        <v>52</v>
      </c>
      <c r="D125" s="37"/>
      <c r="E125" s="26">
        <f t="shared" ref="E125:E129" si="80">SUM(F125:AC125)</f>
        <v>235.6388581</v>
      </c>
      <c r="F125" s="48">
        <f t="shared" ref="F125:AC125" si="81">-F121*F124</f>
        <v>0</v>
      </c>
      <c r="G125" s="48">
        <f t="shared" si="81"/>
        <v>6.923664</v>
      </c>
      <c r="H125" s="48">
        <f t="shared" si="81"/>
        <v>4.97963900000001</v>
      </c>
      <c r="I125" s="48">
        <f t="shared" si="81"/>
        <v>3.274809</v>
      </c>
      <c r="J125" s="48">
        <f t="shared" si="81"/>
        <v>4.7252433</v>
      </c>
      <c r="K125" s="48">
        <f t="shared" si="81"/>
        <v>3.7792676</v>
      </c>
      <c r="L125" s="48">
        <f t="shared" si="81"/>
        <v>4.5899256</v>
      </c>
      <c r="M125" s="48">
        <f t="shared" si="81"/>
        <v>6.29267999999999</v>
      </c>
      <c r="N125" s="48">
        <f t="shared" si="81"/>
        <v>4.5056256</v>
      </c>
      <c r="O125" s="48">
        <f t="shared" si="81"/>
        <v>6.3391202</v>
      </c>
      <c r="P125" s="48">
        <f t="shared" si="81"/>
        <v>40.4853198</v>
      </c>
      <c r="Q125" s="48">
        <f t="shared" si="81"/>
        <v>32.7958416</v>
      </c>
      <c r="R125" s="48">
        <f t="shared" si="81"/>
        <v>7.1880204</v>
      </c>
      <c r="S125" s="48">
        <f t="shared" si="81"/>
        <v>8.779185</v>
      </c>
      <c r="T125" s="48">
        <f t="shared" si="81"/>
        <v>40.8444344</v>
      </c>
      <c r="U125" s="48">
        <f t="shared" si="81"/>
        <v>60.3072008</v>
      </c>
      <c r="V125" s="48">
        <f t="shared" si="81"/>
        <v>11.353326</v>
      </c>
      <c r="W125" s="48">
        <f t="shared" si="81"/>
        <v>-6.33190499999999</v>
      </c>
      <c r="X125" s="48">
        <f t="shared" si="81"/>
        <v>-4.7539746</v>
      </c>
      <c r="Y125" s="48">
        <f t="shared" si="81"/>
        <v>-7.56629029999999</v>
      </c>
      <c r="Z125" s="48">
        <f t="shared" si="81"/>
        <v>0</v>
      </c>
      <c r="AA125" s="48">
        <f t="shared" si="81"/>
        <v>0</v>
      </c>
      <c r="AB125" s="48">
        <f t="shared" si="81"/>
        <v>4.4220942</v>
      </c>
      <c r="AC125" s="48">
        <f t="shared" si="81"/>
        <v>2.7056315</v>
      </c>
    </row>
    <row r="126" spans="1:29">
      <c r="A126" s="32"/>
      <c r="B126" s="33"/>
      <c r="C126" s="38" t="s">
        <v>53</v>
      </c>
      <c r="D126" s="37"/>
      <c r="E126" s="26">
        <f t="shared" si="80"/>
        <v>235.6388581</v>
      </c>
      <c r="F126" s="48">
        <f t="shared" ref="F126:AC126" si="82">IF(F125&gt;0,ABS(MIN(F120*0.2,ABS(F121))*F124),F125)</f>
        <v>0</v>
      </c>
      <c r="G126" s="48">
        <f t="shared" si="82"/>
        <v>6.923664</v>
      </c>
      <c r="H126" s="48">
        <f t="shared" si="82"/>
        <v>4.97963900000001</v>
      </c>
      <c r="I126" s="48">
        <f t="shared" si="82"/>
        <v>3.274809</v>
      </c>
      <c r="J126" s="48">
        <f t="shared" si="82"/>
        <v>4.7252433</v>
      </c>
      <c r="K126" s="48">
        <f t="shared" si="82"/>
        <v>3.7792676</v>
      </c>
      <c r="L126" s="48">
        <f t="shared" si="82"/>
        <v>4.5899256</v>
      </c>
      <c r="M126" s="48">
        <f t="shared" si="82"/>
        <v>6.29267999999999</v>
      </c>
      <c r="N126" s="48">
        <f t="shared" si="82"/>
        <v>4.5056256</v>
      </c>
      <c r="O126" s="48">
        <f t="shared" si="82"/>
        <v>6.3391202</v>
      </c>
      <c r="P126" s="48">
        <f t="shared" si="82"/>
        <v>40.4853198</v>
      </c>
      <c r="Q126" s="48">
        <f t="shared" si="82"/>
        <v>32.7958416</v>
      </c>
      <c r="R126" s="48">
        <f t="shared" si="82"/>
        <v>7.1880204</v>
      </c>
      <c r="S126" s="48">
        <f t="shared" si="82"/>
        <v>8.779185</v>
      </c>
      <c r="T126" s="48">
        <f t="shared" si="82"/>
        <v>40.8444344</v>
      </c>
      <c r="U126" s="48">
        <f t="shared" si="82"/>
        <v>60.3072008</v>
      </c>
      <c r="V126" s="48">
        <f t="shared" si="82"/>
        <v>11.353326</v>
      </c>
      <c r="W126" s="48">
        <f t="shared" si="82"/>
        <v>-6.33190499999999</v>
      </c>
      <c r="X126" s="48">
        <f t="shared" si="82"/>
        <v>-4.7539746</v>
      </c>
      <c r="Y126" s="48">
        <f t="shared" si="82"/>
        <v>-7.56629029999999</v>
      </c>
      <c r="Z126" s="48">
        <f t="shared" si="82"/>
        <v>0</v>
      </c>
      <c r="AA126" s="48">
        <f t="shared" si="82"/>
        <v>0</v>
      </c>
      <c r="AB126" s="48">
        <f t="shared" si="82"/>
        <v>4.4220942</v>
      </c>
      <c r="AC126" s="48">
        <f t="shared" si="82"/>
        <v>2.7056315</v>
      </c>
    </row>
    <row r="127" spans="1:29">
      <c r="A127" s="32"/>
      <c r="B127" s="33"/>
      <c r="C127" s="39" t="s">
        <v>50</v>
      </c>
      <c r="D127" s="37"/>
      <c r="E127" s="44">
        <f t="shared" ref="E127:AC127" si="83">E125-E126</f>
        <v>0</v>
      </c>
      <c r="F127" s="26">
        <f t="shared" si="83"/>
        <v>0</v>
      </c>
      <c r="G127" s="26">
        <f t="shared" si="83"/>
        <v>0</v>
      </c>
      <c r="H127" s="26">
        <f t="shared" si="83"/>
        <v>0</v>
      </c>
      <c r="I127" s="26">
        <f t="shared" si="83"/>
        <v>0</v>
      </c>
      <c r="J127" s="26">
        <f t="shared" si="83"/>
        <v>0</v>
      </c>
      <c r="K127" s="26">
        <f t="shared" si="83"/>
        <v>0</v>
      </c>
      <c r="L127" s="26">
        <f t="shared" si="83"/>
        <v>0</v>
      </c>
      <c r="M127" s="26">
        <f t="shared" si="83"/>
        <v>0</v>
      </c>
      <c r="N127" s="26">
        <f t="shared" si="83"/>
        <v>0</v>
      </c>
      <c r="O127" s="26">
        <f t="shared" si="83"/>
        <v>0</v>
      </c>
      <c r="P127" s="26">
        <f t="shared" si="83"/>
        <v>0</v>
      </c>
      <c r="Q127" s="26">
        <f t="shared" si="83"/>
        <v>0</v>
      </c>
      <c r="R127" s="26">
        <f t="shared" si="83"/>
        <v>0</v>
      </c>
      <c r="S127" s="26">
        <f t="shared" si="83"/>
        <v>0</v>
      </c>
      <c r="T127" s="26">
        <f t="shared" si="83"/>
        <v>0</v>
      </c>
      <c r="U127" s="26">
        <f t="shared" si="83"/>
        <v>0</v>
      </c>
      <c r="V127" s="26">
        <f t="shared" si="83"/>
        <v>0</v>
      </c>
      <c r="W127" s="26">
        <f t="shared" si="83"/>
        <v>0</v>
      </c>
      <c r="X127" s="26">
        <f t="shared" si="83"/>
        <v>0</v>
      </c>
      <c r="Y127" s="26">
        <f t="shared" si="83"/>
        <v>0</v>
      </c>
      <c r="Z127" s="26">
        <f t="shared" si="83"/>
        <v>0</v>
      </c>
      <c r="AA127" s="26">
        <f t="shared" si="83"/>
        <v>0</v>
      </c>
      <c r="AB127" s="26">
        <f t="shared" si="83"/>
        <v>0</v>
      </c>
      <c r="AC127" s="26">
        <f t="shared" si="83"/>
        <v>0</v>
      </c>
    </row>
    <row r="128" spans="1:29">
      <c r="A128" s="29">
        <v>46006</v>
      </c>
      <c r="B128" s="30">
        <f>E135</f>
        <v>515.5876144</v>
      </c>
      <c r="C128" s="31" t="s">
        <v>47</v>
      </c>
      <c r="D128" s="31" t="s">
        <v>48</v>
      </c>
      <c r="E128" s="42">
        <f t="shared" si="80"/>
        <v>54.16461</v>
      </c>
      <c r="F128" s="47">
        <v>1.24388</v>
      </c>
      <c r="G128" s="47">
        <v>1.13049</v>
      </c>
      <c r="H128" s="47">
        <v>1.11429</v>
      </c>
      <c r="I128" s="47">
        <v>1.07685</v>
      </c>
      <c r="J128" s="47">
        <v>1.02564</v>
      </c>
      <c r="K128" s="47">
        <v>1.02078</v>
      </c>
      <c r="L128" s="47">
        <v>0.88864</v>
      </c>
      <c r="M128" s="47">
        <v>1.46223</v>
      </c>
      <c r="N128" s="47">
        <v>3.20292</v>
      </c>
      <c r="O128" s="47">
        <v>3.49263</v>
      </c>
      <c r="P128" s="47">
        <v>2.63616</v>
      </c>
      <c r="Q128" s="47">
        <v>2.55816</v>
      </c>
      <c r="R128" s="47">
        <v>2.18392</v>
      </c>
      <c r="S128" s="47">
        <v>2.61696</v>
      </c>
      <c r="T128" s="47">
        <v>3.11712</v>
      </c>
      <c r="U128" s="47">
        <v>2.9544</v>
      </c>
      <c r="V128" s="47">
        <v>3.8123</v>
      </c>
      <c r="W128" s="47">
        <v>3.91182</v>
      </c>
      <c r="X128" s="47">
        <v>3.94368</v>
      </c>
      <c r="Y128" s="47">
        <v>3.0474</v>
      </c>
      <c r="Z128" s="47">
        <v>2.52855</v>
      </c>
      <c r="AA128" s="47">
        <v>2.08053</v>
      </c>
      <c r="AB128" s="47">
        <v>1.70631</v>
      </c>
      <c r="AC128" s="47">
        <v>1.40895</v>
      </c>
    </row>
    <row r="129" spans="1:29">
      <c r="A129" s="32"/>
      <c r="B129" s="33"/>
      <c r="C129" s="32"/>
      <c r="D129" s="6" t="s">
        <v>49</v>
      </c>
      <c r="E129" s="42">
        <f t="shared" si="80"/>
        <v>59.9772</v>
      </c>
      <c r="F129" s="47">
        <v>1.1308</v>
      </c>
      <c r="G129" s="47">
        <v>1.2561</v>
      </c>
      <c r="H129" s="47">
        <v>1.2381</v>
      </c>
      <c r="I129" s="47">
        <v>1.1965</v>
      </c>
      <c r="J129" s="47">
        <v>1.1396</v>
      </c>
      <c r="K129" s="47">
        <v>1.1342</v>
      </c>
      <c r="L129" s="47">
        <v>1.1108</v>
      </c>
      <c r="M129" s="47">
        <v>1.6247</v>
      </c>
      <c r="N129" s="47">
        <v>3.5588</v>
      </c>
      <c r="O129" s="47">
        <v>3.8807</v>
      </c>
      <c r="P129" s="47">
        <v>3.2952</v>
      </c>
      <c r="Q129" s="47">
        <v>3.1977</v>
      </c>
      <c r="R129" s="47">
        <v>2.7299</v>
      </c>
      <c r="S129" s="47">
        <v>3.2712</v>
      </c>
      <c r="T129" s="47">
        <v>3.8964</v>
      </c>
      <c r="U129" s="47">
        <v>3.693</v>
      </c>
      <c r="V129" s="47">
        <v>3.8123</v>
      </c>
      <c r="W129" s="47">
        <v>3.5562</v>
      </c>
      <c r="X129" s="47">
        <v>3.2864</v>
      </c>
      <c r="Y129" s="47">
        <v>3.386</v>
      </c>
      <c r="Z129" s="47">
        <v>2.8095</v>
      </c>
      <c r="AA129" s="47">
        <v>2.3117</v>
      </c>
      <c r="AB129" s="47">
        <v>1.8959</v>
      </c>
      <c r="AC129" s="47">
        <v>1.5655</v>
      </c>
    </row>
    <row r="130" spans="1:29">
      <c r="A130" s="32"/>
      <c r="B130" s="33"/>
      <c r="C130" s="34"/>
      <c r="D130" s="31" t="s">
        <v>50</v>
      </c>
      <c r="E130" s="26">
        <f>E128-E129</f>
        <v>-5.81259</v>
      </c>
      <c r="F130" s="47">
        <f t="shared" ref="F130:AC130" si="84">(F128-F129)*1</f>
        <v>0.11308</v>
      </c>
      <c r="G130" s="47">
        <f t="shared" si="84"/>
        <v>-0.12561</v>
      </c>
      <c r="H130" s="47">
        <f t="shared" si="84"/>
        <v>-0.12381</v>
      </c>
      <c r="I130" s="47">
        <f t="shared" si="84"/>
        <v>-0.11965</v>
      </c>
      <c r="J130" s="47">
        <f t="shared" si="84"/>
        <v>-0.11396</v>
      </c>
      <c r="K130" s="47">
        <f t="shared" si="84"/>
        <v>-0.11342</v>
      </c>
      <c r="L130" s="47">
        <f t="shared" si="84"/>
        <v>-0.22216</v>
      </c>
      <c r="M130" s="47">
        <f t="shared" si="84"/>
        <v>-0.16247</v>
      </c>
      <c r="N130" s="47">
        <f t="shared" si="84"/>
        <v>-0.35588</v>
      </c>
      <c r="O130" s="47">
        <f t="shared" si="84"/>
        <v>-0.38807</v>
      </c>
      <c r="P130" s="47">
        <f t="shared" si="84"/>
        <v>-0.65904</v>
      </c>
      <c r="Q130" s="47">
        <f t="shared" si="84"/>
        <v>-0.63954</v>
      </c>
      <c r="R130" s="47">
        <f t="shared" si="84"/>
        <v>-0.54598</v>
      </c>
      <c r="S130" s="47">
        <f t="shared" si="84"/>
        <v>-0.65424</v>
      </c>
      <c r="T130" s="47">
        <f t="shared" si="84"/>
        <v>-0.77928</v>
      </c>
      <c r="U130" s="47">
        <f t="shared" si="84"/>
        <v>-0.7386</v>
      </c>
      <c r="V130" s="47">
        <f t="shared" si="84"/>
        <v>0</v>
      </c>
      <c r="W130" s="47">
        <f t="shared" si="84"/>
        <v>0.355620000000001</v>
      </c>
      <c r="X130" s="47">
        <f t="shared" si="84"/>
        <v>0.65728</v>
      </c>
      <c r="Y130" s="47">
        <f t="shared" si="84"/>
        <v>-0.3386</v>
      </c>
      <c r="Z130" s="47">
        <f t="shared" si="84"/>
        <v>-0.28095</v>
      </c>
      <c r="AA130" s="47">
        <f t="shared" si="84"/>
        <v>-0.23117</v>
      </c>
      <c r="AB130" s="47">
        <f t="shared" si="84"/>
        <v>-0.18959</v>
      </c>
      <c r="AC130" s="47">
        <f t="shared" si="84"/>
        <v>-0.15655</v>
      </c>
    </row>
    <row r="131" spans="1:29">
      <c r="A131" s="32"/>
      <c r="B131" s="33"/>
      <c r="C131" s="35" t="s">
        <v>51</v>
      </c>
      <c r="D131" s="31" t="s">
        <v>48</v>
      </c>
      <c r="E131" s="31">
        <f>AVERAGE(F131:AC131)</f>
        <v>282.624166666667</v>
      </c>
      <c r="F131" s="47">
        <v>294.84</v>
      </c>
      <c r="G131" s="47">
        <v>290.04</v>
      </c>
      <c r="H131" s="47">
        <v>280.74</v>
      </c>
      <c r="I131" s="47">
        <v>276.79</v>
      </c>
      <c r="J131" s="47">
        <v>270.59</v>
      </c>
      <c r="K131" s="47">
        <v>271.66</v>
      </c>
      <c r="L131" s="47">
        <v>284.11</v>
      </c>
      <c r="M131" s="47">
        <v>297.68</v>
      </c>
      <c r="N131" s="47">
        <v>305.65</v>
      </c>
      <c r="O131" s="47">
        <v>290.3</v>
      </c>
      <c r="P131" s="47">
        <v>257.45</v>
      </c>
      <c r="Q131" s="47">
        <v>209.66</v>
      </c>
      <c r="R131" s="47">
        <v>120.21</v>
      </c>
      <c r="S131" s="47">
        <v>167.12</v>
      </c>
      <c r="T131" s="47">
        <v>187.86</v>
      </c>
      <c r="U131" s="47">
        <v>249.11</v>
      </c>
      <c r="V131" s="47">
        <v>298.41</v>
      </c>
      <c r="W131" s="47">
        <v>348.35</v>
      </c>
      <c r="X131" s="47">
        <v>379.23</v>
      </c>
      <c r="Y131" s="47">
        <v>367.74</v>
      </c>
      <c r="Z131" s="47">
        <v>358.12</v>
      </c>
      <c r="AA131" s="47">
        <v>355.32</v>
      </c>
      <c r="AB131" s="47">
        <v>323.6</v>
      </c>
      <c r="AC131" s="47">
        <v>298.4</v>
      </c>
    </row>
    <row r="132" spans="1:29">
      <c r="A132" s="32"/>
      <c r="B132" s="33"/>
      <c r="C132" s="32"/>
      <c r="D132" s="31" t="s">
        <v>49</v>
      </c>
      <c r="E132" s="31">
        <f>AVERAGE(F132:AC132)</f>
        <v>254.796666666667</v>
      </c>
      <c r="F132" s="47">
        <v>278.72</v>
      </c>
      <c r="G132" s="47">
        <v>279.44</v>
      </c>
      <c r="H132" s="47">
        <v>266.43</v>
      </c>
      <c r="I132" s="47">
        <v>260.1</v>
      </c>
      <c r="J132" s="47">
        <v>252.65</v>
      </c>
      <c r="K132" s="47">
        <v>262.52</v>
      </c>
      <c r="L132" s="47">
        <v>276.85</v>
      </c>
      <c r="M132" s="47">
        <v>286.87</v>
      </c>
      <c r="N132" s="47">
        <v>290.11</v>
      </c>
      <c r="O132" s="47">
        <v>234.55</v>
      </c>
      <c r="P132" s="47">
        <v>180.67</v>
      </c>
      <c r="Q132" s="47">
        <v>79.98</v>
      </c>
      <c r="R132" s="47">
        <v>-9.52</v>
      </c>
      <c r="S132" s="47">
        <v>68.81</v>
      </c>
      <c r="T132" s="47">
        <v>60.7</v>
      </c>
      <c r="U132" s="47">
        <v>107.2</v>
      </c>
      <c r="V132" s="47">
        <v>278.41</v>
      </c>
      <c r="W132" s="47">
        <v>352.49</v>
      </c>
      <c r="X132" s="47">
        <v>454.89</v>
      </c>
      <c r="Y132" s="47">
        <v>450.17</v>
      </c>
      <c r="Z132" s="47">
        <v>382.81</v>
      </c>
      <c r="AA132" s="47">
        <v>406.23</v>
      </c>
      <c r="AB132" s="47">
        <v>315.43</v>
      </c>
      <c r="AC132" s="47">
        <v>298.61</v>
      </c>
    </row>
    <row r="133" spans="1:29">
      <c r="A133" s="32"/>
      <c r="B133" s="33"/>
      <c r="C133" s="34"/>
      <c r="D133" s="31" t="s">
        <v>50</v>
      </c>
      <c r="E133" s="26">
        <f>E131-E132</f>
        <v>27.8275</v>
      </c>
      <c r="F133" s="47">
        <f t="shared" ref="F133:AC133" si="85">(F131-F132)*1</f>
        <v>16.1199999999999</v>
      </c>
      <c r="G133" s="47">
        <f t="shared" si="85"/>
        <v>10.6</v>
      </c>
      <c r="H133" s="47">
        <f t="shared" si="85"/>
        <v>14.31</v>
      </c>
      <c r="I133" s="47">
        <f t="shared" si="85"/>
        <v>16.69</v>
      </c>
      <c r="J133" s="47">
        <f t="shared" si="85"/>
        <v>17.94</v>
      </c>
      <c r="K133" s="47">
        <f t="shared" si="85"/>
        <v>9.14000000000004</v>
      </c>
      <c r="L133" s="47">
        <f t="shared" si="85"/>
        <v>7.25999999999999</v>
      </c>
      <c r="M133" s="47">
        <f t="shared" si="85"/>
        <v>10.81</v>
      </c>
      <c r="N133" s="47">
        <f t="shared" si="85"/>
        <v>15.54</v>
      </c>
      <c r="O133" s="47">
        <f t="shared" si="85"/>
        <v>55.75</v>
      </c>
      <c r="P133" s="47">
        <f t="shared" si="85"/>
        <v>76.78</v>
      </c>
      <c r="Q133" s="47">
        <f t="shared" si="85"/>
        <v>129.68</v>
      </c>
      <c r="R133" s="47">
        <f t="shared" si="85"/>
        <v>129.73</v>
      </c>
      <c r="S133" s="47">
        <f t="shared" si="85"/>
        <v>98.31</v>
      </c>
      <c r="T133" s="47">
        <f t="shared" si="85"/>
        <v>127.16</v>
      </c>
      <c r="U133" s="47">
        <f t="shared" si="85"/>
        <v>141.91</v>
      </c>
      <c r="V133" s="47">
        <f t="shared" si="85"/>
        <v>20</v>
      </c>
      <c r="W133" s="47">
        <f t="shared" si="85"/>
        <v>-4.13999999999999</v>
      </c>
      <c r="X133" s="47">
        <f t="shared" si="85"/>
        <v>-75.66</v>
      </c>
      <c r="Y133" s="47">
        <f t="shared" si="85"/>
        <v>-82.43</v>
      </c>
      <c r="Z133" s="47">
        <f t="shared" si="85"/>
        <v>-24.69</v>
      </c>
      <c r="AA133" s="47">
        <f t="shared" si="85"/>
        <v>-50.91</v>
      </c>
      <c r="AB133" s="47">
        <f t="shared" si="85"/>
        <v>8.17000000000002</v>
      </c>
      <c r="AC133" s="47">
        <f t="shared" si="85"/>
        <v>-0.210000000000036</v>
      </c>
    </row>
    <row r="134" spans="1:29">
      <c r="A134" s="32"/>
      <c r="B134" s="33"/>
      <c r="C134" s="36" t="s">
        <v>52</v>
      </c>
      <c r="D134" s="37"/>
      <c r="E134" s="26">
        <f t="shared" ref="E134:E138" si="86">SUM(F134:AC134)</f>
        <v>515.5876144</v>
      </c>
      <c r="F134" s="48">
        <f t="shared" ref="F134:AC134" si="87">-F130*F133</f>
        <v>-1.8228496</v>
      </c>
      <c r="G134" s="48">
        <f t="shared" si="87"/>
        <v>1.331466</v>
      </c>
      <c r="H134" s="48">
        <f t="shared" si="87"/>
        <v>1.7717211</v>
      </c>
      <c r="I134" s="48">
        <f t="shared" si="87"/>
        <v>1.9969585</v>
      </c>
      <c r="J134" s="48">
        <f t="shared" si="87"/>
        <v>2.04444239999999</v>
      </c>
      <c r="K134" s="48">
        <f t="shared" si="87"/>
        <v>1.03665880000001</v>
      </c>
      <c r="L134" s="48">
        <f t="shared" si="87"/>
        <v>1.6128816</v>
      </c>
      <c r="M134" s="48">
        <f t="shared" si="87"/>
        <v>1.7563007</v>
      </c>
      <c r="N134" s="48">
        <f t="shared" si="87"/>
        <v>5.53037519999999</v>
      </c>
      <c r="O134" s="48">
        <f t="shared" si="87"/>
        <v>21.6349025</v>
      </c>
      <c r="P134" s="48">
        <f t="shared" si="87"/>
        <v>50.6010912</v>
      </c>
      <c r="Q134" s="48">
        <f t="shared" si="87"/>
        <v>82.9355472</v>
      </c>
      <c r="R134" s="48">
        <f t="shared" si="87"/>
        <v>70.8299854</v>
      </c>
      <c r="S134" s="48">
        <f t="shared" si="87"/>
        <v>64.3183344</v>
      </c>
      <c r="T134" s="48">
        <f t="shared" si="87"/>
        <v>99.0932448</v>
      </c>
      <c r="U134" s="48">
        <f t="shared" si="87"/>
        <v>104.814726</v>
      </c>
      <c r="V134" s="48">
        <f t="shared" si="87"/>
        <v>0</v>
      </c>
      <c r="W134" s="48">
        <f t="shared" si="87"/>
        <v>1.4722668</v>
      </c>
      <c r="X134" s="48">
        <f t="shared" si="87"/>
        <v>49.7298048</v>
      </c>
      <c r="Y134" s="48">
        <f t="shared" si="87"/>
        <v>-27.910798</v>
      </c>
      <c r="Z134" s="48">
        <f t="shared" si="87"/>
        <v>-6.93665549999999</v>
      </c>
      <c r="AA134" s="48">
        <f t="shared" si="87"/>
        <v>-11.7688647</v>
      </c>
      <c r="AB134" s="48">
        <f t="shared" si="87"/>
        <v>1.5489503</v>
      </c>
      <c r="AC134" s="48">
        <f t="shared" si="87"/>
        <v>-0.0328755000000057</v>
      </c>
    </row>
    <row r="135" spans="1:29">
      <c r="A135" s="32"/>
      <c r="B135" s="33"/>
      <c r="C135" s="38" t="s">
        <v>53</v>
      </c>
      <c r="D135" s="37"/>
      <c r="E135" s="26">
        <f t="shared" si="86"/>
        <v>515.5876144</v>
      </c>
      <c r="F135" s="48">
        <f t="shared" ref="F135:AC135" si="88">IF(F134&gt;0,ABS(MIN(F129*0.2,ABS(F130))*F133),F134)</f>
        <v>-1.8228496</v>
      </c>
      <c r="G135" s="48">
        <f t="shared" si="88"/>
        <v>1.331466</v>
      </c>
      <c r="H135" s="48">
        <f t="shared" si="88"/>
        <v>1.7717211</v>
      </c>
      <c r="I135" s="48">
        <f t="shared" si="88"/>
        <v>1.9969585</v>
      </c>
      <c r="J135" s="48">
        <f t="shared" si="88"/>
        <v>2.04444239999999</v>
      </c>
      <c r="K135" s="48">
        <f t="shared" si="88"/>
        <v>1.03665880000001</v>
      </c>
      <c r="L135" s="48">
        <f t="shared" si="88"/>
        <v>1.6128816</v>
      </c>
      <c r="M135" s="48">
        <f t="shared" si="88"/>
        <v>1.7563007</v>
      </c>
      <c r="N135" s="48">
        <f t="shared" si="88"/>
        <v>5.53037519999999</v>
      </c>
      <c r="O135" s="48">
        <f t="shared" si="88"/>
        <v>21.6349025</v>
      </c>
      <c r="P135" s="48">
        <f t="shared" si="88"/>
        <v>50.6010912</v>
      </c>
      <c r="Q135" s="48">
        <f t="shared" si="88"/>
        <v>82.9355472</v>
      </c>
      <c r="R135" s="48">
        <f t="shared" si="88"/>
        <v>70.8299854</v>
      </c>
      <c r="S135" s="48">
        <f t="shared" si="88"/>
        <v>64.3183344</v>
      </c>
      <c r="T135" s="48">
        <f t="shared" si="88"/>
        <v>99.0932448</v>
      </c>
      <c r="U135" s="48">
        <f t="shared" si="88"/>
        <v>104.814726</v>
      </c>
      <c r="V135" s="48">
        <f t="shared" si="88"/>
        <v>0</v>
      </c>
      <c r="W135" s="48">
        <f t="shared" si="88"/>
        <v>1.4722668</v>
      </c>
      <c r="X135" s="48">
        <f t="shared" si="88"/>
        <v>49.7298048</v>
      </c>
      <c r="Y135" s="48">
        <f t="shared" si="88"/>
        <v>-27.910798</v>
      </c>
      <c r="Z135" s="48">
        <f t="shared" si="88"/>
        <v>-6.93665549999999</v>
      </c>
      <c r="AA135" s="48">
        <f t="shared" si="88"/>
        <v>-11.7688647</v>
      </c>
      <c r="AB135" s="48">
        <f t="shared" si="88"/>
        <v>1.5489503</v>
      </c>
      <c r="AC135" s="48">
        <f t="shared" si="88"/>
        <v>-0.0328755000000057</v>
      </c>
    </row>
    <row r="136" spans="1:29">
      <c r="A136" s="32"/>
      <c r="B136" s="33"/>
      <c r="C136" s="39" t="s">
        <v>50</v>
      </c>
      <c r="D136" s="37"/>
      <c r="E136" s="44">
        <f t="shared" ref="E136:AC136" si="89">E134-E135</f>
        <v>0</v>
      </c>
      <c r="F136" s="26">
        <f t="shared" si="89"/>
        <v>0</v>
      </c>
      <c r="G136" s="26">
        <f t="shared" si="89"/>
        <v>0</v>
      </c>
      <c r="H136" s="26">
        <f t="shared" si="89"/>
        <v>0</v>
      </c>
      <c r="I136" s="26">
        <f t="shared" si="89"/>
        <v>0</v>
      </c>
      <c r="J136" s="26">
        <f t="shared" si="89"/>
        <v>0</v>
      </c>
      <c r="K136" s="26">
        <f t="shared" si="89"/>
        <v>0</v>
      </c>
      <c r="L136" s="26">
        <f t="shared" si="89"/>
        <v>0</v>
      </c>
      <c r="M136" s="26">
        <f t="shared" si="89"/>
        <v>0</v>
      </c>
      <c r="N136" s="26">
        <f t="shared" si="89"/>
        <v>0</v>
      </c>
      <c r="O136" s="26">
        <f t="shared" si="89"/>
        <v>0</v>
      </c>
      <c r="P136" s="26">
        <f t="shared" si="89"/>
        <v>0</v>
      </c>
      <c r="Q136" s="26">
        <f t="shared" si="89"/>
        <v>0</v>
      </c>
      <c r="R136" s="26">
        <f t="shared" si="89"/>
        <v>0</v>
      </c>
      <c r="S136" s="26">
        <f t="shared" si="89"/>
        <v>0</v>
      </c>
      <c r="T136" s="26">
        <f t="shared" si="89"/>
        <v>0</v>
      </c>
      <c r="U136" s="26">
        <f t="shared" si="89"/>
        <v>0</v>
      </c>
      <c r="V136" s="26">
        <f t="shared" si="89"/>
        <v>0</v>
      </c>
      <c r="W136" s="26">
        <f t="shared" si="89"/>
        <v>0</v>
      </c>
      <c r="X136" s="26">
        <f t="shared" si="89"/>
        <v>0</v>
      </c>
      <c r="Y136" s="26">
        <f t="shared" si="89"/>
        <v>0</v>
      </c>
      <c r="Z136" s="26">
        <f t="shared" si="89"/>
        <v>0</v>
      </c>
      <c r="AA136" s="26">
        <f t="shared" si="89"/>
        <v>0</v>
      </c>
      <c r="AB136" s="26">
        <f t="shared" si="89"/>
        <v>0</v>
      </c>
      <c r="AC136" s="26">
        <f t="shared" si="89"/>
        <v>0</v>
      </c>
    </row>
    <row r="137" spans="1:29">
      <c r="A137" s="29">
        <v>46007</v>
      </c>
      <c r="B137" s="30">
        <f>E144</f>
        <v>277.9979953</v>
      </c>
      <c r="C137" s="31" t="s">
        <v>47</v>
      </c>
      <c r="D137" s="31" t="s">
        <v>48</v>
      </c>
      <c r="E137" s="42">
        <f t="shared" si="86"/>
        <v>58.12806</v>
      </c>
      <c r="F137" s="47">
        <v>1.5793</v>
      </c>
      <c r="G137" s="47">
        <v>1.38573</v>
      </c>
      <c r="H137" s="47">
        <v>1.30581</v>
      </c>
      <c r="I137" s="47">
        <v>1.31481</v>
      </c>
      <c r="J137" s="47">
        <v>1.28268</v>
      </c>
      <c r="K137" s="47">
        <v>1.32714</v>
      </c>
      <c r="L137" s="47">
        <v>1.1468</v>
      </c>
      <c r="M137" s="47">
        <v>1.75617</v>
      </c>
      <c r="N137" s="47">
        <v>3.48795</v>
      </c>
      <c r="O137" s="47">
        <v>3.60819</v>
      </c>
      <c r="P137" s="47">
        <v>2.70736</v>
      </c>
      <c r="Q137" s="47">
        <v>2.62448</v>
      </c>
      <c r="R137" s="47">
        <v>2.1904</v>
      </c>
      <c r="S137" s="47">
        <v>2.58344</v>
      </c>
      <c r="T137" s="47">
        <v>3.04328</v>
      </c>
      <c r="U137" s="47">
        <v>2.98824</v>
      </c>
      <c r="V137" s="47">
        <v>3.8959</v>
      </c>
      <c r="W137" s="47">
        <v>3.97969</v>
      </c>
      <c r="X137" s="47">
        <v>3.90048</v>
      </c>
      <c r="Y137" s="47">
        <v>3.75353</v>
      </c>
      <c r="Z137" s="47">
        <v>2.70693</v>
      </c>
      <c r="AA137" s="47">
        <v>2.26422</v>
      </c>
      <c r="AB137" s="47">
        <v>1.80603</v>
      </c>
      <c r="AC137" s="47">
        <v>1.4895</v>
      </c>
    </row>
    <row r="138" spans="1:29">
      <c r="A138" s="32"/>
      <c r="B138" s="33"/>
      <c r="C138" s="32"/>
      <c r="D138" s="6" t="s">
        <v>49</v>
      </c>
      <c r="E138" s="42">
        <f t="shared" si="86"/>
        <v>63.7332</v>
      </c>
      <c r="F138" s="47">
        <v>1.5793</v>
      </c>
      <c r="G138" s="47">
        <v>1.5397</v>
      </c>
      <c r="H138" s="47">
        <v>1.4509</v>
      </c>
      <c r="I138" s="47">
        <v>1.4609</v>
      </c>
      <c r="J138" s="47">
        <v>1.4252</v>
      </c>
      <c r="K138" s="47">
        <v>1.4746</v>
      </c>
      <c r="L138" s="47">
        <v>1.4335</v>
      </c>
      <c r="M138" s="47">
        <v>1.9513</v>
      </c>
      <c r="N138" s="47">
        <v>3.8755</v>
      </c>
      <c r="O138" s="47">
        <v>4.0091</v>
      </c>
      <c r="P138" s="47">
        <v>3.3842</v>
      </c>
      <c r="Q138" s="47">
        <v>3.2806</v>
      </c>
      <c r="R138" s="47">
        <v>2.738</v>
      </c>
      <c r="S138" s="47">
        <v>3.2293</v>
      </c>
      <c r="T138" s="47">
        <v>3.8041</v>
      </c>
      <c r="U138" s="47">
        <v>3.7353</v>
      </c>
      <c r="V138" s="47">
        <v>3.8959</v>
      </c>
      <c r="W138" s="47">
        <v>3.6179</v>
      </c>
      <c r="X138" s="47">
        <v>3.2504</v>
      </c>
      <c r="Y138" s="47">
        <v>3.4123</v>
      </c>
      <c r="Z138" s="47">
        <v>3.0077</v>
      </c>
      <c r="AA138" s="47">
        <v>2.5158</v>
      </c>
      <c r="AB138" s="47">
        <v>2.0067</v>
      </c>
      <c r="AC138" s="47">
        <v>1.655</v>
      </c>
    </row>
    <row r="139" spans="1:29">
      <c r="A139" s="32"/>
      <c r="B139" s="33"/>
      <c r="C139" s="34"/>
      <c r="D139" s="31" t="s">
        <v>50</v>
      </c>
      <c r="E139" s="26">
        <f>E137-E138</f>
        <v>-5.60514</v>
      </c>
      <c r="F139" s="47">
        <f t="shared" ref="F139:AC139" si="90">(F137-F138)*1</f>
        <v>0</v>
      </c>
      <c r="G139" s="47">
        <f t="shared" si="90"/>
        <v>-0.15397</v>
      </c>
      <c r="H139" s="47">
        <f t="shared" si="90"/>
        <v>-0.14509</v>
      </c>
      <c r="I139" s="47">
        <f t="shared" si="90"/>
        <v>-0.14609</v>
      </c>
      <c r="J139" s="47">
        <f t="shared" si="90"/>
        <v>-0.14252</v>
      </c>
      <c r="K139" s="47">
        <f t="shared" si="90"/>
        <v>-0.14746</v>
      </c>
      <c r="L139" s="47">
        <f t="shared" si="90"/>
        <v>-0.2867</v>
      </c>
      <c r="M139" s="47">
        <f t="shared" si="90"/>
        <v>-0.19513</v>
      </c>
      <c r="N139" s="47">
        <f t="shared" si="90"/>
        <v>-0.38755</v>
      </c>
      <c r="O139" s="47">
        <f t="shared" si="90"/>
        <v>-0.40091</v>
      </c>
      <c r="P139" s="47">
        <f t="shared" si="90"/>
        <v>-0.67684</v>
      </c>
      <c r="Q139" s="47">
        <f t="shared" si="90"/>
        <v>-0.65612</v>
      </c>
      <c r="R139" s="47">
        <f t="shared" si="90"/>
        <v>-0.5476</v>
      </c>
      <c r="S139" s="47">
        <f t="shared" si="90"/>
        <v>-0.64586</v>
      </c>
      <c r="T139" s="47">
        <f t="shared" si="90"/>
        <v>-0.76082</v>
      </c>
      <c r="U139" s="47">
        <f t="shared" si="90"/>
        <v>-0.74706</v>
      </c>
      <c r="V139" s="47">
        <f t="shared" si="90"/>
        <v>0</v>
      </c>
      <c r="W139" s="47">
        <f t="shared" si="90"/>
        <v>0.361790000000001</v>
      </c>
      <c r="X139" s="47">
        <f t="shared" si="90"/>
        <v>0.65008</v>
      </c>
      <c r="Y139" s="47">
        <f t="shared" si="90"/>
        <v>0.34123</v>
      </c>
      <c r="Z139" s="47">
        <f t="shared" si="90"/>
        <v>-0.30077</v>
      </c>
      <c r="AA139" s="47">
        <f t="shared" si="90"/>
        <v>-0.25158</v>
      </c>
      <c r="AB139" s="47">
        <f t="shared" si="90"/>
        <v>-0.20067</v>
      </c>
      <c r="AC139" s="47">
        <f t="shared" si="90"/>
        <v>-0.1655</v>
      </c>
    </row>
    <row r="140" spans="1:29">
      <c r="A140" s="32"/>
      <c r="B140" s="33"/>
      <c r="C140" s="35" t="s">
        <v>51</v>
      </c>
      <c r="D140" s="31" t="s">
        <v>48</v>
      </c>
      <c r="E140" s="31">
        <f>AVERAGE(F140:AC140)</f>
        <v>350.066666666667</v>
      </c>
      <c r="F140" s="47">
        <v>323.32</v>
      </c>
      <c r="G140" s="47">
        <v>316.57</v>
      </c>
      <c r="H140" s="47">
        <v>314.51</v>
      </c>
      <c r="I140" s="47">
        <v>311.14</v>
      </c>
      <c r="J140" s="47">
        <v>305.65</v>
      </c>
      <c r="K140" s="47">
        <v>302.84</v>
      </c>
      <c r="L140" s="47">
        <v>319.99</v>
      </c>
      <c r="M140" s="47">
        <v>339.16</v>
      </c>
      <c r="N140" s="47">
        <v>358.21</v>
      </c>
      <c r="O140" s="47">
        <v>343.02</v>
      </c>
      <c r="P140" s="47">
        <v>299.17</v>
      </c>
      <c r="Q140" s="47">
        <v>278.3</v>
      </c>
      <c r="R140" s="47">
        <v>255.89</v>
      </c>
      <c r="S140" s="47">
        <v>267.85</v>
      </c>
      <c r="T140" s="47">
        <v>274.31</v>
      </c>
      <c r="U140" s="47">
        <v>297.12</v>
      </c>
      <c r="V140" s="47">
        <v>357.38</v>
      </c>
      <c r="W140" s="47">
        <v>431.01</v>
      </c>
      <c r="X140" s="47">
        <v>492.96</v>
      </c>
      <c r="Y140" s="47">
        <v>529.36</v>
      </c>
      <c r="Z140" s="47">
        <v>485.9</v>
      </c>
      <c r="AA140" s="47">
        <v>453.6</v>
      </c>
      <c r="AB140" s="47">
        <v>406.3</v>
      </c>
      <c r="AC140" s="47">
        <v>338.04</v>
      </c>
    </row>
    <row r="141" spans="1:29">
      <c r="A141" s="32"/>
      <c r="B141" s="33"/>
      <c r="C141" s="32"/>
      <c r="D141" s="31" t="s">
        <v>49</v>
      </c>
      <c r="E141" s="31">
        <f>AVERAGE(F141:AC141)</f>
        <v>342.124166666667</v>
      </c>
      <c r="F141" s="47">
        <v>327.09</v>
      </c>
      <c r="G141" s="47">
        <v>308.01</v>
      </c>
      <c r="H141" s="47">
        <v>305.42</v>
      </c>
      <c r="I141" s="47">
        <v>307.35</v>
      </c>
      <c r="J141" s="47">
        <v>303.81</v>
      </c>
      <c r="K141" s="47">
        <v>300.06</v>
      </c>
      <c r="L141" s="47">
        <v>320.7</v>
      </c>
      <c r="M141" s="47">
        <v>337.61</v>
      </c>
      <c r="N141" s="47">
        <v>367.13</v>
      </c>
      <c r="O141" s="47">
        <v>311.03</v>
      </c>
      <c r="P141" s="47">
        <v>278.73</v>
      </c>
      <c r="Q141" s="47">
        <v>234.49</v>
      </c>
      <c r="R141" s="47">
        <v>200.99</v>
      </c>
      <c r="S141" s="47">
        <v>250</v>
      </c>
      <c r="T141" s="47">
        <v>240.35</v>
      </c>
      <c r="U141" s="47">
        <v>271.56</v>
      </c>
      <c r="V141" s="47">
        <v>310.82</v>
      </c>
      <c r="W141" s="47">
        <v>497.94</v>
      </c>
      <c r="X141" s="47">
        <v>633.66</v>
      </c>
      <c r="Y141" s="47">
        <v>514.98</v>
      </c>
      <c r="Z141" s="47">
        <v>436.35</v>
      </c>
      <c r="AA141" s="47">
        <v>426.64</v>
      </c>
      <c r="AB141" s="47">
        <v>403.09</v>
      </c>
      <c r="AC141" s="47">
        <v>323.17</v>
      </c>
    </row>
    <row r="142" spans="1:29">
      <c r="A142" s="32"/>
      <c r="B142" s="33"/>
      <c r="C142" s="34"/>
      <c r="D142" s="31" t="s">
        <v>50</v>
      </c>
      <c r="E142" s="26">
        <f>E140-E141</f>
        <v>7.9425</v>
      </c>
      <c r="F142" s="47">
        <f t="shared" ref="F142:AC142" si="91">(F140-F141)*1</f>
        <v>-3.76999999999998</v>
      </c>
      <c r="G142" s="47">
        <f t="shared" si="91"/>
        <v>8.56</v>
      </c>
      <c r="H142" s="47">
        <f t="shared" si="91"/>
        <v>9.08999999999997</v>
      </c>
      <c r="I142" s="47">
        <f t="shared" si="91"/>
        <v>3.78999999999996</v>
      </c>
      <c r="J142" s="47">
        <f t="shared" si="91"/>
        <v>1.83999999999997</v>
      </c>
      <c r="K142" s="47">
        <f t="shared" si="91"/>
        <v>2.77999999999997</v>
      </c>
      <c r="L142" s="47">
        <f t="shared" si="91"/>
        <v>-0.70999999999998</v>
      </c>
      <c r="M142" s="47">
        <f t="shared" si="91"/>
        <v>1.55000000000001</v>
      </c>
      <c r="N142" s="47">
        <f t="shared" si="91"/>
        <v>-8.92000000000002</v>
      </c>
      <c r="O142" s="47">
        <f t="shared" si="91"/>
        <v>31.99</v>
      </c>
      <c r="P142" s="47">
        <f t="shared" si="91"/>
        <v>20.44</v>
      </c>
      <c r="Q142" s="47">
        <f t="shared" si="91"/>
        <v>43.81</v>
      </c>
      <c r="R142" s="47">
        <f t="shared" si="91"/>
        <v>54.9</v>
      </c>
      <c r="S142" s="47">
        <f t="shared" si="91"/>
        <v>17.85</v>
      </c>
      <c r="T142" s="47">
        <f t="shared" si="91"/>
        <v>33.96</v>
      </c>
      <c r="U142" s="47">
        <f t="shared" si="91"/>
        <v>25.56</v>
      </c>
      <c r="V142" s="47">
        <f t="shared" si="91"/>
        <v>46.56</v>
      </c>
      <c r="W142" s="47">
        <f t="shared" si="91"/>
        <v>-66.93</v>
      </c>
      <c r="X142" s="47">
        <f t="shared" si="91"/>
        <v>-140.7</v>
      </c>
      <c r="Y142" s="47">
        <f t="shared" si="91"/>
        <v>14.38</v>
      </c>
      <c r="Z142" s="47">
        <f t="shared" si="91"/>
        <v>49.55</v>
      </c>
      <c r="AA142" s="47">
        <f t="shared" si="91"/>
        <v>26.96</v>
      </c>
      <c r="AB142" s="47">
        <f t="shared" si="91"/>
        <v>3.21000000000004</v>
      </c>
      <c r="AC142" s="47">
        <f t="shared" si="91"/>
        <v>14.87</v>
      </c>
    </row>
    <row r="143" spans="1:29">
      <c r="A143" s="32"/>
      <c r="B143" s="33"/>
      <c r="C143" s="36" t="s">
        <v>52</v>
      </c>
      <c r="D143" s="37"/>
      <c r="E143" s="26">
        <f t="shared" ref="E143:E147" si="92">SUM(F143:AC143)</f>
        <v>277.9979953</v>
      </c>
      <c r="F143" s="48">
        <f t="shared" ref="F143:AC143" si="93">-F139*F142</f>
        <v>0</v>
      </c>
      <c r="G143" s="48">
        <f t="shared" si="93"/>
        <v>1.3179832</v>
      </c>
      <c r="H143" s="48">
        <f t="shared" si="93"/>
        <v>1.3188681</v>
      </c>
      <c r="I143" s="48">
        <f t="shared" si="93"/>
        <v>0.553681099999995</v>
      </c>
      <c r="J143" s="48">
        <f t="shared" si="93"/>
        <v>0.262236799999996</v>
      </c>
      <c r="K143" s="48">
        <f t="shared" si="93"/>
        <v>0.409938799999996</v>
      </c>
      <c r="L143" s="48">
        <f t="shared" si="93"/>
        <v>-0.203556999999994</v>
      </c>
      <c r="M143" s="48">
        <f t="shared" si="93"/>
        <v>0.302451500000002</v>
      </c>
      <c r="N143" s="48">
        <f t="shared" si="93"/>
        <v>-3.45694600000001</v>
      </c>
      <c r="O143" s="48">
        <f t="shared" si="93"/>
        <v>12.8251109</v>
      </c>
      <c r="P143" s="48">
        <f t="shared" si="93"/>
        <v>13.8346096</v>
      </c>
      <c r="Q143" s="48">
        <f t="shared" si="93"/>
        <v>28.7446172</v>
      </c>
      <c r="R143" s="48">
        <f t="shared" si="93"/>
        <v>30.06324</v>
      </c>
      <c r="S143" s="48">
        <f t="shared" si="93"/>
        <v>11.528601</v>
      </c>
      <c r="T143" s="48">
        <f t="shared" si="93"/>
        <v>25.8374472</v>
      </c>
      <c r="U143" s="48">
        <f t="shared" si="93"/>
        <v>19.0948536</v>
      </c>
      <c r="V143" s="48">
        <f t="shared" si="93"/>
        <v>0</v>
      </c>
      <c r="W143" s="48">
        <f t="shared" si="93"/>
        <v>24.2146047000001</v>
      </c>
      <c r="X143" s="48">
        <f t="shared" si="93"/>
        <v>91.466256</v>
      </c>
      <c r="Y143" s="48">
        <f t="shared" si="93"/>
        <v>-4.9068874</v>
      </c>
      <c r="Z143" s="48">
        <f t="shared" si="93"/>
        <v>14.9031535</v>
      </c>
      <c r="AA143" s="48">
        <f t="shared" si="93"/>
        <v>6.78259680000001</v>
      </c>
      <c r="AB143" s="48">
        <f t="shared" si="93"/>
        <v>0.644150700000007</v>
      </c>
      <c r="AC143" s="48">
        <f t="shared" si="93"/>
        <v>2.460985</v>
      </c>
    </row>
    <row r="144" spans="1:29">
      <c r="A144" s="32"/>
      <c r="B144" s="33"/>
      <c r="C144" s="38" t="s">
        <v>53</v>
      </c>
      <c r="D144" s="37"/>
      <c r="E144" s="26">
        <f t="shared" si="92"/>
        <v>277.9979953</v>
      </c>
      <c r="F144" s="48">
        <f t="shared" ref="F144:AC144" si="94">IF(F143&gt;0,ABS(MIN(F138*0.2,ABS(F139))*F142),F143)</f>
        <v>0</v>
      </c>
      <c r="G144" s="48">
        <f t="shared" si="94"/>
        <v>1.3179832</v>
      </c>
      <c r="H144" s="48">
        <f t="shared" si="94"/>
        <v>1.3188681</v>
      </c>
      <c r="I144" s="48">
        <f t="shared" si="94"/>
        <v>0.553681099999995</v>
      </c>
      <c r="J144" s="48">
        <f t="shared" si="94"/>
        <v>0.262236799999996</v>
      </c>
      <c r="K144" s="48">
        <f t="shared" si="94"/>
        <v>0.409938799999996</v>
      </c>
      <c r="L144" s="48">
        <f t="shared" si="94"/>
        <v>-0.203556999999994</v>
      </c>
      <c r="M144" s="48">
        <f t="shared" si="94"/>
        <v>0.302451500000002</v>
      </c>
      <c r="N144" s="48">
        <f t="shared" si="94"/>
        <v>-3.45694600000001</v>
      </c>
      <c r="O144" s="48">
        <f t="shared" si="94"/>
        <v>12.8251109</v>
      </c>
      <c r="P144" s="48">
        <f t="shared" si="94"/>
        <v>13.8346096</v>
      </c>
      <c r="Q144" s="48">
        <f t="shared" si="94"/>
        <v>28.7446172</v>
      </c>
      <c r="R144" s="48">
        <f t="shared" si="94"/>
        <v>30.06324</v>
      </c>
      <c r="S144" s="48">
        <f t="shared" si="94"/>
        <v>11.528601</v>
      </c>
      <c r="T144" s="48">
        <f t="shared" si="94"/>
        <v>25.8374472</v>
      </c>
      <c r="U144" s="48">
        <f t="shared" si="94"/>
        <v>19.0948536</v>
      </c>
      <c r="V144" s="48">
        <f t="shared" si="94"/>
        <v>0</v>
      </c>
      <c r="W144" s="48">
        <f t="shared" si="94"/>
        <v>24.2146047000001</v>
      </c>
      <c r="X144" s="48">
        <f t="shared" si="94"/>
        <v>91.466256</v>
      </c>
      <c r="Y144" s="48">
        <f t="shared" si="94"/>
        <v>-4.9068874</v>
      </c>
      <c r="Z144" s="48">
        <f t="shared" si="94"/>
        <v>14.9031535</v>
      </c>
      <c r="AA144" s="48">
        <f t="shared" si="94"/>
        <v>6.78259680000001</v>
      </c>
      <c r="AB144" s="48">
        <f t="shared" si="94"/>
        <v>0.644150700000007</v>
      </c>
      <c r="AC144" s="48">
        <f t="shared" si="94"/>
        <v>2.460985</v>
      </c>
    </row>
    <row r="145" spans="1:29">
      <c r="A145" s="32"/>
      <c r="B145" s="33"/>
      <c r="C145" s="39" t="s">
        <v>50</v>
      </c>
      <c r="D145" s="37"/>
      <c r="E145" s="44">
        <f t="shared" ref="E145:AC145" si="95">E143-E144</f>
        <v>0</v>
      </c>
      <c r="F145" s="26">
        <f t="shared" si="95"/>
        <v>0</v>
      </c>
      <c r="G145" s="26">
        <f t="shared" si="95"/>
        <v>0</v>
      </c>
      <c r="H145" s="26">
        <f t="shared" si="95"/>
        <v>0</v>
      </c>
      <c r="I145" s="26">
        <f t="shared" si="95"/>
        <v>0</v>
      </c>
      <c r="J145" s="26">
        <f t="shared" si="95"/>
        <v>0</v>
      </c>
      <c r="K145" s="26">
        <f t="shared" si="95"/>
        <v>0</v>
      </c>
      <c r="L145" s="26">
        <f t="shared" si="95"/>
        <v>0</v>
      </c>
      <c r="M145" s="26">
        <f t="shared" si="95"/>
        <v>0</v>
      </c>
      <c r="N145" s="26">
        <f t="shared" si="95"/>
        <v>0</v>
      </c>
      <c r="O145" s="26">
        <f t="shared" si="95"/>
        <v>0</v>
      </c>
      <c r="P145" s="26">
        <f t="shared" si="95"/>
        <v>0</v>
      </c>
      <c r="Q145" s="26">
        <f t="shared" si="95"/>
        <v>0</v>
      </c>
      <c r="R145" s="26">
        <f t="shared" si="95"/>
        <v>0</v>
      </c>
      <c r="S145" s="26">
        <f t="shared" si="95"/>
        <v>0</v>
      </c>
      <c r="T145" s="26">
        <f t="shared" si="95"/>
        <v>0</v>
      </c>
      <c r="U145" s="26">
        <f t="shared" si="95"/>
        <v>0</v>
      </c>
      <c r="V145" s="26">
        <f t="shared" si="95"/>
        <v>0</v>
      </c>
      <c r="W145" s="26">
        <f t="shared" si="95"/>
        <v>0</v>
      </c>
      <c r="X145" s="26">
        <f t="shared" si="95"/>
        <v>0</v>
      </c>
      <c r="Y145" s="26">
        <f t="shared" si="95"/>
        <v>0</v>
      </c>
      <c r="Z145" s="26">
        <f t="shared" si="95"/>
        <v>0</v>
      </c>
      <c r="AA145" s="26">
        <f t="shared" si="95"/>
        <v>0</v>
      </c>
      <c r="AB145" s="26">
        <f t="shared" si="95"/>
        <v>0</v>
      </c>
      <c r="AC145" s="26">
        <f t="shared" si="95"/>
        <v>0</v>
      </c>
    </row>
    <row r="146" spans="1:29">
      <c r="A146" s="29">
        <v>46008</v>
      </c>
      <c r="B146" s="30">
        <f>E153</f>
        <v>805.8680891</v>
      </c>
      <c r="C146" s="31" t="s">
        <v>47</v>
      </c>
      <c r="D146" s="31" t="s">
        <v>48</v>
      </c>
      <c r="E146" s="42">
        <f t="shared" si="92"/>
        <v>59.97181</v>
      </c>
      <c r="F146" s="43">
        <v>1.6909</v>
      </c>
      <c r="G146" s="43">
        <v>1.53981</v>
      </c>
      <c r="H146" s="43">
        <v>1.55772</v>
      </c>
      <c r="I146" s="43">
        <v>1.43104</v>
      </c>
      <c r="J146" s="43">
        <v>1.38824</v>
      </c>
      <c r="K146" s="43">
        <v>1.30984</v>
      </c>
      <c r="L146" s="43">
        <v>1.2216</v>
      </c>
      <c r="M146" s="43">
        <v>1.75779</v>
      </c>
      <c r="N146" s="43">
        <v>3.61323</v>
      </c>
      <c r="O146" s="43">
        <v>3.75021</v>
      </c>
      <c r="P146" s="43">
        <v>2.84848</v>
      </c>
      <c r="Q146" s="43">
        <v>2.75016</v>
      </c>
      <c r="R146" s="43">
        <v>2.2392</v>
      </c>
      <c r="S146" s="43">
        <v>2.69144</v>
      </c>
      <c r="T146" s="43">
        <v>3.098</v>
      </c>
      <c r="U146" s="43">
        <v>2.96904</v>
      </c>
      <c r="V146" s="43">
        <v>3.5514</v>
      </c>
      <c r="W146" s="43">
        <v>4.08661</v>
      </c>
      <c r="X146" s="43">
        <v>3.8566</v>
      </c>
      <c r="Y146" s="43">
        <v>3.91039</v>
      </c>
      <c r="Z146" s="43">
        <v>2.84904</v>
      </c>
      <c r="AA146" s="43">
        <v>2.33073</v>
      </c>
      <c r="AB146" s="43">
        <v>1.85328</v>
      </c>
      <c r="AC146" s="43">
        <v>1.67706</v>
      </c>
    </row>
    <row r="147" spans="1:29">
      <c r="A147" s="32"/>
      <c r="B147" s="33"/>
      <c r="C147" s="32"/>
      <c r="D147" s="6" t="s">
        <v>49</v>
      </c>
      <c r="E147" s="42">
        <f t="shared" si="92"/>
        <v>67.101</v>
      </c>
      <c r="F147" s="43">
        <v>1.6909</v>
      </c>
      <c r="G147" s="43">
        <v>1.7109</v>
      </c>
      <c r="H147" s="43">
        <v>1.7308</v>
      </c>
      <c r="I147" s="43">
        <v>1.7888</v>
      </c>
      <c r="J147" s="43">
        <v>1.7353</v>
      </c>
      <c r="K147" s="43">
        <v>1.6373</v>
      </c>
      <c r="L147" s="43">
        <v>1.527</v>
      </c>
      <c r="M147" s="43">
        <v>1.9531</v>
      </c>
      <c r="N147" s="43">
        <v>4.0147</v>
      </c>
      <c r="O147" s="43">
        <v>4.1669</v>
      </c>
      <c r="P147" s="43">
        <v>3.5606</v>
      </c>
      <c r="Q147" s="43">
        <v>3.4377</v>
      </c>
      <c r="R147" s="43">
        <v>2.799</v>
      </c>
      <c r="S147" s="43">
        <v>3.3643</v>
      </c>
      <c r="T147" s="43">
        <v>3.8725</v>
      </c>
      <c r="U147" s="43">
        <v>3.7113</v>
      </c>
      <c r="V147" s="43">
        <v>3.946</v>
      </c>
      <c r="W147" s="43">
        <v>3.7151</v>
      </c>
      <c r="X147" s="43">
        <v>3.506</v>
      </c>
      <c r="Y147" s="43">
        <v>3.5549</v>
      </c>
      <c r="Z147" s="43">
        <v>3.1656</v>
      </c>
      <c r="AA147" s="43">
        <v>2.5897</v>
      </c>
      <c r="AB147" s="43">
        <v>2.0592</v>
      </c>
      <c r="AC147" s="43">
        <v>1.8634</v>
      </c>
    </row>
    <row r="148" spans="1:29">
      <c r="A148" s="32"/>
      <c r="B148" s="33"/>
      <c r="C148" s="34"/>
      <c r="D148" s="31" t="s">
        <v>50</v>
      </c>
      <c r="E148" s="26">
        <f>E146-E147</f>
        <v>-7.12918999999999</v>
      </c>
      <c r="F148" s="43">
        <f t="shared" ref="F148:AC148" si="96">(F146-F147)*1</f>
        <v>0</v>
      </c>
      <c r="G148" s="43">
        <f t="shared" si="96"/>
        <v>-0.17109</v>
      </c>
      <c r="H148" s="43">
        <f t="shared" si="96"/>
        <v>-0.17308</v>
      </c>
      <c r="I148" s="43">
        <f t="shared" si="96"/>
        <v>-0.35776</v>
      </c>
      <c r="J148" s="43">
        <f t="shared" si="96"/>
        <v>-0.34706</v>
      </c>
      <c r="K148" s="43">
        <f t="shared" si="96"/>
        <v>-0.32746</v>
      </c>
      <c r="L148" s="43">
        <f t="shared" si="96"/>
        <v>-0.3054</v>
      </c>
      <c r="M148" s="43">
        <f t="shared" si="96"/>
        <v>-0.19531</v>
      </c>
      <c r="N148" s="43">
        <f t="shared" si="96"/>
        <v>-0.401469999999999</v>
      </c>
      <c r="O148" s="43">
        <f t="shared" si="96"/>
        <v>-0.41669</v>
      </c>
      <c r="P148" s="43">
        <f t="shared" si="96"/>
        <v>-0.71212</v>
      </c>
      <c r="Q148" s="43">
        <f t="shared" si="96"/>
        <v>-0.68754</v>
      </c>
      <c r="R148" s="43">
        <f t="shared" si="96"/>
        <v>-0.5598</v>
      </c>
      <c r="S148" s="43">
        <f t="shared" si="96"/>
        <v>-0.67286</v>
      </c>
      <c r="T148" s="43">
        <f t="shared" si="96"/>
        <v>-0.7745</v>
      </c>
      <c r="U148" s="43">
        <f t="shared" si="96"/>
        <v>-0.74226</v>
      </c>
      <c r="V148" s="43">
        <f t="shared" si="96"/>
        <v>-0.3946</v>
      </c>
      <c r="W148" s="43">
        <f t="shared" si="96"/>
        <v>0.37151</v>
      </c>
      <c r="X148" s="43">
        <f t="shared" si="96"/>
        <v>0.3506</v>
      </c>
      <c r="Y148" s="43">
        <f t="shared" si="96"/>
        <v>0.35549</v>
      </c>
      <c r="Z148" s="43">
        <f t="shared" si="96"/>
        <v>-0.31656</v>
      </c>
      <c r="AA148" s="43">
        <f t="shared" si="96"/>
        <v>-0.25897</v>
      </c>
      <c r="AB148" s="43">
        <f t="shared" si="96"/>
        <v>-0.20592</v>
      </c>
      <c r="AC148" s="43">
        <f t="shared" si="96"/>
        <v>-0.18634</v>
      </c>
    </row>
    <row r="149" spans="1:29">
      <c r="A149" s="32"/>
      <c r="B149" s="33"/>
      <c r="C149" s="35" t="s">
        <v>51</v>
      </c>
      <c r="D149" s="31" t="s">
        <v>48</v>
      </c>
      <c r="E149" s="31">
        <f>AVERAGE(F149:AC149)</f>
        <v>308.664166666667</v>
      </c>
      <c r="F149" s="43">
        <v>355.02</v>
      </c>
      <c r="G149" s="43">
        <v>320.18</v>
      </c>
      <c r="H149" s="43">
        <v>314.85</v>
      </c>
      <c r="I149" s="43">
        <v>304.46</v>
      </c>
      <c r="J149" s="43">
        <v>297.65</v>
      </c>
      <c r="K149" s="43">
        <v>295.5</v>
      </c>
      <c r="L149" s="43">
        <v>306.26</v>
      </c>
      <c r="M149" s="43">
        <v>316.26</v>
      </c>
      <c r="N149" s="43">
        <v>342.22</v>
      </c>
      <c r="O149" s="43">
        <v>320.47</v>
      </c>
      <c r="P149" s="43">
        <v>276.82</v>
      </c>
      <c r="Q149" s="43">
        <v>235.68</v>
      </c>
      <c r="R149" s="43">
        <v>163.19</v>
      </c>
      <c r="S149" s="43">
        <v>207.7</v>
      </c>
      <c r="T149" s="43">
        <v>201.99</v>
      </c>
      <c r="U149" s="43">
        <v>258.08</v>
      </c>
      <c r="V149" s="43">
        <v>315.83</v>
      </c>
      <c r="W149" s="43">
        <v>364.59</v>
      </c>
      <c r="X149" s="43">
        <v>417.77</v>
      </c>
      <c r="Y149" s="43">
        <v>427.62</v>
      </c>
      <c r="Z149" s="43">
        <v>402.18</v>
      </c>
      <c r="AA149" s="43">
        <v>363.63</v>
      </c>
      <c r="AB149" s="43">
        <v>317.28</v>
      </c>
      <c r="AC149" s="43">
        <v>282.71</v>
      </c>
    </row>
    <row r="150" spans="1:29">
      <c r="A150" s="32"/>
      <c r="B150" s="33"/>
      <c r="C150" s="32"/>
      <c r="D150" s="31" t="s">
        <v>49</v>
      </c>
      <c r="E150" s="31">
        <f>AVERAGE(F150:AC150)</f>
        <v>302.605</v>
      </c>
      <c r="F150" s="43">
        <v>422.92</v>
      </c>
      <c r="G150" s="43">
        <v>328.73</v>
      </c>
      <c r="H150" s="43">
        <v>317.85</v>
      </c>
      <c r="I150" s="43">
        <v>300.05</v>
      </c>
      <c r="J150" s="43">
        <v>292.2</v>
      </c>
      <c r="K150" s="43">
        <v>292.9</v>
      </c>
      <c r="L150" s="43">
        <v>312.11</v>
      </c>
      <c r="M150" s="43">
        <v>335.1</v>
      </c>
      <c r="N150" s="43">
        <v>364.75</v>
      </c>
      <c r="O150" s="43">
        <v>291.35</v>
      </c>
      <c r="P150" s="43">
        <v>202.42</v>
      </c>
      <c r="Q150" s="43">
        <v>120.79</v>
      </c>
      <c r="R150" s="43">
        <v>-26.97</v>
      </c>
      <c r="S150" s="43">
        <v>23.93</v>
      </c>
      <c r="T150" s="43">
        <v>-4.51</v>
      </c>
      <c r="U150" s="43">
        <v>166.89</v>
      </c>
      <c r="V150" s="43">
        <v>335.65</v>
      </c>
      <c r="W150" s="43">
        <v>745.94</v>
      </c>
      <c r="X150" s="43">
        <v>668.31</v>
      </c>
      <c r="Y150" s="43">
        <v>410.89</v>
      </c>
      <c r="Z150" s="43">
        <v>408.28</v>
      </c>
      <c r="AA150" s="43">
        <v>356.84</v>
      </c>
      <c r="AB150" s="43">
        <v>321.82</v>
      </c>
      <c r="AC150" s="43">
        <v>274.28</v>
      </c>
    </row>
    <row r="151" spans="1:29">
      <c r="A151" s="32"/>
      <c r="B151" s="33"/>
      <c r="C151" s="34"/>
      <c r="D151" s="31" t="s">
        <v>50</v>
      </c>
      <c r="E151" s="26">
        <f>E149-E150</f>
        <v>6.05916666666673</v>
      </c>
      <c r="F151" s="43">
        <f t="shared" ref="F151:AC151" si="97">(F149-F150)*1</f>
        <v>-67.9</v>
      </c>
      <c r="G151" s="43">
        <f t="shared" si="97"/>
        <v>-8.55000000000001</v>
      </c>
      <c r="H151" s="43">
        <f t="shared" si="97"/>
        <v>-3</v>
      </c>
      <c r="I151" s="43">
        <f t="shared" si="97"/>
        <v>4.40999999999997</v>
      </c>
      <c r="J151" s="43">
        <f t="shared" si="97"/>
        <v>5.44999999999999</v>
      </c>
      <c r="K151" s="43">
        <f t="shared" si="97"/>
        <v>2.60000000000002</v>
      </c>
      <c r="L151" s="43">
        <f t="shared" si="97"/>
        <v>-5.85000000000002</v>
      </c>
      <c r="M151" s="43">
        <f t="shared" si="97"/>
        <v>-18.84</v>
      </c>
      <c r="N151" s="43">
        <f t="shared" si="97"/>
        <v>-22.53</v>
      </c>
      <c r="O151" s="43">
        <f t="shared" si="97"/>
        <v>29.12</v>
      </c>
      <c r="P151" s="43">
        <f t="shared" si="97"/>
        <v>74.4</v>
      </c>
      <c r="Q151" s="43">
        <f t="shared" si="97"/>
        <v>114.89</v>
      </c>
      <c r="R151" s="43">
        <f t="shared" si="97"/>
        <v>190.16</v>
      </c>
      <c r="S151" s="43">
        <f t="shared" si="97"/>
        <v>183.77</v>
      </c>
      <c r="T151" s="43">
        <f t="shared" si="97"/>
        <v>206.5</v>
      </c>
      <c r="U151" s="43">
        <f t="shared" si="97"/>
        <v>91.19</v>
      </c>
      <c r="V151" s="43">
        <f t="shared" si="97"/>
        <v>-19.82</v>
      </c>
      <c r="W151" s="43">
        <f t="shared" si="97"/>
        <v>-381.35</v>
      </c>
      <c r="X151" s="43">
        <f t="shared" si="97"/>
        <v>-250.54</v>
      </c>
      <c r="Y151" s="43">
        <f t="shared" si="97"/>
        <v>16.73</v>
      </c>
      <c r="Z151" s="43">
        <f t="shared" si="97"/>
        <v>-6.09999999999997</v>
      </c>
      <c r="AA151" s="43">
        <f t="shared" si="97"/>
        <v>6.79000000000002</v>
      </c>
      <c r="AB151" s="43">
        <f t="shared" si="97"/>
        <v>-4.54000000000002</v>
      </c>
      <c r="AC151" s="43">
        <f t="shared" si="97"/>
        <v>8.43000000000001</v>
      </c>
    </row>
    <row r="152" spans="1:29">
      <c r="A152" s="32"/>
      <c r="B152" s="33"/>
      <c r="C152" s="36" t="s">
        <v>52</v>
      </c>
      <c r="D152" s="37"/>
      <c r="E152" s="26">
        <f t="shared" ref="E152:E156" si="98">SUM(F152:AC152)</f>
        <v>805.8680891</v>
      </c>
      <c r="F152" s="48">
        <f t="shared" ref="F152:AC152" si="99">-F148*F151</f>
        <v>0</v>
      </c>
      <c r="G152" s="48">
        <f t="shared" si="99"/>
        <v>-1.4628195</v>
      </c>
      <c r="H152" s="48">
        <f t="shared" si="99"/>
        <v>-0.51924</v>
      </c>
      <c r="I152" s="48">
        <f t="shared" si="99"/>
        <v>1.57772159999999</v>
      </c>
      <c r="J152" s="48">
        <f t="shared" si="99"/>
        <v>1.891477</v>
      </c>
      <c r="K152" s="48">
        <f t="shared" si="99"/>
        <v>0.851396000000008</v>
      </c>
      <c r="L152" s="48">
        <f t="shared" si="99"/>
        <v>-1.78659000000001</v>
      </c>
      <c r="M152" s="48">
        <f t="shared" si="99"/>
        <v>-3.67964040000001</v>
      </c>
      <c r="N152" s="48">
        <f t="shared" si="99"/>
        <v>-9.04511909999997</v>
      </c>
      <c r="O152" s="48">
        <f t="shared" si="99"/>
        <v>12.1340128</v>
      </c>
      <c r="P152" s="48">
        <f t="shared" si="99"/>
        <v>52.981728</v>
      </c>
      <c r="Q152" s="48">
        <f t="shared" si="99"/>
        <v>78.9914706</v>
      </c>
      <c r="R152" s="48">
        <f t="shared" si="99"/>
        <v>106.451568</v>
      </c>
      <c r="S152" s="48">
        <f t="shared" si="99"/>
        <v>123.6514822</v>
      </c>
      <c r="T152" s="48">
        <f t="shared" si="99"/>
        <v>159.93425</v>
      </c>
      <c r="U152" s="48">
        <f t="shared" si="99"/>
        <v>67.6866894</v>
      </c>
      <c r="V152" s="48">
        <f t="shared" si="99"/>
        <v>-7.820972</v>
      </c>
      <c r="W152" s="48">
        <f t="shared" si="99"/>
        <v>141.6753385</v>
      </c>
      <c r="X152" s="48">
        <f t="shared" si="99"/>
        <v>87.839324</v>
      </c>
      <c r="Y152" s="48">
        <f t="shared" si="99"/>
        <v>-5.94734770000001</v>
      </c>
      <c r="Z152" s="48">
        <f t="shared" si="99"/>
        <v>-1.93101599999999</v>
      </c>
      <c r="AA152" s="48">
        <f t="shared" si="99"/>
        <v>1.75840630000001</v>
      </c>
      <c r="AB152" s="48">
        <f t="shared" si="99"/>
        <v>-0.934876800000005</v>
      </c>
      <c r="AC152" s="48">
        <f t="shared" si="99"/>
        <v>1.5708462</v>
      </c>
    </row>
    <row r="153" spans="1:29">
      <c r="A153" s="32"/>
      <c r="B153" s="33"/>
      <c r="C153" s="38" t="s">
        <v>53</v>
      </c>
      <c r="D153" s="37"/>
      <c r="E153" s="26">
        <f t="shared" si="98"/>
        <v>805.8680891</v>
      </c>
      <c r="F153" s="48">
        <f t="shared" ref="F153:AC153" si="100">IF(F152&gt;0,ABS(MIN(F147*0.2,ABS(F148))*F151),F152)</f>
        <v>0</v>
      </c>
      <c r="G153" s="48">
        <f t="shared" si="100"/>
        <v>-1.4628195</v>
      </c>
      <c r="H153" s="48">
        <f t="shared" si="100"/>
        <v>-0.51924</v>
      </c>
      <c r="I153" s="48">
        <f t="shared" si="100"/>
        <v>1.57772159999999</v>
      </c>
      <c r="J153" s="48">
        <f t="shared" si="100"/>
        <v>1.891477</v>
      </c>
      <c r="K153" s="48">
        <f t="shared" si="100"/>
        <v>0.851396000000007</v>
      </c>
      <c r="L153" s="48">
        <f t="shared" si="100"/>
        <v>-1.78659000000001</v>
      </c>
      <c r="M153" s="48">
        <f t="shared" si="100"/>
        <v>-3.67964040000001</v>
      </c>
      <c r="N153" s="48">
        <f t="shared" si="100"/>
        <v>-9.04511909999997</v>
      </c>
      <c r="O153" s="48">
        <f t="shared" si="100"/>
        <v>12.1340128</v>
      </c>
      <c r="P153" s="48">
        <f t="shared" si="100"/>
        <v>52.981728</v>
      </c>
      <c r="Q153" s="48">
        <f t="shared" si="100"/>
        <v>78.9914706</v>
      </c>
      <c r="R153" s="48">
        <f t="shared" si="100"/>
        <v>106.451568</v>
      </c>
      <c r="S153" s="48">
        <f t="shared" si="100"/>
        <v>123.6514822</v>
      </c>
      <c r="T153" s="48">
        <f t="shared" si="100"/>
        <v>159.93425</v>
      </c>
      <c r="U153" s="48">
        <f t="shared" si="100"/>
        <v>67.6866894</v>
      </c>
      <c r="V153" s="48">
        <f t="shared" si="100"/>
        <v>-7.820972</v>
      </c>
      <c r="W153" s="48">
        <f t="shared" si="100"/>
        <v>141.6753385</v>
      </c>
      <c r="X153" s="48">
        <f t="shared" si="100"/>
        <v>87.839324</v>
      </c>
      <c r="Y153" s="48">
        <f t="shared" si="100"/>
        <v>-5.94734770000001</v>
      </c>
      <c r="Z153" s="48">
        <f t="shared" si="100"/>
        <v>-1.93101599999999</v>
      </c>
      <c r="AA153" s="48">
        <f t="shared" si="100"/>
        <v>1.75840630000001</v>
      </c>
      <c r="AB153" s="48">
        <f t="shared" si="100"/>
        <v>-0.934876800000005</v>
      </c>
      <c r="AC153" s="48">
        <f t="shared" si="100"/>
        <v>1.5708462</v>
      </c>
    </row>
    <row r="154" spans="1:29">
      <c r="A154" s="32"/>
      <c r="B154" s="33"/>
      <c r="C154" s="39" t="s">
        <v>50</v>
      </c>
      <c r="D154" s="37"/>
      <c r="E154" s="44">
        <f t="shared" ref="E154:AC154" si="101">E152-E153</f>
        <v>0</v>
      </c>
      <c r="F154" s="26">
        <f t="shared" si="101"/>
        <v>0</v>
      </c>
      <c r="G154" s="26">
        <f t="shared" si="101"/>
        <v>0</v>
      </c>
      <c r="H154" s="26">
        <f t="shared" si="101"/>
        <v>0</v>
      </c>
      <c r="I154" s="26">
        <f t="shared" si="101"/>
        <v>0</v>
      </c>
      <c r="J154" s="26">
        <f t="shared" si="101"/>
        <v>0</v>
      </c>
      <c r="K154" s="26">
        <f t="shared" si="101"/>
        <v>0</v>
      </c>
      <c r="L154" s="26">
        <f t="shared" si="101"/>
        <v>0</v>
      </c>
      <c r="M154" s="26">
        <f t="shared" si="101"/>
        <v>0</v>
      </c>
      <c r="N154" s="26">
        <f t="shared" si="101"/>
        <v>0</v>
      </c>
      <c r="O154" s="26">
        <f t="shared" si="101"/>
        <v>0</v>
      </c>
      <c r="P154" s="26">
        <f t="shared" si="101"/>
        <v>0</v>
      </c>
      <c r="Q154" s="26">
        <f t="shared" si="101"/>
        <v>0</v>
      </c>
      <c r="R154" s="26">
        <f t="shared" si="101"/>
        <v>0</v>
      </c>
      <c r="S154" s="26">
        <f t="shared" si="101"/>
        <v>0</v>
      </c>
      <c r="T154" s="26">
        <f t="shared" si="101"/>
        <v>0</v>
      </c>
      <c r="U154" s="26">
        <f t="shared" si="101"/>
        <v>0</v>
      </c>
      <c r="V154" s="26">
        <f t="shared" si="101"/>
        <v>0</v>
      </c>
      <c r="W154" s="26">
        <f t="shared" si="101"/>
        <v>0</v>
      </c>
      <c r="X154" s="26">
        <f t="shared" si="101"/>
        <v>0</v>
      </c>
      <c r="Y154" s="26">
        <f t="shared" si="101"/>
        <v>0</v>
      </c>
      <c r="Z154" s="26">
        <f t="shared" si="101"/>
        <v>0</v>
      </c>
      <c r="AA154" s="26">
        <f t="shared" si="101"/>
        <v>0</v>
      </c>
      <c r="AB154" s="26">
        <f t="shared" si="101"/>
        <v>0</v>
      </c>
      <c r="AC154" s="26">
        <f t="shared" si="101"/>
        <v>0</v>
      </c>
    </row>
    <row r="155" spans="1:29">
      <c r="A155" s="29">
        <v>46009</v>
      </c>
      <c r="B155" s="30">
        <f>E162</f>
        <v>100.1533884</v>
      </c>
      <c r="C155" s="31" t="s">
        <v>47</v>
      </c>
      <c r="D155" s="31" t="s">
        <v>48</v>
      </c>
      <c r="E155" s="42">
        <f t="shared" si="98"/>
        <v>64.80785</v>
      </c>
      <c r="F155" s="43">
        <v>1.69164</v>
      </c>
      <c r="G155" s="43">
        <v>1.71666</v>
      </c>
      <c r="H155" s="43">
        <v>1.6911</v>
      </c>
      <c r="I155" s="43">
        <v>1.67688</v>
      </c>
      <c r="J155" s="43">
        <v>1.64088</v>
      </c>
      <c r="K155" s="43">
        <v>1.4484</v>
      </c>
      <c r="L155" s="43">
        <v>1.38376</v>
      </c>
      <c r="M155" s="43">
        <v>1.89063</v>
      </c>
      <c r="N155" s="43">
        <v>4.33862</v>
      </c>
      <c r="O155" s="43">
        <v>4.91292</v>
      </c>
      <c r="P155" s="43">
        <v>3.76574</v>
      </c>
      <c r="Q155" s="43">
        <v>2.96982</v>
      </c>
      <c r="R155" s="43">
        <v>2.16544</v>
      </c>
      <c r="S155" s="43">
        <v>2.67904</v>
      </c>
      <c r="T155" s="43">
        <v>3.2068</v>
      </c>
      <c r="U155" s="43">
        <v>3.43926</v>
      </c>
      <c r="V155" s="43">
        <v>4.39076</v>
      </c>
      <c r="W155" s="43">
        <v>4.2152</v>
      </c>
      <c r="X155" s="43">
        <v>3.80391</v>
      </c>
      <c r="Y155" s="43">
        <v>3.37914</v>
      </c>
      <c r="Z155" s="43">
        <v>2.88153</v>
      </c>
      <c r="AA155" s="43">
        <v>2.31138</v>
      </c>
      <c r="AB155" s="43">
        <v>1.52912</v>
      </c>
      <c r="AC155" s="43">
        <v>1.67922</v>
      </c>
    </row>
    <row r="156" spans="1:29">
      <c r="A156" s="32"/>
      <c r="B156" s="33"/>
      <c r="C156" s="32"/>
      <c r="D156" s="6" t="s">
        <v>49</v>
      </c>
      <c r="E156" s="42">
        <f t="shared" si="98"/>
        <v>68.2237</v>
      </c>
      <c r="F156" s="43">
        <v>1.8796</v>
      </c>
      <c r="G156" s="43">
        <v>1.9074</v>
      </c>
      <c r="H156" s="43">
        <v>1.879</v>
      </c>
      <c r="I156" s="43">
        <v>1.8632</v>
      </c>
      <c r="J156" s="43">
        <v>1.8232</v>
      </c>
      <c r="K156" s="43">
        <v>1.8105</v>
      </c>
      <c r="L156" s="43">
        <v>1.7297</v>
      </c>
      <c r="M156" s="43">
        <v>2.1007</v>
      </c>
      <c r="N156" s="43">
        <v>3.9442</v>
      </c>
      <c r="O156" s="43">
        <v>4.0941</v>
      </c>
      <c r="P156" s="43">
        <v>3.4234</v>
      </c>
      <c r="Q156" s="43">
        <v>3.2998</v>
      </c>
      <c r="R156" s="43">
        <v>2.7068</v>
      </c>
      <c r="S156" s="43">
        <v>3.3488</v>
      </c>
      <c r="T156" s="43">
        <v>4.0085</v>
      </c>
      <c r="U156" s="43">
        <v>3.8214</v>
      </c>
      <c r="V156" s="43">
        <v>3.9916</v>
      </c>
      <c r="W156" s="43">
        <v>3.832</v>
      </c>
      <c r="X156" s="43">
        <v>3.4581</v>
      </c>
      <c r="Y156" s="43">
        <v>3.7546</v>
      </c>
      <c r="Z156" s="43">
        <v>3.2017</v>
      </c>
      <c r="AA156" s="43">
        <v>2.5682</v>
      </c>
      <c r="AB156" s="43">
        <v>1.9114</v>
      </c>
      <c r="AC156" s="43">
        <v>1.8658</v>
      </c>
    </row>
    <row r="157" spans="1:29">
      <c r="A157" s="32"/>
      <c r="B157" s="33"/>
      <c r="C157" s="34"/>
      <c r="D157" s="31" t="s">
        <v>50</v>
      </c>
      <c r="E157" s="26">
        <f>E155-E156</f>
        <v>-3.41584999999999</v>
      </c>
      <c r="F157" s="43">
        <f t="shared" ref="F157:AC157" si="102">(F155-F156)*1</f>
        <v>-0.18796</v>
      </c>
      <c r="G157" s="43">
        <f t="shared" si="102"/>
        <v>-0.19074</v>
      </c>
      <c r="H157" s="43">
        <f t="shared" si="102"/>
        <v>-0.1879</v>
      </c>
      <c r="I157" s="43">
        <f t="shared" si="102"/>
        <v>-0.18632</v>
      </c>
      <c r="J157" s="43">
        <f t="shared" si="102"/>
        <v>-0.18232</v>
      </c>
      <c r="K157" s="43">
        <f t="shared" si="102"/>
        <v>-0.3621</v>
      </c>
      <c r="L157" s="43">
        <f t="shared" si="102"/>
        <v>-0.34594</v>
      </c>
      <c r="M157" s="43">
        <f t="shared" si="102"/>
        <v>-0.21007</v>
      </c>
      <c r="N157" s="43">
        <f t="shared" si="102"/>
        <v>0.394420000000001</v>
      </c>
      <c r="O157" s="43">
        <f t="shared" si="102"/>
        <v>0.81882</v>
      </c>
      <c r="P157" s="43">
        <f t="shared" si="102"/>
        <v>0.34234</v>
      </c>
      <c r="Q157" s="43">
        <f t="shared" si="102"/>
        <v>-0.32998</v>
      </c>
      <c r="R157" s="43">
        <f t="shared" si="102"/>
        <v>-0.54136</v>
      </c>
      <c r="S157" s="43">
        <f t="shared" si="102"/>
        <v>-0.669759999999999</v>
      </c>
      <c r="T157" s="43">
        <f t="shared" si="102"/>
        <v>-0.8017</v>
      </c>
      <c r="U157" s="43">
        <f t="shared" si="102"/>
        <v>-0.38214</v>
      </c>
      <c r="V157" s="43">
        <f t="shared" si="102"/>
        <v>0.39916</v>
      </c>
      <c r="W157" s="43">
        <f t="shared" si="102"/>
        <v>0.3832</v>
      </c>
      <c r="X157" s="43">
        <f t="shared" si="102"/>
        <v>0.34581</v>
      </c>
      <c r="Y157" s="43">
        <f t="shared" si="102"/>
        <v>-0.37546</v>
      </c>
      <c r="Z157" s="43">
        <f t="shared" si="102"/>
        <v>-0.32017</v>
      </c>
      <c r="AA157" s="43">
        <f t="shared" si="102"/>
        <v>-0.25682</v>
      </c>
      <c r="AB157" s="43">
        <f t="shared" si="102"/>
        <v>-0.38228</v>
      </c>
      <c r="AC157" s="43">
        <f t="shared" si="102"/>
        <v>-0.18658</v>
      </c>
    </row>
    <row r="158" spans="1:29">
      <c r="A158" s="32"/>
      <c r="B158" s="33"/>
      <c r="C158" s="35" t="s">
        <v>51</v>
      </c>
      <c r="D158" s="31" t="s">
        <v>48</v>
      </c>
      <c r="E158" s="31">
        <f>AVERAGE(F158:AC158)</f>
        <v>283.8625</v>
      </c>
      <c r="F158" s="43">
        <v>309.09</v>
      </c>
      <c r="G158" s="43">
        <v>304.8</v>
      </c>
      <c r="H158" s="43">
        <v>304.24</v>
      </c>
      <c r="I158" s="43">
        <v>297.34</v>
      </c>
      <c r="J158" s="43">
        <v>287.85</v>
      </c>
      <c r="K158" s="43">
        <v>285.47</v>
      </c>
      <c r="L158" s="43">
        <v>298.53</v>
      </c>
      <c r="M158" s="43">
        <v>305.19</v>
      </c>
      <c r="N158" s="43">
        <v>337.68</v>
      </c>
      <c r="O158" s="43">
        <v>316.17</v>
      </c>
      <c r="P158" s="43">
        <v>265.9</v>
      </c>
      <c r="Q158" s="43">
        <v>89.67</v>
      </c>
      <c r="R158" s="43">
        <v>-16</v>
      </c>
      <c r="S158" s="43">
        <v>60.86</v>
      </c>
      <c r="T158" s="43">
        <v>60.37</v>
      </c>
      <c r="U158" s="43">
        <v>223</v>
      </c>
      <c r="V158" s="43">
        <v>310.11</v>
      </c>
      <c r="W158" s="43">
        <v>369.05</v>
      </c>
      <c r="X158" s="43">
        <v>452.18</v>
      </c>
      <c r="Y158" s="43">
        <v>477.29</v>
      </c>
      <c r="Z158" s="43">
        <v>429.52</v>
      </c>
      <c r="AA158" s="43">
        <v>401.58</v>
      </c>
      <c r="AB158" s="43">
        <v>345.01</v>
      </c>
      <c r="AC158" s="43">
        <v>297.8</v>
      </c>
    </row>
    <row r="159" spans="1:29">
      <c r="A159" s="32"/>
      <c r="B159" s="33"/>
      <c r="C159" s="32"/>
      <c r="D159" s="31" t="s">
        <v>49</v>
      </c>
      <c r="E159" s="31">
        <f>AVERAGE(F159:AC159)</f>
        <v>267.039583333333</v>
      </c>
      <c r="F159" s="43">
        <v>434.08</v>
      </c>
      <c r="G159" s="43">
        <v>465.45</v>
      </c>
      <c r="H159" s="43">
        <v>369.87</v>
      </c>
      <c r="I159" s="43">
        <v>333.84</v>
      </c>
      <c r="J159" s="43">
        <v>283.58</v>
      </c>
      <c r="K159" s="43">
        <v>312.35</v>
      </c>
      <c r="L159" s="43">
        <v>365.78</v>
      </c>
      <c r="M159" s="43">
        <v>372.95</v>
      </c>
      <c r="N159" s="43">
        <v>373.44</v>
      </c>
      <c r="O159" s="43">
        <v>289.04</v>
      </c>
      <c r="P159" s="43">
        <v>140.86</v>
      </c>
      <c r="Q159" s="43">
        <v>8.07</v>
      </c>
      <c r="R159" s="43">
        <v>-28.42</v>
      </c>
      <c r="S159" s="43">
        <v>-11.46</v>
      </c>
      <c r="T159" s="43">
        <v>-0.63</v>
      </c>
      <c r="U159" s="43">
        <v>48.57</v>
      </c>
      <c r="V159" s="43">
        <v>287.33</v>
      </c>
      <c r="W159" s="43">
        <v>346.39</v>
      </c>
      <c r="X159" s="43">
        <v>396.97</v>
      </c>
      <c r="Y159" s="43">
        <v>340.62</v>
      </c>
      <c r="Z159" s="43">
        <v>349.49</v>
      </c>
      <c r="AA159" s="43">
        <v>323.31</v>
      </c>
      <c r="AB159" s="43">
        <v>312.41</v>
      </c>
      <c r="AC159" s="43">
        <v>295.06</v>
      </c>
    </row>
    <row r="160" spans="1:29">
      <c r="A160" s="32"/>
      <c r="B160" s="33"/>
      <c r="C160" s="34"/>
      <c r="D160" s="31" t="s">
        <v>50</v>
      </c>
      <c r="E160" s="26">
        <f>E158-E159</f>
        <v>16.8229166666667</v>
      </c>
      <c r="F160" s="43">
        <f t="shared" ref="F160:AC160" si="103">(F158-F159)*1</f>
        <v>-124.99</v>
      </c>
      <c r="G160" s="43">
        <f t="shared" si="103"/>
        <v>-160.65</v>
      </c>
      <c r="H160" s="43">
        <f t="shared" si="103"/>
        <v>-65.63</v>
      </c>
      <c r="I160" s="43">
        <f t="shared" si="103"/>
        <v>-36.5</v>
      </c>
      <c r="J160" s="43">
        <f t="shared" si="103"/>
        <v>4.27000000000004</v>
      </c>
      <c r="K160" s="43">
        <f t="shared" si="103"/>
        <v>-26.88</v>
      </c>
      <c r="L160" s="43">
        <f t="shared" si="103"/>
        <v>-67.25</v>
      </c>
      <c r="M160" s="43">
        <f t="shared" si="103"/>
        <v>-67.76</v>
      </c>
      <c r="N160" s="43">
        <f t="shared" si="103"/>
        <v>-35.76</v>
      </c>
      <c r="O160" s="43">
        <f t="shared" si="103"/>
        <v>27.13</v>
      </c>
      <c r="P160" s="43">
        <f t="shared" si="103"/>
        <v>125.04</v>
      </c>
      <c r="Q160" s="43">
        <f t="shared" si="103"/>
        <v>81.6</v>
      </c>
      <c r="R160" s="43">
        <f t="shared" si="103"/>
        <v>12.42</v>
      </c>
      <c r="S160" s="43">
        <f t="shared" si="103"/>
        <v>72.32</v>
      </c>
      <c r="T160" s="43">
        <f t="shared" si="103"/>
        <v>61</v>
      </c>
      <c r="U160" s="43">
        <f t="shared" si="103"/>
        <v>174.43</v>
      </c>
      <c r="V160" s="43">
        <f t="shared" si="103"/>
        <v>22.78</v>
      </c>
      <c r="W160" s="43">
        <f t="shared" si="103"/>
        <v>22.66</v>
      </c>
      <c r="X160" s="43">
        <f t="shared" si="103"/>
        <v>55.21</v>
      </c>
      <c r="Y160" s="43">
        <f t="shared" si="103"/>
        <v>136.67</v>
      </c>
      <c r="Z160" s="43">
        <f t="shared" si="103"/>
        <v>80.03</v>
      </c>
      <c r="AA160" s="43">
        <f t="shared" si="103"/>
        <v>78.27</v>
      </c>
      <c r="AB160" s="43">
        <f t="shared" si="103"/>
        <v>32.6</v>
      </c>
      <c r="AC160" s="43">
        <f t="shared" si="103"/>
        <v>2.74000000000001</v>
      </c>
    </row>
    <row r="161" spans="1:29">
      <c r="A161" s="32"/>
      <c r="B161" s="33"/>
      <c r="C161" s="36" t="s">
        <v>52</v>
      </c>
      <c r="D161" s="37"/>
      <c r="E161" s="26">
        <f t="shared" ref="E161:E165" si="104">SUM(F161:AC161)</f>
        <v>100.1533884</v>
      </c>
      <c r="F161" s="43">
        <f t="shared" ref="F161:AC161" si="105">(-F157*F160)*1</f>
        <v>-23.4931204</v>
      </c>
      <c r="G161" s="43">
        <f t="shared" si="105"/>
        <v>-30.642381</v>
      </c>
      <c r="H161" s="43">
        <f t="shared" si="105"/>
        <v>-12.331877</v>
      </c>
      <c r="I161" s="43">
        <f t="shared" si="105"/>
        <v>-6.80068</v>
      </c>
      <c r="J161" s="43">
        <f t="shared" si="105"/>
        <v>0.778506400000007</v>
      </c>
      <c r="K161" s="43">
        <f t="shared" si="105"/>
        <v>-9.733248</v>
      </c>
      <c r="L161" s="43">
        <f t="shared" si="105"/>
        <v>-23.264465</v>
      </c>
      <c r="M161" s="43">
        <f t="shared" si="105"/>
        <v>-14.2343432</v>
      </c>
      <c r="N161" s="43">
        <f t="shared" si="105"/>
        <v>14.1044592</v>
      </c>
      <c r="O161" s="43">
        <f t="shared" si="105"/>
        <v>-22.2145866</v>
      </c>
      <c r="P161" s="43">
        <f t="shared" si="105"/>
        <v>-42.8061936</v>
      </c>
      <c r="Q161" s="43">
        <f t="shared" si="105"/>
        <v>26.926368</v>
      </c>
      <c r="R161" s="43">
        <f t="shared" si="105"/>
        <v>6.7236912</v>
      </c>
      <c r="S161" s="43">
        <f t="shared" si="105"/>
        <v>48.4370431999999</v>
      </c>
      <c r="T161" s="43">
        <f t="shared" si="105"/>
        <v>48.9037</v>
      </c>
      <c r="U161" s="43">
        <f t="shared" si="105"/>
        <v>66.6566802</v>
      </c>
      <c r="V161" s="43">
        <f t="shared" si="105"/>
        <v>-9.09286480000002</v>
      </c>
      <c r="W161" s="43">
        <f t="shared" si="105"/>
        <v>-8.68331200000002</v>
      </c>
      <c r="X161" s="43">
        <f t="shared" si="105"/>
        <v>-19.0921701</v>
      </c>
      <c r="Y161" s="43">
        <f t="shared" si="105"/>
        <v>51.3141182</v>
      </c>
      <c r="Z161" s="43">
        <f t="shared" si="105"/>
        <v>25.6232051</v>
      </c>
      <c r="AA161" s="43">
        <f t="shared" si="105"/>
        <v>20.1013014</v>
      </c>
      <c r="AB161" s="43">
        <f t="shared" si="105"/>
        <v>12.462328</v>
      </c>
      <c r="AC161" s="43">
        <f t="shared" si="105"/>
        <v>0.511229200000002</v>
      </c>
    </row>
    <row r="162" spans="1:29">
      <c r="A162" s="32"/>
      <c r="B162" s="33"/>
      <c r="C162" s="38" t="s">
        <v>53</v>
      </c>
      <c r="D162" s="37"/>
      <c r="E162" s="26">
        <f t="shared" si="104"/>
        <v>100.1533884</v>
      </c>
      <c r="F162" s="43">
        <f t="shared" ref="F162:AC162" si="106">(IF(F161&gt;0,ABS(MIN(F156*0.2,ABS(F157))*F160),F161))*1</f>
        <v>-23.4931204</v>
      </c>
      <c r="G162" s="43">
        <f t="shared" si="106"/>
        <v>-30.642381</v>
      </c>
      <c r="H162" s="43">
        <f t="shared" si="106"/>
        <v>-12.331877</v>
      </c>
      <c r="I162" s="43">
        <f t="shared" si="106"/>
        <v>-6.80068</v>
      </c>
      <c r="J162" s="43">
        <f t="shared" si="106"/>
        <v>0.778506400000007</v>
      </c>
      <c r="K162" s="43">
        <f t="shared" si="106"/>
        <v>-9.733248</v>
      </c>
      <c r="L162" s="43">
        <f t="shared" si="106"/>
        <v>-23.264465</v>
      </c>
      <c r="M162" s="43">
        <f t="shared" si="106"/>
        <v>-14.2343432</v>
      </c>
      <c r="N162" s="43">
        <f t="shared" si="106"/>
        <v>14.1044592</v>
      </c>
      <c r="O162" s="43">
        <f t="shared" si="106"/>
        <v>-22.2145866</v>
      </c>
      <c r="P162" s="43">
        <f t="shared" si="106"/>
        <v>-42.8061936</v>
      </c>
      <c r="Q162" s="43">
        <f t="shared" si="106"/>
        <v>26.926368</v>
      </c>
      <c r="R162" s="43">
        <f t="shared" si="106"/>
        <v>6.7236912</v>
      </c>
      <c r="S162" s="43">
        <f t="shared" si="106"/>
        <v>48.4370431999999</v>
      </c>
      <c r="T162" s="43">
        <f t="shared" si="106"/>
        <v>48.9037</v>
      </c>
      <c r="U162" s="43">
        <f t="shared" si="106"/>
        <v>66.6566802</v>
      </c>
      <c r="V162" s="43">
        <f t="shared" si="106"/>
        <v>-9.09286480000002</v>
      </c>
      <c r="W162" s="43">
        <f t="shared" si="106"/>
        <v>-8.68331200000002</v>
      </c>
      <c r="X162" s="43">
        <f t="shared" si="106"/>
        <v>-19.0921701</v>
      </c>
      <c r="Y162" s="43">
        <f t="shared" si="106"/>
        <v>51.3141182</v>
      </c>
      <c r="Z162" s="43">
        <f t="shared" si="106"/>
        <v>25.6232051</v>
      </c>
      <c r="AA162" s="43">
        <f t="shared" si="106"/>
        <v>20.1013014</v>
      </c>
      <c r="AB162" s="43">
        <f t="shared" si="106"/>
        <v>12.462328</v>
      </c>
      <c r="AC162" s="43">
        <f t="shared" si="106"/>
        <v>0.511229200000002</v>
      </c>
    </row>
    <row r="163" spans="1:29">
      <c r="A163" s="32"/>
      <c r="B163" s="33"/>
      <c r="C163" s="39" t="s">
        <v>50</v>
      </c>
      <c r="D163" s="37"/>
      <c r="E163" s="44">
        <f>E161-E162</f>
        <v>0</v>
      </c>
      <c r="F163" s="26">
        <f t="shared" ref="F163:AC163" si="107">(F161-F162)*1</f>
        <v>0</v>
      </c>
      <c r="G163" s="26">
        <f t="shared" si="107"/>
        <v>0</v>
      </c>
      <c r="H163" s="26">
        <f t="shared" si="107"/>
        <v>0</v>
      </c>
      <c r="I163" s="26">
        <f t="shared" si="107"/>
        <v>0</v>
      </c>
      <c r="J163" s="26">
        <f t="shared" si="107"/>
        <v>0</v>
      </c>
      <c r="K163" s="26">
        <f t="shared" si="107"/>
        <v>0</v>
      </c>
      <c r="L163" s="26">
        <f t="shared" si="107"/>
        <v>0</v>
      </c>
      <c r="M163" s="26">
        <f t="shared" si="107"/>
        <v>0</v>
      </c>
      <c r="N163" s="26">
        <f t="shared" si="107"/>
        <v>0</v>
      </c>
      <c r="O163" s="26">
        <f t="shared" si="107"/>
        <v>0</v>
      </c>
      <c r="P163" s="26">
        <f t="shared" si="107"/>
        <v>0</v>
      </c>
      <c r="Q163" s="26">
        <f t="shared" si="107"/>
        <v>0</v>
      </c>
      <c r="R163" s="26">
        <f t="shared" si="107"/>
        <v>0</v>
      </c>
      <c r="S163" s="26">
        <f t="shared" si="107"/>
        <v>0</v>
      </c>
      <c r="T163" s="26">
        <f t="shared" si="107"/>
        <v>0</v>
      </c>
      <c r="U163" s="26">
        <f t="shared" si="107"/>
        <v>0</v>
      </c>
      <c r="V163" s="26">
        <f t="shared" si="107"/>
        <v>0</v>
      </c>
      <c r="W163" s="26">
        <f t="shared" si="107"/>
        <v>0</v>
      </c>
      <c r="X163" s="26">
        <f t="shared" si="107"/>
        <v>0</v>
      </c>
      <c r="Y163" s="26">
        <f t="shared" si="107"/>
        <v>0</v>
      </c>
      <c r="Z163" s="26">
        <f t="shared" si="107"/>
        <v>0</v>
      </c>
      <c r="AA163" s="26">
        <f t="shared" si="107"/>
        <v>0</v>
      </c>
      <c r="AB163" s="26">
        <f t="shared" si="107"/>
        <v>0</v>
      </c>
      <c r="AC163" s="26">
        <f t="shared" si="107"/>
        <v>0</v>
      </c>
    </row>
    <row r="164" spans="1:29">
      <c r="A164" s="29">
        <v>46010</v>
      </c>
      <c r="B164" s="30">
        <f>E171</f>
        <v>269.1000753</v>
      </c>
      <c r="C164" s="31" t="s">
        <v>47</v>
      </c>
      <c r="D164" s="31" t="s">
        <v>48</v>
      </c>
      <c r="E164" s="42">
        <f t="shared" si="104"/>
        <v>62.17968</v>
      </c>
      <c r="F164" s="43">
        <v>1.6974</v>
      </c>
      <c r="G164" s="43">
        <v>1.7289</v>
      </c>
      <c r="H164" s="43">
        <v>1.7235</v>
      </c>
      <c r="I164" s="43">
        <v>1.63521</v>
      </c>
      <c r="J164" s="43">
        <v>1.59732</v>
      </c>
      <c r="K164" s="43">
        <v>1.48984</v>
      </c>
      <c r="L164" s="43">
        <v>1.39632</v>
      </c>
      <c r="M164" s="43">
        <v>1.93086</v>
      </c>
      <c r="N164" s="43">
        <v>3.72654</v>
      </c>
      <c r="O164" s="43">
        <v>3.87711</v>
      </c>
      <c r="P164" s="43">
        <v>3.07024</v>
      </c>
      <c r="Q164" s="43">
        <v>3.04592</v>
      </c>
      <c r="R164" s="43">
        <v>2.36128</v>
      </c>
      <c r="S164" s="43">
        <v>2.8396</v>
      </c>
      <c r="T164" s="43">
        <v>3.392</v>
      </c>
      <c r="U164" s="43">
        <v>3.55491</v>
      </c>
      <c r="V164" s="43">
        <v>3.66642</v>
      </c>
      <c r="W164" s="43">
        <v>3.52926</v>
      </c>
      <c r="X164" s="43">
        <v>3.16638</v>
      </c>
      <c r="Y164" s="43">
        <v>3.43818</v>
      </c>
      <c r="Z164" s="43">
        <v>3.06342</v>
      </c>
      <c r="AA164" s="43">
        <v>2.52711</v>
      </c>
      <c r="AB164" s="43">
        <v>1.76176</v>
      </c>
      <c r="AC164" s="43">
        <v>1.9602</v>
      </c>
    </row>
    <row r="165" spans="1:29">
      <c r="A165" s="32"/>
      <c r="B165" s="33"/>
      <c r="C165" s="32"/>
      <c r="D165" s="6" t="s">
        <v>49</v>
      </c>
      <c r="E165" s="42">
        <f t="shared" si="104"/>
        <v>71.381</v>
      </c>
      <c r="F165" s="43">
        <v>1.886</v>
      </c>
      <c r="G165" s="43">
        <v>1.921</v>
      </c>
      <c r="H165" s="43">
        <v>1.915</v>
      </c>
      <c r="I165" s="43">
        <v>1.8169</v>
      </c>
      <c r="J165" s="43">
        <v>1.7748</v>
      </c>
      <c r="K165" s="43">
        <v>1.8623</v>
      </c>
      <c r="L165" s="43">
        <v>1.7454</v>
      </c>
      <c r="M165" s="43">
        <v>2.1454</v>
      </c>
      <c r="N165" s="43">
        <v>4.1406</v>
      </c>
      <c r="O165" s="43">
        <v>4.3079</v>
      </c>
      <c r="P165" s="43">
        <v>3.8378</v>
      </c>
      <c r="Q165" s="43">
        <v>3.8074</v>
      </c>
      <c r="R165" s="43">
        <v>2.9516</v>
      </c>
      <c r="S165" s="43">
        <v>3.5495</v>
      </c>
      <c r="T165" s="43">
        <v>4.24</v>
      </c>
      <c r="U165" s="43">
        <v>3.9499</v>
      </c>
      <c r="V165" s="43">
        <v>4.0738</v>
      </c>
      <c r="W165" s="43">
        <v>3.9214</v>
      </c>
      <c r="X165" s="43">
        <v>3.5182</v>
      </c>
      <c r="Y165" s="43">
        <v>3.8202</v>
      </c>
      <c r="Z165" s="43">
        <v>3.4038</v>
      </c>
      <c r="AA165" s="43">
        <v>2.8079</v>
      </c>
      <c r="AB165" s="43">
        <v>2.2022</v>
      </c>
      <c r="AC165" s="43">
        <v>1.782</v>
      </c>
    </row>
    <row r="166" spans="1:29">
      <c r="A166" s="32"/>
      <c r="B166" s="33"/>
      <c r="C166" s="34"/>
      <c r="D166" s="31" t="s">
        <v>50</v>
      </c>
      <c r="E166" s="26">
        <f>E164-E165</f>
        <v>-9.20132</v>
      </c>
      <c r="F166" s="43">
        <f t="shared" ref="F166:AC166" si="108">(F164-F165)*1</f>
        <v>-0.1886</v>
      </c>
      <c r="G166" s="43">
        <f t="shared" si="108"/>
        <v>-0.1921</v>
      </c>
      <c r="H166" s="43">
        <f t="shared" si="108"/>
        <v>-0.1915</v>
      </c>
      <c r="I166" s="43">
        <f t="shared" si="108"/>
        <v>-0.18169</v>
      </c>
      <c r="J166" s="43">
        <f t="shared" si="108"/>
        <v>-0.17748</v>
      </c>
      <c r="K166" s="43">
        <f t="shared" si="108"/>
        <v>-0.37246</v>
      </c>
      <c r="L166" s="43">
        <f t="shared" si="108"/>
        <v>-0.34908</v>
      </c>
      <c r="M166" s="43">
        <f t="shared" si="108"/>
        <v>-0.21454</v>
      </c>
      <c r="N166" s="43">
        <f t="shared" si="108"/>
        <v>-0.41406</v>
      </c>
      <c r="O166" s="43">
        <f t="shared" si="108"/>
        <v>-0.43079</v>
      </c>
      <c r="P166" s="43">
        <f t="shared" si="108"/>
        <v>-0.76756</v>
      </c>
      <c r="Q166" s="43">
        <f t="shared" si="108"/>
        <v>-0.76148</v>
      </c>
      <c r="R166" s="43">
        <f t="shared" si="108"/>
        <v>-0.59032</v>
      </c>
      <c r="S166" s="43">
        <f t="shared" si="108"/>
        <v>-0.7099</v>
      </c>
      <c r="T166" s="43">
        <f t="shared" si="108"/>
        <v>-0.848</v>
      </c>
      <c r="U166" s="43">
        <f t="shared" si="108"/>
        <v>-0.39499</v>
      </c>
      <c r="V166" s="43">
        <f t="shared" si="108"/>
        <v>-0.40738</v>
      </c>
      <c r="W166" s="43">
        <f t="shared" si="108"/>
        <v>-0.39214</v>
      </c>
      <c r="X166" s="43">
        <f t="shared" si="108"/>
        <v>-0.35182</v>
      </c>
      <c r="Y166" s="43">
        <f t="shared" si="108"/>
        <v>-0.38202</v>
      </c>
      <c r="Z166" s="43">
        <f t="shared" si="108"/>
        <v>-0.34038</v>
      </c>
      <c r="AA166" s="43">
        <f t="shared" si="108"/>
        <v>-0.28079</v>
      </c>
      <c r="AB166" s="43">
        <f t="shared" si="108"/>
        <v>-0.44044</v>
      </c>
      <c r="AC166" s="43">
        <f t="shared" si="108"/>
        <v>0.1782</v>
      </c>
    </row>
    <row r="167" spans="1:29">
      <c r="A167" s="32"/>
      <c r="B167" s="33"/>
      <c r="C167" s="35" t="s">
        <v>51</v>
      </c>
      <c r="D167" s="31" t="s">
        <v>48</v>
      </c>
      <c r="E167" s="31">
        <f>AVERAGE(F167:AC167)</f>
        <v>354.932083333333</v>
      </c>
      <c r="F167" s="43">
        <v>344.19</v>
      </c>
      <c r="G167" s="43">
        <v>333.32</v>
      </c>
      <c r="H167" s="43">
        <v>308.43</v>
      </c>
      <c r="I167" s="43">
        <v>321.89</v>
      </c>
      <c r="J167" s="43">
        <v>327.68</v>
      </c>
      <c r="K167" s="43">
        <v>323.42</v>
      </c>
      <c r="L167" s="43">
        <v>350.36</v>
      </c>
      <c r="M167" s="43">
        <v>372.22</v>
      </c>
      <c r="N167" s="43">
        <v>404.8</v>
      </c>
      <c r="O167" s="43">
        <v>352.34</v>
      </c>
      <c r="P167" s="43">
        <v>298.43</v>
      </c>
      <c r="Q167" s="43">
        <v>265.97</v>
      </c>
      <c r="R167" s="43">
        <v>191.74</v>
      </c>
      <c r="S167" s="43">
        <v>225.97</v>
      </c>
      <c r="T167" s="43">
        <v>280.1</v>
      </c>
      <c r="U167" s="43">
        <v>259.45</v>
      </c>
      <c r="V167" s="43">
        <v>346.35</v>
      </c>
      <c r="W167" s="43">
        <v>448.04</v>
      </c>
      <c r="X167" s="43">
        <v>526.63</v>
      </c>
      <c r="Y167" s="43">
        <v>505.02</v>
      </c>
      <c r="Z167" s="43">
        <v>491.5</v>
      </c>
      <c r="AA167" s="43">
        <v>486.22</v>
      </c>
      <c r="AB167" s="43">
        <v>408.12</v>
      </c>
      <c r="AC167" s="43">
        <v>346.18</v>
      </c>
    </row>
    <row r="168" spans="1:29">
      <c r="A168" s="32"/>
      <c r="B168" s="33"/>
      <c r="C168" s="32"/>
      <c r="D168" s="31" t="s">
        <v>49</v>
      </c>
      <c r="E168" s="31">
        <f>AVERAGE(F168:AC168)</f>
        <v>331.019166666667</v>
      </c>
      <c r="F168" s="43">
        <v>322.18</v>
      </c>
      <c r="G168" s="43">
        <v>309.22</v>
      </c>
      <c r="H168" s="43">
        <v>301.27</v>
      </c>
      <c r="I168" s="43">
        <v>296.59</v>
      </c>
      <c r="J168" s="43">
        <v>282.04</v>
      </c>
      <c r="K168" s="43">
        <v>298.91</v>
      </c>
      <c r="L168" s="43">
        <v>329.83</v>
      </c>
      <c r="M168" s="43">
        <v>361.18</v>
      </c>
      <c r="N168" s="43">
        <v>438.96</v>
      </c>
      <c r="O168" s="43">
        <v>365.13</v>
      </c>
      <c r="P168" s="43">
        <v>254.87</v>
      </c>
      <c r="Q168" s="43">
        <v>201.45</v>
      </c>
      <c r="R168" s="43">
        <v>115.91</v>
      </c>
      <c r="S168" s="43">
        <v>209.72</v>
      </c>
      <c r="T168" s="43">
        <v>219.84</v>
      </c>
      <c r="U168" s="43">
        <v>257.12</v>
      </c>
      <c r="V168" s="43">
        <v>325.94</v>
      </c>
      <c r="W168" s="43">
        <v>474.02</v>
      </c>
      <c r="X168" s="43">
        <v>523.05</v>
      </c>
      <c r="Y168" s="43">
        <v>479.85</v>
      </c>
      <c r="Z168" s="43">
        <v>427.3</v>
      </c>
      <c r="AA168" s="43">
        <v>408.07</v>
      </c>
      <c r="AB168" s="43">
        <v>398.83</v>
      </c>
      <c r="AC168" s="43">
        <v>343.18</v>
      </c>
    </row>
    <row r="169" spans="1:29">
      <c r="A169" s="32"/>
      <c r="B169" s="33"/>
      <c r="C169" s="34"/>
      <c r="D169" s="31" t="s">
        <v>50</v>
      </c>
      <c r="E169" s="26">
        <f>E167-E168</f>
        <v>23.9129166666667</v>
      </c>
      <c r="F169" s="43">
        <f t="shared" ref="F169:AC169" si="109">(F167-F168)*1</f>
        <v>22.01</v>
      </c>
      <c r="G169" s="43">
        <f t="shared" si="109"/>
        <v>24.1</v>
      </c>
      <c r="H169" s="43">
        <f t="shared" si="109"/>
        <v>7.16000000000003</v>
      </c>
      <c r="I169" s="43">
        <f t="shared" si="109"/>
        <v>25.3</v>
      </c>
      <c r="J169" s="43">
        <f t="shared" si="109"/>
        <v>45.64</v>
      </c>
      <c r="K169" s="43">
        <f t="shared" si="109"/>
        <v>24.51</v>
      </c>
      <c r="L169" s="43">
        <f t="shared" si="109"/>
        <v>20.53</v>
      </c>
      <c r="M169" s="43">
        <f t="shared" si="109"/>
        <v>11.04</v>
      </c>
      <c r="N169" s="43">
        <f t="shared" si="109"/>
        <v>-34.16</v>
      </c>
      <c r="O169" s="43">
        <f t="shared" si="109"/>
        <v>-12.79</v>
      </c>
      <c r="P169" s="43">
        <f t="shared" si="109"/>
        <v>43.56</v>
      </c>
      <c r="Q169" s="43">
        <f t="shared" si="109"/>
        <v>64.52</v>
      </c>
      <c r="R169" s="43">
        <f t="shared" si="109"/>
        <v>75.83</v>
      </c>
      <c r="S169" s="43">
        <f t="shared" si="109"/>
        <v>16.25</v>
      </c>
      <c r="T169" s="43">
        <f t="shared" si="109"/>
        <v>60.26</v>
      </c>
      <c r="U169" s="43">
        <f t="shared" si="109"/>
        <v>2.32999999999998</v>
      </c>
      <c r="V169" s="43">
        <f t="shared" si="109"/>
        <v>20.41</v>
      </c>
      <c r="W169" s="43">
        <f t="shared" si="109"/>
        <v>-25.98</v>
      </c>
      <c r="X169" s="43">
        <f t="shared" si="109"/>
        <v>3.58000000000004</v>
      </c>
      <c r="Y169" s="43">
        <f t="shared" si="109"/>
        <v>25.17</v>
      </c>
      <c r="Z169" s="43">
        <f t="shared" si="109"/>
        <v>64.2</v>
      </c>
      <c r="AA169" s="43">
        <f t="shared" si="109"/>
        <v>78.15</v>
      </c>
      <c r="AB169" s="43">
        <f t="shared" si="109"/>
        <v>9.29000000000002</v>
      </c>
      <c r="AC169" s="43">
        <f t="shared" si="109"/>
        <v>3</v>
      </c>
    </row>
    <row r="170" spans="1:29">
      <c r="A170" s="32"/>
      <c r="B170" s="33"/>
      <c r="C170" s="36" t="s">
        <v>52</v>
      </c>
      <c r="D170" s="37"/>
      <c r="E170" s="26">
        <f t="shared" ref="E170:E174" si="110">SUM(F170:AC170)</f>
        <v>269.1000753</v>
      </c>
      <c r="F170" s="43">
        <f t="shared" ref="F170:AC170" si="111">(-F166*F169)*1</f>
        <v>4.151086</v>
      </c>
      <c r="G170" s="43">
        <f t="shared" si="111"/>
        <v>4.62960999999999</v>
      </c>
      <c r="H170" s="43">
        <f t="shared" si="111"/>
        <v>1.37114</v>
      </c>
      <c r="I170" s="43">
        <f t="shared" si="111"/>
        <v>4.596757</v>
      </c>
      <c r="J170" s="43">
        <f t="shared" si="111"/>
        <v>8.10018719999999</v>
      </c>
      <c r="K170" s="43">
        <f t="shared" si="111"/>
        <v>9.1289946</v>
      </c>
      <c r="L170" s="43">
        <f t="shared" si="111"/>
        <v>7.16661240000001</v>
      </c>
      <c r="M170" s="43">
        <f t="shared" si="111"/>
        <v>2.3685216</v>
      </c>
      <c r="N170" s="43">
        <f t="shared" si="111"/>
        <v>-14.1442896</v>
      </c>
      <c r="O170" s="43">
        <f t="shared" si="111"/>
        <v>-5.50980410000001</v>
      </c>
      <c r="P170" s="43">
        <f t="shared" si="111"/>
        <v>33.4349136</v>
      </c>
      <c r="Q170" s="43">
        <f t="shared" si="111"/>
        <v>49.1306896</v>
      </c>
      <c r="R170" s="43">
        <f t="shared" si="111"/>
        <v>44.7639656</v>
      </c>
      <c r="S170" s="43">
        <f t="shared" si="111"/>
        <v>11.535875</v>
      </c>
      <c r="T170" s="43">
        <f t="shared" si="111"/>
        <v>51.10048</v>
      </c>
      <c r="U170" s="43">
        <f t="shared" si="111"/>
        <v>0.920326699999994</v>
      </c>
      <c r="V170" s="43">
        <f t="shared" si="111"/>
        <v>8.31462580000002</v>
      </c>
      <c r="W170" s="43">
        <f t="shared" si="111"/>
        <v>-10.1877972</v>
      </c>
      <c r="X170" s="43">
        <f t="shared" si="111"/>
        <v>1.25951560000001</v>
      </c>
      <c r="Y170" s="43">
        <f t="shared" si="111"/>
        <v>9.61544339999998</v>
      </c>
      <c r="Z170" s="43">
        <f t="shared" si="111"/>
        <v>21.852396</v>
      </c>
      <c r="AA170" s="43">
        <f t="shared" si="111"/>
        <v>21.9437385</v>
      </c>
      <c r="AB170" s="43">
        <f t="shared" si="111"/>
        <v>4.09168760000001</v>
      </c>
      <c r="AC170" s="43">
        <f t="shared" si="111"/>
        <v>-0.5346</v>
      </c>
    </row>
    <row r="171" spans="1:29">
      <c r="A171" s="32"/>
      <c r="B171" s="33"/>
      <c r="C171" s="38" t="s">
        <v>53</v>
      </c>
      <c r="D171" s="37"/>
      <c r="E171" s="26">
        <f t="shared" si="110"/>
        <v>269.1000753</v>
      </c>
      <c r="F171" s="43">
        <f t="shared" ref="F171:AC171" si="112">(IF(F170&gt;0,ABS(MIN(F165*0.2,ABS(F166))*F169),F170))*1</f>
        <v>4.151086</v>
      </c>
      <c r="G171" s="43">
        <f t="shared" si="112"/>
        <v>4.62960999999999</v>
      </c>
      <c r="H171" s="43">
        <f t="shared" si="112"/>
        <v>1.37114</v>
      </c>
      <c r="I171" s="43">
        <f t="shared" si="112"/>
        <v>4.596757</v>
      </c>
      <c r="J171" s="43">
        <f t="shared" si="112"/>
        <v>8.10018719999999</v>
      </c>
      <c r="K171" s="43">
        <f t="shared" si="112"/>
        <v>9.1289946</v>
      </c>
      <c r="L171" s="43">
        <f t="shared" si="112"/>
        <v>7.16661240000001</v>
      </c>
      <c r="M171" s="43">
        <f t="shared" si="112"/>
        <v>2.3685216</v>
      </c>
      <c r="N171" s="43">
        <f t="shared" si="112"/>
        <v>-14.1442896</v>
      </c>
      <c r="O171" s="43">
        <f t="shared" si="112"/>
        <v>-5.50980410000001</v>
      </c>
      <c r="P171" s="43">
        <f t="shared" si="112"/>
        <v>33.4349136</v>
      </c>
      <c r="Q171" s="43">
        <f t="shared" si="112"/>
        <v>49.1306896</v>
      </c>
      <c r="R171" s="43">
        <f t="shared" si="112"/>
        <v>44.7639656</v>
      </c>
      <c r="S171" s="43">
        <f t="shared" si="112"/>
        <v>11.535875</v>
      </c>
      <c r="T171" s="43">
        <f t="shared" si="112"/>
        <v>51.10048</v>
      </c>
      <c r="U171" s="43">
        <f t="shared" si="112"/>
        <v>0.920326699999994</v>
      </c>
      <c r="V171" s="43">
        <f t="shared" si="112"/>
        <v>8.31462580000002</v>
      </c>
      <c r="W171" s="43">
        <f t="shared" si="112"/>
        <v>-10.1877972</v>
      </c>
      <c r="X171" s="43">
        <f t="shared" si="112"/>
        <v>1.25951560000001</v>
      </c>
      <c r="Y171" s="43">
        <f t="shared" si="112"/>
        <v>9.61544339999998</v>
      </c>
      <c r="Z171" s="43">
        <f t="shared" si="112"/>
        <v>21.852396</v>
      </c>
      <c r="AA171" s="43">
        <f t="shared" si="112"/>
        <v>21.9437385</v>
      </c>
      <c r="AB171" s="43">
        <f t="shared" si="112"/>
        <v>4.09168760000001</v>
      </c>
      <c r="AC171" s="43">
        <f t="shared" si="112"/>
        <v>-0.5346</v>
      </c>
    </row>
    <row r="172" spans="1:29">
      <c r="A172" s="32"/>
      <c r="B172" s="33"/>
      <c r="C172" s="39" t="s">
        <v>50</v>
      </c>
      <c r="D172" s="37"/>
      <c r="E172" s="44">
        <f>E170-E171</f>
        <v>0</v>
      </c>
      <c r="F172" s="26">
        <f t="shared" ref="F172:AC172" si="113">(F170-F171)*1</f>
        <v>0</v>
      </c>
      <c r="G172" s="26">
        <f t="shared" si="113"/>
        <v>0</v>
      </c>
      <c r="H172" s="26">
        <f t="shared" si="113"/>
        <v>0</v>
      </c>
      <c r="I172" s="26">
        <f t="shared" si="113"/>
        <v>0</v>
      </c>
      <c r="J172" s="26">
        <f t="shared" si="113"/>
        <v>0</v>
      </c>
      <c r="K172" s="26">
        <f t="shared" si="113"/>
        <v>0</v>
      </c>
      <c r="L172" s="26">
        <f t="shared" si="113"/>
        <v>0</v>
      </c>
      <c r="M172" s="26">
        <f t="shared" si="113"/>
        <v>0</v>
      </c>
      <c r="N172" s="26">
        <f t="shared" si="113"/>
        <v>0</v>
      </c>
      <c r="O172" s="26">
        <f t="shared" si="113"/>
        <v>0</v>
      </c>
      <c r="P172" s="26">
        <f t="shared" si="113"/>
        <v>0</v>
      </c>
      <c r="Q172" s="26">
        <f t="shared" si="113"/>
        <v>0</v>
      </c>
      <c r="R172" s="26">
        <f t="shared" si="113"/>
        <v>0</v>
      </c>
      <c r="S172" s="26">
        <f t="shared" si="113"/>
        <v>0</v>
      </c>
      <c r="T172" s="26">
        <f t="shared" si="113"/>
        <v>0</v>
      </c>
      <c r="U172" s="26">
        <f t="shared" si="113"/>
        <v>0</v>
      </c>
      <c r="V172" s="26">
        <f t="shared" si="113"/>
        <v>0</v>
      </c>
      <c r="W172" s="26">
        <f t="shared" si="113"/>
        <v>0</v>
      </c>
      <c r="X172" s="26">
        <f t="shared" si="113"/>
        <v>0</v>
      </c>
      <c r="Y172" s="26">
        <f t="shared" si="113"/>
        <v>0</v>
      </c>
      <c r="Z172" s="26">
        <f t="shared" si="113"/>
        <v>0</v>
      </c>
      <c r="AA172" s="26">
        <f t="shared" si="113"/>
        <v>0</v>
      </c>
      <c r="AB172" s="26">
        <f t="shared" si="113"/>
        <v>0</v>
      </c>
      <c r="AC172" s="26">
        <f t="shared" si="113"/>
        <v>0</v>
      </c>
    </row>
    <row r="173" spans="1:29">
      <c r="A173" s="29">
        <v>46011</v>
      </c>
      <c r="B173" s="30">
        <f>E180</f>
        <v>91.5092563999999</v>
      </c>
      <c r="C173" s="31" t="s">
        <v>47</v>
      </c>
      <c r="D173" s="31" t="s">
        <v>48</v>
      </c>
      <c r="E173" s="42">
        <f t="shared" si="110"/>
        <v>61.56322</v>
      </c>
      <c r="F173" s="43">
        <v>1.49368</v>
      </c>
      <c r="G173" s="43">
        <v>1.50304</v>
      </c>
      <c r="H173" s="43">
        <v>1.49104</v>
      </c>
      <c r="I173" s="43">
        <v>2.22612</v>
      </c>
      <c r="J173" s="43">
        <v>1.8132</v>
      </c>
      <c r="K173" s="43">
        <v>1.8266</v>
      </c>
      <c r="L173" s="43">
        <v>1.7026</v>
      </c>
      <c r="M173" s="43">
        <v>1.992</v>
      </c>
      <c r="N173" s="43">
        <v>4.1181</v>
      </c>
      <c r="O173" s="43">
        <v>3.3788</v>
      </c>
      <c r="P173" s="43">
        <v>2.90424</v>
      </c>
      <c r="Q173" s="43">
        <v>2.72424</v>
      </c>
      <c r="R173" s="43">
        <v>2.19648</v>
      </c>
      <c r="S173" s="43">
        <v>2.63376</v>
      </c>
      <c r="T173" s="43">
        <v>2.94472</v>
      </c>
      <c r="U173" s="43">
        <v>2.8916</v>
      </c>
      <c r="V173" s="43">
        <v>4.55652</v>
      </c>
      <c r="W173" s="43">
        <v>4.37208</v>
      </c>
      <c r="X173" s="43">
        <v>3.71424</v>
      </c>
      <c r="Y173" s="43">
        <v>3.8856</v>
      </c>
      <c r="Z173" s="43">
        <v>2.35632</v>
      </c>
      <c r="AA173" s="43">
        <v>2.05888</v>
      </c>
      <c r="AB173" s="43">
        <v>1.44976</v>
      </c>
      <c r="AC173" s="43">
        <v>1.3296</v>
      </c>
    </row>
    <row r="174" spans="1:29">
      <c r="A174" s="32"/>
      <c r="B174" s="33"/>
      <c r="C174" s="32"/>
      <c r="D174" s="6" t="s">
        <v>49</v>
      </c>
      <c r="E174" s="42">
        <f t="shared" si="110"/>
        <v>66.2765</v>
      </c>
      <c r="F174" s="43">
        <v>1.8671</v>
      </c>
      <c r="G174" s="43">
        <v>1.8788</v>
      </c>
      <c r="H174" s="43">
        <v>1.8638</v>
      </c>
      <c r="I174" s="43">
        <v>1.8551</v>
      </c>
      <c r="J174" s="43">
        <v>1.8132</v>
      </c>
      <c r="K174" s="43">
        <v>1.8266</v>
      </c>
      <c r="L174" s="43">
        <v>1.7026</v>
      </c>
      <c r="M174" s="43">
        <v>1.992</v>
      </c>
      <c r="N174" s="43">
        <v>4.1181</v>
      </c>
      <c r="O174" s="43">
        <v>4.2235</v>
      </c>
      <c r="P174" s="43">
        <v>3.6303</v>
      </c>
      <c r="Q174" s="43">
        <v>3.4053</v>
      </c>
      <c r="R174" s="43">
        <v>2.7456</v>
      </c>
      <c r="S174" s="43">
        <v>3.2922</v>
      </c>
      <c r="T174" s="43">
        <v>3.6809</v>
      </c>
      <c r="U174" s="43">
        <v>3.6145</v>
      </c>
      <c r="V174" s="43">
        <v>3.7971</v>
      </c>
      <c r="W174" s="43">
        <v>3.6434</v>
      </c>
      <c r="X174" s="43">
        <v>3.0952</v>
      </c>
      <c r="Y174" s="43">
        <v>3.238</v>
      </c>
      <c r="Z174" s="43">
        <v>2.9454</v>
      </c>
      <c r="AA174" s="43">
        <v>2.5736</v>
      </c>
      <c r="AB174" s="43">
        <v>1.8122</v>
      </c>
      <c r="AC174" s="43">
        <v>1.662</v>
      </c>
    </row>
    <row r="175" spans="1:29">
      <c r="A175" s="32"/>
      <c r="B175" s="33"/>
      <c r="C175" s="34"/>
      <c r="D175" s="31" t="s">
        <v>50</v>
      </c>
      <c r="E175" s="26">
        <f>E173-E174</f>
        <v>-4.71328000000001</v>
      </c>
      <c r="F175" s="43">
        <f t="shared" ref="F175:AC175" si="114">(F173-F174)*1</f>
        <v>-0.37342</v>
      </c>
      <c r="G175" s="43">
        <f t="shared" si="114"/>
        <v>-0.37576</v>
      </c>
      <c r="H175" s="43">
        <f t="shared" si="114"/>
        <v>-0.37276</v>
      </c>
      <c r="I175" s="43">
        <f t="shared" si="114"/>
        <v>0.37102</v>
      </c>
      <c r="J175" s="43">
        <f t="shared" si="114"/>
        <v>0</v>
      </c>
      <c r="K175" s="43">
        <f t="shared" si="114"/>
        <v>0</v>
      </c>
      <c r="L175" s="43">
        <f t="shared" si="114"/>
        <v>0</v>
      </c>
      <c r="M175" s="43">
        <f t="shared" si="114"/>
        <v>0</v>
      </c>
      <c r="N175" s="43">
        <f t="shared" si="114"/>
        <v>0</v>
      </c>
      <c r="O175" s="43">
        <f t="shared" si="114"/>
        <v>-0.8447</v>
      </c>
      <c r="P175" s="43">
        <f t="shared" si="114"/>
        <v>-0.72606</v>
      </c>
      <c r="Q175" s="43">
        <f t="shared" si="114"/>
        <v>-0.68106</v>
      </c>
      <c r="R175" s="43">
        <f t="shared" si="114"/>
        <v>-0.54912</v>
      </c>
      <c r="S175" s="43">
        <f t="shared" si="114"/>
        <v>-0.65844</v>
      </c>
      <c r="T175" s="43">
        <f t="shared" si="114"/>
        <v>-0.73618</v>
      </c>
      <c r="U175" s="43">
        <f t="shared" si="114"/>
        <v>-0.7229</v>
      </c>
      <c r="V175" s="43">
        <f t="shared" si="114"/>
        <v>0.75942</v>
      </c>
      <c r="W175" s="43">
        <f t="shared" si="114"/>
        <v>0.72868</v>
      </c>
      <c r="X175" s="43">
        <f t="shared" si="114"/>
        <v>0.61904</v>
      </c>
      <c r="Y175" s="43">
        <f t="shared" si="114"/>
        <v>0.6476</v>
      </c>
      <c r="Z175" s="43">
        <f t="shared" si="114"/>
        <v>-0.58908</v>
      </c>
      <c r="AA175" s="43">
        <f t="shared" si="114"/>
        <v>-0.51472</v>
      </c>
      <c r="AB175" s="43">
        <f t="shared" si="114"/>
        <v>-0.36244</v>
      </c>
      <c r="AC175" s="43">
        <f t="shared" si="114"/>
        <v>-0.3324</v>
      </c>
    </row>
    <row r="176" spans="1:29">
      <c r="A176" s="32"/>
      <c r="B176" s="33"/>
      <c r="C176" s="35" t="s">
        <v>51</v>
      </c>
      <c r="D176" s="31" t="s">
        <v>48</v>
      </c>
      <c r="E176" s="31">
        <f>AVERAGE(F176:AC176)</f>
        <v>330.71</v>
      </c>
      <c r="F176" s="43">
        <v>352.42</v>
      </c>
      <c r="G176" s="43">
        <v>333.06</v>
      </c>
      <c r="H176" s="43">
        <v>328.54</v>
      </c>
      <c r="I176" s="43">
        <v>313.53</v>
      </c>
      <c r="J176" s="43">
        <v>309.13</v>
      </c>
      <c r="K176" s="43">
        <v>309.19</v>
      </c>
      <c r="L176" s="43">
        <v>321.18</v>
      </c>
      <c r="M176" s="43">
        <v>339.31</v>
      </c>
      <c r="N176" s="43">
        <v>366.93</v>
      </c>
      <c r="O176" s="43">
        <v>357.89</v>
      </c>
      <c r="P176" s="43">
        <v>301.62</v>
      </c>
      <c r="Q176" s="43">
        <v>244.71</v>
      </c>
      <c r="R176" s="43">
        <v>190.37</v>
      </c>
      <c r="S176" s="43">
        <v>230.89</v>
      </c>
      <c r="T176" s="43">
        <v>258.09</v>
      </c>
      <c r="U176" s="43">
        <v>296.34</v>
      </c>
      <c r="V176" s="43">
        <v>351.13</v>
      </c>
      <c r="W176" s="43">
        <v>398.98</v>
      </c>
      <c r="X176" s="43">
        <v>423.01</v>
      </c>
      <c r="Y176" s="43">
        <v>412.76</v>
      </c>
      <c r="Z176" s="43">
        <v>408.19</v>
      </c>
      <c r="AA176" s="43">
        <v>400.09</v>
      </c>
      <c r="AB176" s="43">
        <v>372.52</v>
      </c>
      <c r="AC176" s="43">
        <v>317.16</v>
      </c>
    </row>
    <row r="177" spans="1:29">
      <c r="A177" s="32"/>
      <c r="B177" s="33"/>
      <c r="C177" s="32"/>
      <c r="D177" s="31" t="s">
        <v>49</v>
      </c>
      <c r="E177" s="31">
        <f>AVERAGE(F177:AC177)</f>
        <v>311.283333333333</v>
      </c>
      <c r="F177" s="43">
        <v>349.23</v>
      </c>
      <c r="G177" s="43">
        <v>336.02</v>
      </c>
      <c r="H177" s="43">
        <v>317.81</v>
      </c>
      <c r="I177" s="43">
        <v>315.03</v>
      </c>
      <c r="J177" s="43">
        <v>314.22</v>
      </c>
      <c r="K177" s="43">
        <v>313.67</v>
      </c>
      <c r="L177" s="43">
        <v>311.75</v>
      </c>
      <c r="M177" s="43">
        <v>334.24</v>
      </c>
      <c r="N177" s="43">
        <v>374.46</v>
      </c>
      <c r="O177" s="43">
        <v>331</v>
      </c>
      <c r="P177" s="43">
        <v>292.98</v>
      </c>
      <c r="Q177" s="43">
        <v>247.45</v>
      </c>
      <c r="R177" s="43">
        <v>179.31</v>
      </c>
      <c r="S177" s="43">
        <v>244.24</v>
      </c>
      <c r="T177" s="43">
        <v>247.99</v>
      </c>
      <c r="U177" s="43">
        <v>268.97</v>
      </c>
      <c r="V177" s="43">
        <v>310.34</v>
      </c>
      <c r="W177" s="43">
        <v>345.96</v>
      </c>
      <c r="X177" s="43">
        <v>439.05</v>
      </c>
      <c r="Y177" s="43">
        <v>358.94</v>
      </c>
      <c r="Z177" s="43">
        <v>312.63</v>
      </c>
      <c r="AA177" s="43">
        <v>305.42</v>
      </c>
      <c r="AB177" s="43">
        <v>318.2</v>
      </c>
      <c r="AC177" s="43">
        <v>301.89</v>
      </c>
    </row>
    <row r="178" spans="1:29">
      <c r="A178" s="32"/>
      <c r="B178" s="33"/>
      <c r="C178" s="34"/>
      <c r="D178" s="31" t="s">
        <v>50</v>
      </c>
      <c r="E178" s="26">
        <f>E176-E177</f>
        <v>19.4266666666666</v>
      </c>
      <c r="F178" s="43">
        <f t="shared" ref="F178:AC178" si="115">(F176-F177)*1</f>
        <v>3.19</v>
      </c>
      <c r="G178" s="43">
        <f t="shared" si="115"/>
        <v>-2.95999999999998</v>
      </c>
      <c r="H178" s="43">
        <f t="shared" si="115"/>
        <v>10.73</v>
      </c>
      <c r="I178" s="43">
        <f t="shared" si="115"/>
        <v>-1.5</v>
      </c>
      <c r="J178" s="43">
        <f t="shared" si="115"/>
        <v>-5.09000000000003</v>
      </c>
      <c r="K178" s="43">
        <f t="shared" si="115"/>
        <v>-4.48000000000002</v>
      </c>
      <c r="L178" s="43">
        <f t="shared" si="115"/>
        <v>9.43000000000001</v>
      </c>
      <c r="M178" s="43">
        <f t="shared" si="115"/>
        <v>5.06999999999999</v>
      </c>
      <c r="N178" s="43">
        <f t="shared" si="115"/>
        <v>-7.52999999999997</v>
      </c>
      <c r="O178" s="43">
        <f t="shared" si="115"/>
        <v>26.89</v>
      </c>
      <c r="P178" s="43">
        <f t="shared" si="115"/>
        <v>8.63999999999999</v>
      </c>
      <c r="Q178" s="43">
        <f t="shared" si="115"/>
        <v>-2.73999999999998</v>
      </c>
      <c r="R178" s="43">
        <f t="shared" si="115"/>
        <v>11.06</v>
      </c>
      <c r="S178" s="43">
        <f t="shared" si="115"/>
        <v>-13.35</v>
      </c>
      <c r="T178" s="43">
        <f t="shared" si="115"/>
        <v>10.1</v>
      </c>
      <c r="U178" s="43">
        <f t="shared" si="115"/>
        <v>27.3699999999999</v>
      </c>
      <c r="V178" s="43">
        <f t="shared" si="115"/>
        <v>40.79</v>
      </c>
      <c r="W178" s="43">
        <f t="shared" si="115"/>
        <v>53.02</v>
      </c>
      <c r="X178" s="43">
        <f t="shared" si="115"/>
        <v>-16.04</v>
      </c>
      <c r="Y178" s="43">
        <f t="shared" si="115"/>
        <v>53.82</v>
      </c>
      <c r="Z178" s="43">
        <f t="shared" si="115"/>
        <v>95.56</v>
      </c>
      <c r="AA178" s="43">
        <f t="shared" si="115"/>
        <v>94.67</v>
      </c>
      <c r="AB178" s="43">
        <f t="shared" si="115"/>
        <v>54.32</v>
      </c>
      <c r="AC178" s="43">
        <f t="shared" si="115"/>
        <v>15.27</v>
      </c>
    </row>
    <row r="179" spans="1:29">
      <c r="A179" s="32"/>
      <c r="B179" s="33"/>
      <c r="C179" s="36" t="s">
        <v>52</v>
      </c>
      <c r="D179" s="37"/>
      <c r="E179" s="26">
        <f t="shared" ref="E179:E183" si="116">SUM(F179:AC179)</f>
        <v>91.5092563999998</v>
      </c>
      <c r="F179" s="43">
        <f t="shared" ref="F179:AC179" si="117">(-F175*F178)*1</f>
        <v>1.1912098</v>
      </c>
      <c r="G179" s="43">
        <f t="shared" si="117"/>
        <v>-1.11224959999999</v>
      </c>
      <c r="H179" s="43">
        <f t="shared" si="117"/>
        <v>3.99971480000001</v>
      </c>
      <c r="I179" s="43">
        <f t="shared" si="117"/>
        <v>0.55653</v>
      </c>
      <c r="J179" s="43">
        <f t="shared" si="117"/>
        <v>0</v>
      </c>
      <c r="K179" s="43">
        <f t="shared" si="117"/>
        <v>0</v>
      </c>
      <c r="L179" s="43">
        <f t="shared" si="117"/>
        <v>0</v>
      </c>
      <c r="M179" s="43">
        <f t="shared" si="117"/>
        <v>0</v>
      </c>
      <c r="N179" s="43">
        <f t="shared" si="117"/>
        <v>0</v>
      </c>
      <c r="O179" s="43">
        <f t="shared" si="117"/>
        <v>22.713983</v>
      </c>
      <c r="P179" s="43">
        <f t="shared" si="117"/>
        <v>6.27315839999999</v>
      </c>
      <c r="Q179" s="43">
        <f t="shared" si="117"/>
        <v>-1.86610439999999</v>
      </c>
      <c r="R179" s="43">
        <f t="shared" si="117"/>
        <v>6.0732672</v>
      </c>
      <c r="S179" s="43">
        <f t="shared" si="117"/>
        <v>-8.79017400000001</v>
      </c>
      <c r="T179" s="43">
        <f t="shared" si="117"/>
        <v>7.43541799999998</v>
      </c>
      <c r="U179" s="43">
        <f t="shared" si="117"/>
        <v>19.785773</v>
      </c>
      <c r="V179" s="43">
        <f t="shared" si="117"/>
        <v>-30.9767418</v>
      </c>
      <c r="W179" s="43">
        <f t="shared" si="117"/>
        <v>-38.6346136</v>
      </c>
      <c r="X179" s="43">
        <f t="shared" si="117"/>
        <v>9.92940160000001</v>
      </c>
      <c r="Y179" s="43">
        <f t="shared" si="117"/>
        <v>-34.853832</v>
      </c>
      <c r="Z179" s="43">
        <f t="shared" si="117"/>
        <v>56.2924848</v>
      </c>
      <c r="AA179" s="43">
        <f t="shared" si="117"/>
        <v>48.7285424</v>
      </c>
      <c r="AB179" s="43">
        <f t="shared" si="117"/>
        <v>19.6877408</v>
      </c>
      <c r="AC179" s="43">
        <f t="shared" si="117"/>
        <v>5.07574800000001</v>
      </c>
    </row>
    <row r="180" spans="1:29">
      <c r="A180" s="32"/>
      <c r="B180" s="33"/>
      <c r="C180" s="38" t="s">
        <v>53</v>
      </c>
      <c r="D180" s="37"/>
      <c r="E180" s="26">
        <f t="shared" si="116"/>
        <v>91.5092563999999</v>
      </c>
      <c r="F180" s="43">
        <f t="shared" ref="F180:AC180" si="118">(IF(F179&gt;0,ABS(MIN(F174*0.2,ABS(F175))*F178),F179))*1</f>
        <v>1.1912098</v>
      </c>
      <c r="G180" s="43">
        <f t="shared" si="118"/>
        <v>-1.11224959999999</v>
      </c>
      <c r="H180" s="43">
        <f t="shared" si="118"/>
        <v>3.99971480000001</v>
      </c>
      <c r="I180" s="43">
        <f t="shared" si="118"/>
        <v>0.55653</v>
      </c>
      <c r="J180" s="43">
        <f t="shared" si="118"/>
        <v>0</v>
      </c>
      <c r="K180" s="43">
        <f t="shared" si="118"/>
        <v>0</v>
      </c>
      <c r="L180" s="43">
        <f t="shared" si="118"/>
        <v>0</v>
      </c>
      <c r="M180" s="43">
        <f t="shared" si="118"/>
        <v>0</v>
      </c>
      <c r="N180" s="43">
        <f t="shared" si="118"/>
        <v>0</v>
      </c>
      <c r="O180" s="43">
        <f t="shared" si="118"/>
        <v>22.713983</v>
      </c>
      <c r="P180" s="43">
        <f t="shared" si="118"/>
        <v>6.27315839999999</v>
      </c>
      <c r="Q180" s="43">
        <f t="shared" si="118"/>
        <v>-1.86610439999999</v>
      </c>
      <c r="R180" s="43">
        <f t="shared" si="118"/>
        <v>6.0732672</v>
      </c>
      <c r="S180" s="43">
        <f t="shared" si="118"/>
        <v>-8.79017400000001</v>
      </c>
      <c r="T180" s="43">
        <f t="shared" si="118"/>
        <v>7.43541799999998</v>
      </c>
      <c r="U180" s="43">
        <f t="shared" si="118"/>
        <v>19.785773</v>
      </c>
      <c r="V180" s="43">
        <f t="shared" si="118"/>
        <v>-30.9767418</v>
      </c>
      <c r="W180" s="43">
        <f t="shared" si="118"/>
        <v>-38.6346136</v>
      </c>
      <c r="X180" s="43">
        <f t="shared" si="118"/>
        <v>9.92940160000001</v>
      </c>
      <c r="Y180" s="43">
        <f t="shared" si="118"/>
        <v>-34.853832</v>
      </c>
      <c r="Z180" s="43">
        <f t="shared" si="118"/>
        <v>56.2924848</v>
      </c>
      <c r="AA180" s="43">
        <f t="shared" si="118"/>
        <v>48.7285424</v>
      </c>
      <c r="AB180" s="43">
        <f t="shared" si="118"/>
        <v>19.6877408</v>
      </c>
      <c r="AC180" s="43">
        <f t="shared" si="118"/>
        <v>5.07574800000001</v>
      </c>
    </row>
    <row r="181" spans="1:29">
      <c r="A181" s="32"/>
      <c r="B181" s="33"/>
      <c r="C181" s="39" t="s">
        <v>50</v>
      </c>
      <c r="D181" s="37"/>
      <c r="E181" s="44">
        <f>E179-E180</f>
        <v>0</v>
      </c>
      <c r="F181" s="26">
        <f t="shared" ref="F181:AC181" si="119">(F179-F180)*1</f>
        <v>0</v>
      </c>
      <c r="G181" s="26">
        <f t="shared" si="119"/>
        <v>0</v>
      </c>
      <c r="H181" s="26">
        <f t="shared" si="119"/>
        <v>0</v>
      </c>
      <c r="I181" s="26">
        <f t="shared" si="119"/>
        <v>0</v>
      </c>
      <c r="J181" s="26">
        <f t="shared" si="119"/>
        <v>0</v>
      </c>
      <c r="K181" s="26">
        <f t="shared" si="119"/>
        <v>0</v>
      </c>
      <c r="L181" s="26">
        <f t="shared" si="119"/>
        <v>0</v>
      </c>
      <c r="M181" s="26">
        <f t="shared" si="119"/>
        <v>0</v>
      </c>
      <c r="N181" s="26">
        <f t="shared" si="119"/>
        <v>0</v>
      </c>
      <c r="O181" s="26">
        <f t="shared" si="119"/>
        <v>0</v>
      </c>
      <c r="P181" s="26">
        <f t="shared" si="119"/>
        <v>0</v>
      </c>
      <c r="Q181" s="26">
        <f t="shared" si="119"/>
        <v>0</v>
      </c>
      <c r="R181" s="26">
        <f t="shared" si="119"/>
        <v>0</v>
      </c>
      <c r="S181" s="26">
        <f t="shared" si="119"/>
        <v>0</v>
      </c>
      <c r="T181" s="26">
        <f t="shared" si="119"/>
        <v>0</v>
      </c>
      <c r="U181" s="26">
        <f t="shared" si="119"/>
        <v>0</v>
      </c>
      <c r="V181" s="26">
        <f t="shared" si="119"/>
        <v>0</v>
      </c>
      <c r="W181" s="26">
        <f t="shared" si="119"/>
        <v>0</v>
      </c>
      <c r="X181" s="26">
        <f t="shared" si="119"/>
        <v>0</v>
      </c>
      <c r="Y181" s="26">
        <f t="shared" si="119"/>
        <v>0</v>
      </c>
      <c r="Z181" s="26">
        <f t="shared" si="119"/>
        <v>-3.5527136788005e-14</v>
      </c>
      <c r="AA181" s="26">
        <f t="shared" si="119"/>
        <v>0</v>
      </c>
      <c r="AB181" s="26">
        <f t="shared" si="119"/>
        <v>0</v>
      </c>
      <c r="AC181" s="26">
        <f t="shared" si="119"/>
        <v>0</v>
      </c>
    </row>
    <row r="182" spans="1:29">
      <c r="A182" s="29">
        <v>46012</v>
      </c>
      <c r="B182" s="30">
        <f>E189</f>
        <v>235.0159618</v>
      </c>
      <c r="C182" s="31" t="s">
        <v>47</v>
      </c>
      <c r="D182" s="31" t="s">
        <v>48</v>
      </c>
      <c r="E182" s="42">
        <f t="shared" si="116"/>
        <v>41.39378</v>
      </c>
      <c r="F182" s="47">
        <v>1.35496</v>
      </c>
      <c r="G182" s="47">
        <v>1.42272</v>
      </c>
      <c r="H182" s="47">
        <v>1.34984</v>
      </c>
      <c r="I182" s="47">
        <v>1.95132</v>
      </c>
      <c r="J182" s="47">
        <v>1.614</v>
      </c>
      <c r="K182" s="47">
        <v>1.5929</v>
      </c>
      <c r="L182" s="47">
        <v>1.487</v>
      </c>
      <c r="M182" s="47">
        <v>1.3209</v>
      </c>
      <c r="N182" s="47">
        <v>2.4881</v>
      </c>
      <c r="O182" s="47">
        <v>2.12776</v>
      </c>
      <c r="P182" s="47">
        <v>1.81216</v>
      </c>
      <c r="Q182" s="47">
        <v>1.78304</v>
      </c>
      <c r="R182" s="47">
        <v>1.52368</v>
      </c>
      <c r="S182" s="47">
        <v>1.6836</v>
      </c>
      <c r="T182" s="47">
        <v>1.996</v>
      </c>
      <c r="U182" s="47">
        <v>1.938</v>
      </c>
      <c r="V182" s="47">
        <v>3.05208</v>
      </c>
      <c r="W182" s="47">
        <v>2.72256</v>
      </c>
      <c r="X182" s="47">
        <v>1.90668</v>
      </c>
      <c r="Y182" s="47">
        <v>1.79592</v>
      </c>
      <c r="Z182" s="47">
        <v>1.16112</v>
      </c>
      <c r="AA182" s="47">
        <v>1.15432</v>
      </c>
      <c r="AB182" s="47">
        <v>1.07384</v>
      </c>
      <c r="AC182" s="47">
        <v>1.08128</v>
      </c>
    </row>
    <row r="183" spans="1:29">
      <c r="A183" s="32"/>
      <c r="B183" s="33"/>
      <c r="C183" s="32"/>
      <c r="D183" s="6" t="s">
        <v>49</v>
      </c>
      <c r="E183" s="42">
        <f t="shared" si="116"/>
        <v>44.8546</v>
      </c>
      <c r="F183" s="47">
        <v>1.6937</v>
      </c>
      <c r="G183" s="47">
        <v>1.7784</v>
      </c>
      <c r="H183" s="47">
        <v>1.6873</v>
      </c>
      <c r="I183" s="47">
        <v>1.6261</v>
      </c>
      <c r="J183" s="47">
        <v>1.614</v>
      </c>
      <c r="K183" s="47">
        <v>1.5929</v>
      </c>
      <c r="L183" s="47">
        <v>1.487</v>
      </c>
      <c r="M183" s="47">
        <v>1.3209</v>
      </c>
      <c r="N183" s="47">
        <v>2.4881</v>
      </c>
      <c r="O183" s="47">
        <v>2.6597</v>
      </c>
      <c r="P183" s="47">
        <v>2.2652</v>
      </c>
      <c r="Q183" s="47">
        <v>2.2288</v>
      </c>
      <c r="R183" s="47">
        <v>1.9046</v>
      </c>
      <c r="S183" s="47">
        <v>2.1045</v>
      </c>
      <c r="T183" s="47">
        <v>2.495</v>
      </c>
      <c r="U183" s="47">
        <v>2.4225</v>
      </c>
      <c r="V183" s="47">
        <v>2.5434</v>
      </c>
      <c r="W183" s="47">
        <v>2.2688</v>
      </c>
      <c r="X183" s="47">
        <v>1.5889</v>
      </c>
      <c r="Y183" s="47">
        <v>1.4966</v>
      </c>
      <c r="Z183" s="47">
        <v>1.4514</v>
      </c>
      <c r="AA183" s="47">
        <v>1.4429</v>
      </c>
      <c r="AB183" s="47">
        <v>1.3423</v>
      </c>
      <c r="AC183" s="47">
        <v>1.3516</v>
      </c>
    </row>
    <row r="184" spans="1:29">
      <c r="A184" s="32"/>
      <c r="B184" s="33"/>
      <c r="C184" s="34"/>
      <c r="D184" s="31" t="s">
        <v>50</v>
      </c>
      <c r="E184" s="26">
        <f>E182-E183</f>
        <v>-3.46082000000002</v>
      </c>
      <c r="F184" s="47">
        <f t="shared" ref="F184:AC184" si="120">(F182-F183)*1</f>
        <v>-0.33874</v>
      </c>
      <c r="G184" s="47">
        <f t="shared" si="120"/>
        <v>-0.35568</v>
      </c>
      <c r="H184" s="47">
        <f t="shared" si="120"/>
        <v>-0.33746</v>
      </c>
      <c r="I184" s="47">
        <f t="shared" si="120"/>
        <v>0.32522</v>
      </c>
      <c r="J184" s="47">
        <f t="shared" si="120"/>
        <v>0</v>
      </c>
      <c r="K184" s="47">
        <f t="shared" si="120"/>
        <v>0</v>
      </c>
      <c r="L184" s="47">
        <f t="shared" si="120"/>
        <v>0</v>
      </c>
      <c r="M184" s="47">
        <f t="shared" si="120"/>
        <v>0</v>
      </c>
      <c r="N184" s="47">
        <f t="shared" si="120"/>
        <v>0</v>
      </c>
      <c r="O184" s="47">
        <f t="shared" si="120"/>
        <v>-0.53194</v>
      </c>
      <c r="P184" s="47">
        <f t="shared" si="120"/>
        <v>-0.45304</v>
      </c>
      <c r="Q184" s="47">
        <f t="shared" si="120"/>
        <v>-0.44576</v>
      </c>
      <c r="R184" s="47">
        <f t="shared" si="120"/>
        <v>-0.38092</v>
      </c>
      <c r="S184" s="47">
        <f t="shared" si="120"/>
        <v>-0.4209</v>
      </c>
      <c r="T184" s="47">
        <f t="shared" si="120"/>
        <v>-0.499</v>
      </c>
      <c r="U184" s="47">
        <f t="shared" si="120"/>
        <v>-0.4845</v>
      </c>
      <c r="V184" s="47">
        <f t="shared" si="120"/>
        <v>0.50868</v>
      </c>
      <c r="W184" s="47">
        <f t="shared" si="120"/>
        <v>0.45376</v>
      </c>
      <c r="X184" s="47">
        <f t="shared" si="120"/>
        <v>0.31778</v>
      </c>
      <c r="Y184" s="47">
        <f t="shared" si="120"/>
        <v>0.29932</v>
      </c>
      <c r="Z184" s="47">
        <f t="shared" si="120"/>
        <v>-0.29028</v>
      </c>
      <c r="AA184" s="47">
        <f t="shared" si="120"/>
        <v>-0.28858</v>
      </c>
      <c r="AB184" s="47">
        <f t="shared" si="120"/>
        <v>-0.26846</v>
      </c>
      <c r="AC184" s="47">
        <f t="shared" si="120"/>
        <v>-0.27032</v>
      </c>
    </row>
    <row r="185" spans="1:29">
      <c r="A185" s="32"/>
      <c r="B185" s="33"/>
      <c r="C185" s="35" t="s">
        <v>51</v>
      </c>
      <c r="D185" s="31" t="s">
        <v>48</v>
      </c>
      <c r="E185" s="31">
        <f>AVERAGE(F185:AC185)</f>
        <v>219.12625</v>
      </c>
      <c r="F185" s="47">
        <v>329.62</v>
      </c>
      <c r="G185" s="47">
        <v>309.65</v>
      </c>
      <c r="H185" s="47">
        <v>298.36</v>
      </c>
      <c r="I185" s="47">
        <v>293.22</v>
      </c>
      <c r="J185" s="47">
        <v>286.77</v>
      </c>
      <c r="K185" s="47">
        <v>277.7</v>
      </c>
      <c r="L185" s="47">
        <v>276.45</v>
      </c>
      <c r="M185" s="47">
        <v>269.21</v>
      </c>
      <c r="N185" s="47">
        <v>264.48</v>
      </c>
      <c r="O185" s="47">
        <v>239.07</v>
      </c>
      <c r="P185" s="47">
        <v>79.52</v>
      </c>
      <c r="Q185" s="47">
        <v>-25.62</v>
      </c>
      <c r="R185" s="47">
        <v>-53.67</v>
      </c>
      <c r="S185" s="47">
        <v>-28.23</v>
      </c>
      <c r="T185" s="47">
        <v>-19.78</v>
      </c>
      <c r="U185" s="47">
        <v>67.4</v>
      </c>
      <c r="V185" s="47">
        <v>241.54</v>
      </c>
      <c r="W185" s="47">
        <v>304.19</v>
      </c>
      <c r="X185" s="47">
        <v>324.65</v>
      </c>
      <c r="Y185" s="47">
        <v>322.83</v>
      </c>
      <c r="Z185" s="47">
        <v>320.86</v>
      </c>
      <c r="AA185" s="47">
        <v>321.2</v>
      </c>
      <c r="AB185" s="47">
        <v>297.36</v>
      </c>
      <c r="AC185" s="47">
        <v>262.25</v>
      </c>
    </row>
    <row r="186" spans="1:29">
      <c r="A186" s="32"/>
      <c r="B186" s="33"/>
      <c r="C186" s="32"/>
      <c r="D186" s="31" t="s">
        <v>49</v>
      </c>
      <c r="E186" s="31">
        <f>AVERAGE(F186:AC186)</f>
        <v>181.09125</v>
      </c>
      <c r="F186" s="47">
        <v>338.31</v>
      </c>
      <c r="G186" s="47">
        <v>320.09</v>
      </c>
      <c r="H186" s="47">
        <v>293.92</v>
      </c>
      <c r="I186" s="47">
        <v>290.29</v>
      </c>
      <c r="J186" s="47">
        <v>277.49</v>
      </c>
      <c r="K186" s="47">
        <v>265.08</v>
      </c>
      <c r="L186" s="47">
        <v>269.86</v>
      </c>
      <c r="M186" s="47">
        <v>272.08</v>
      </c>
      <c r="N186" s="47">
        <v>259.17</v>
      </c>
      <c r="O186" s="47">
        <v>20.88</v>
      </c>
      <c r="P186" s="47">
        <v>-70.52</v>
      </c>
      <c r="Q186" s="47">
        <v>-75.43</v>
      </c>
      <c r="R186" s="47">
        <v>-59.44</v>
      </c>
      <c r="S186" s="47">
        <v>-49.41</v>
      </c>
      <c r="T186" s="47">
        <v>-51.08</v>
      </c>
      <c r="U186" s="47">
        <v>-43.72</v>
      </c>
      <c r="V186" s="47">
        <v>106.11</v>
      </c>
      <c r="W186" s="47">
        <v>318</v>
      </c>
      <c r="X186" s="47">
        <v>302.22</v>
      </c>
      <c r="Y186" s="47">
        <v>286.87</v>
      </c>
      <c r="Z186" s="47">
        <v>305.83</v>
      </c>
      <c r="AA186" s="47">
        <v>295.6</v>
      </c>
      <c r="AB186" s="47">
        <v>263.63</v>
      </c>
      <c r="AC186" s="47">
        <v>210.36</v>
      </c>
    </row>
    <row r="187" spans="1:29">
      <c r="A187" s="32"/>
      <c r="B187" s="33"/>
      <c r="C187" s="34"/>
      <c r="D187" s="31" t="s">
        <v>50</v>
      </c>
      <c r="E187" s="26">
        <f>E185-E186</f>
        <v>38.035</v>
      </c>
      <c r="F187" s="47">
        <f t="shared" ref="F187:AC187" si="121">(F185-F186)*1</f>
        <v>-8.69</v>
      </c>
      <c r="G187" s="47">
        <f t="shared" si="121"/>
        <v>-10.44</v>
      </c>
      <c r="H187" s="47">
        <f t="shared" si="121"/>
        <v>4.44</v>
      </c>
      <c r="I187" s="47">
        <f t="shared" si="121"/>
        <v>2.93000000000001</v>
      </c>
      <c r="J187" s="47">
        <f t="shared" si="121"/>
        <v>9.27999999999997</v>
      </c>
      <c r="K187" s="47">
        <f t="shared" si="121"/>
        <v>12.62</v>
      </c>
      <c r="L187" s="47">
        <f t="shared" si="121"/>
        <v>6.58999999999997</v>
      </c>
      <c r="M187" s="47">
        <f t="shared" si="121"/>
        <v>-2.87</v>
      </c>
      <c r="N187" s="47">
        <f t="shared" si="121"/>
        <v>5.31</v>
      </c>
      <c r="O187" s="47">
        <f t="shared" si="121"/>
        <v>218.19</v>
      </c>
      <c r="P187" s="47">
        <f t="shared" si="121"/>
        <v>150.04</v>
      </c>
      <c r="Q187" s="47">
        <f t="shared" si="121"/>
        <v>49.81</v>
      </c>
      <c r="R187" s="47">
        <f t="shared" si="121"/>
        <v>5.77</v>
      </c>
      <c r="S187" s="47">
        <f t="shared" si="121"/>
        <v>21.18</v>
      </c>
      <c r="T187" s="47">
        <f t="shared" si="121"/>
        <v>31.3</v>
      </c>
      <c r="U187" s="47">
        <f t="shared" si="121"/>
        <v>111.12</v>
      </c>
      <c r="V187" s="47">
        <f t="shared" si="121"/>
        <v>135.43</v>
      </c>
      <c r="W187" s="47">
        <f t="shared" si="121"/>
        <v>-13.81</v>
      </c>
      <c r="X187" s="47">
        <f t="shared" si="121"/>
        <v>22.4299999999999</v>
      </c>
      <c r="Y187" s="47">
        <f t="shared" si="121"/>
        <v>35.96</v>
      </c>
      <c r="Z187" s="47">
        <f t="shared" si="121"/>
        <v>15.03</v>
      </c>
      <c r="AA187" s="47">
        <f t="shared" si="121"/>
        <v>25.6</v>
      </c>
      <c r="AB187" s="47">
        <f t="shared" si="121"/>
        <v>33.73</v>
      </c>
      <c r="AC187" s="47">
        <f t="shared" si="121"/>
        <v>51.89</v>
      </c>
    </row>
    <row r="188" spans="1:29">
      <c r="A188" s="32"/>
      <c r="B188" s="33"/>
      <c r="C188" s="36" t="s">
        <v>52</v>
      </c>
      <c r="D188" s="37"/>
      <c r="E188" s="26">
        <f t="shared" ref="E188:E192" si="122">SUM(F188:AC188)</f>
        <v>235.0159618</v>
      </c>
      <c r="F188" s="49">
        <f t="shared" ref="F188:AC188" si="123">(-F184*F187)*1</f>
        <v>-2.9436506</v>
      </c>
      <c r="G188" s="49">
        <f t="shared" si="123"/>
        <v>-3.7132992</v>
      </c>
      <c r="H188" s="49">
        <f t="shared" si="123"/>
        <v>1.4983224</v>
      </c>
      <c r="I188" s="49">
        <f t="shared" si="123"/>
        <v>-0.952894600000002</v>
      </c>
      <c r="J188" s="49">
        <f t="shared" si="123"/>
        <v>0</v>
      </c>
      <c r="K188" s="49">
        <f t="shared" si="123"/>
        <v>0</v>
      </c>
      <c r="L188" s="49">
        <f t="shared" si="123"/>
        <v>0</v>
      </c>
      <c r="M188" s="49">
        <f t="shared" si="123"/>
        <v>0</v>
      </c>
      <c r="N188" s="49">
        <f t="shared" si="123"/>
        <v>0</v>
      </c>
      <c r="O188" s="49">
        <f t="shared" si="123"/>
        <v>116.0639886</v>
      </c>
      <c r="P188" s="49">
        <f t="shared" si="123"/>
        <v>67.9741216</v>
      </c>
      <c r="Q188" s="49">
        <f t="shared" si="123"/>
        <v>22.2033056</v>
      </c>
      <c r="R188" s="49">
        <f t="shared" si="123"/>
        <v>2.1979084</v>
      </c>
      <c r="S188" s="49">
        <f t="shared" si="123"/>
        <v>8.91466199999999</v>
      </c>
      <c r="T188" s="49">
        <f t="shared" si="123"/>
        <v>15.6187</v>
      </c>
      <c r="U188" s="49">
        <f t="shared" si="123"/>
        <v>53.83764</v>
      </c>
      <c r="V188" s="49">
        <f t="shared" si="123"/>
        <v>-68.8905324</v>
      </c>
      <c r="W188" s="49">
        <f t="shared" si="123"/>
        <v>6.2664256</v>
      </c>
      <c r="X188" s="49">
        <f t="shared" si="123"/>
        <v>-7.12780539999998</v>
      </c>
      <c r="Y188" s="49">
        <f t="shared" si="123"/>
        <v>-10.7635472</v>
      </c>
      <c r="Z188" s="49">
        <f t="shared" si="123"/>
        <v>4.36290840000001</v>
      </c>
      <c r="AA188" s="49">
        <f t="shared" si="123"/>
        <v>7.38764799999999</v>
      </c>
      <c r="AB188" s="49">
        <f t="shared" si="123"/>
        <v>9.05515580000001</v>
      </c>
      <c r="AC188" s="49">
        <f t="shared" si="123"/>
        <v>14.0269048</v>
      </c>
    </row>
    <row r="189" spans="1:29">
      <c r="A189" s="32"/>
      <c r="B189" s="33"/>
      <c r="C189" s="38" t="s">
        <v>53</v>
      </c>
      <c r="D189" s="37"/>
      <c r="E189" s="26">
        <f t="shared" si="122"/>
        <v>235.0159618</v>
      </c>
      <c r="F189" s="49">
        <f t="shared" ref="F189:AC189" si="124">(IF(F188&gt;0,ABS(MIN(F183*0.2,ABS(F184))*F187),F188))*1</f>
        <v>-2.9436506</v>
      </c>
      <c r="G189" s="49">
        <f t="shared" si="124"/>
        <v>-3.7132992</v>
      </c>
      <c r="H189" s="49">
        <f t="shared" si="124"/>
        <v>1.4983224</v>
      </c>
      <c r="I189" s="49">
        <f t="shared" si="124"/>
        <v>-0.952894600000002</v>
      </c>
      <c r="J189" s="49">
        <f t="shared" si="124"/>
        <v>0</v>
      </c>
      <c r="K189" s="49">
        <f t="shared" si="124"/>
        <v>0</v>
      </c>
      <c r="L189" s="49">
        <f t="shared" si="124"/>
        <v>0</v>
      </c>
      <c r="M189" s="49">
        <f t="shared" si="124"/>
        <v>0</v>
      </c>
      <c r="N189" s="49">
        <f t="shared" si="124"/>
        <v>0</v>
      </c>
      <c r="O189" s="49">
        <f t="shared" si="124"/>
        <v>116.0639886</v>
      </c>
      <c r="P189" s="49">
        <f t="shared" si="124"/>
        <v>67.9741216</v>
      </c>
      <c r="Q189" s="49">
        <f t="shared" si="124"/>
        <v>22.2033056</v>
      </c>
      <c r="R189" s="49">
        <f t="shared" si="124"/>
        <v>2.1979084</v>
      </c>
      <c r="S189" s="49">
        <f t="shared" si="124"/>
        <v>8.914662</v>
      </c>
      <c r="T189" s="49">
        <f t="shared" si="124"/>
        <v>15.6187</v>
      </c>
      <c r="U189" s="49">
        <f t="shared" si="124"/>
        <v>53.83764</v>
      </c>
      <c r="V189" s="49">
        <f t="shared" si="124"/>
        <v>-68.8905324</v>
      </c>
      <c r="W189" s="49">
        <f t="shared" si="124"/>
        <v>6.2664256</v>
      </c>
      <c r="X189" s="49">
        <f t="shared" si="124"/>
        <v>-7.12780539999998</v>
      </c>
      <c r="Y189" s="49">
        <f t="shared" si="124"/>
        <v>-10.7635472</v>
      </c>
      <c r="Z189" s="49">
        <f t="shared" si="124"/>
        <v>4.36290840000001</v>
      </c>
      <c r="AA189" s="49">
        <f t="shared" si="124"/>
        <v>7.38764799999999</v>
      </c>
      <c r="AB189" s="49">
        <f t="shared" si="124"/>
        <v>9.05515580000001</v>
      </c>
      <c r="AC189" s="49">
        <f t="shared" si="124"/>
        <v>14.0269048</v>
      </c>
    </row>
    <row r="190" spans="1:29">
      <c r="A190" s="32"/>
      <c r="B190" s="33"/>
      <c r="C190" s="39" t="s">
        <v>50</v>
      </c>
      <c r="D190" s="37"/>
      <c r="E190" s="44">
        <f>E188-E189</f>
        <v>0</v>
      </c>
      <c r="F190" s="50">
        <f t="shared" ref="F190:AC190" si="125">(F188-F189)*1</f>
        <v>0</v>
      </c>
      <c r="G190" s="50">
        <f t="shared" si="125"/>
        <v>0</v>
      </c>
      <c r="H190" s="50">
        <f t="shared" si="125"/>
        <v>0</v>
      </c>
      <c r="I190" s="50">
        <f t="shared" si="125"/>
        <v>0</v>
      </c>
      <c r="J190" s="50">
        <f t="shared" si="125"/>
        <v>0</v>
      </c>
      <c r="K190" s="50">
        <f t="shared" si="125"/>
        <v>0</v>
      </c>
      <c r="L190" s="50">
        <f t="shared" si="125"/>
        <v>0</v>
      </c>
      <c r="M190" s="50">
        <f t="shared" si="125"/>
        <v>0</v>
      </c>
      <c r="N190" s="50">
        <f t="shared" si="125"/>
        <v>0</v>
      </c>
      <c r="O190" s="50">
        <f t="shared" si="125"/>
        <v>0</v>
      </c>
      <c r="P190" s="50">
        <f t="shared" si="125"/>
        <v>0</v>
      </c>
      <c r="Q190" s="50">
        <f t="shared" si="125"/>
        <v>0</v>
      </c>
      <c r="R190" s="50">
        <f t="shared" si="125"/>
        <v>0</v>
      </c>
      <c r="S190" s="50">
        <f t="shared" si="125"/>
        <v>0</v>
      </c>
      <c r="T190" s="50">
        <f t="shared" si="125"/>
        <v>0</v>
      </c>
      <c r="U190" s="50">
        <f t="shared" si="125"/>
        <v>0</v>
      </c>
      <c r="V190" s="50">
        <f t="shared" si="125"/>
        <v>0</v>
      </c>
      <c r="W190" s="50">
        <f t="shared" si="125"/>
        <v>0</v>
      </c>
      <c r="X190" s="50">
        <f t="shared" si="125"/>
        <v>0</v>
      </c>
      <c r="Y190" s="50">
        <f t="shared" si="125"/>
        <v>0</v>
      </c>
      <c r="Z190" s="50">
        <f t="shared" si="125"/>
        <v>0</v>
      </c>
      <c r="AA190" s="50">
        <f t="shared" si="125"/>
        <v>0</v>
      </c>
      <c r="AB190" s="50">
        <f t="shared" si="125"/>
        <v>0</v>
      </c>
      <c r="AC190" s="50">
        <f t="shared" si="125"/>
        <v>0</v>
      </c>
    </row>
    <row r="191" spans="1:29">
      <c r="A191" s="29">
        <v>46013</v>
      </c>
      <c r="B191" s="30">
        <f>E198</f>
        <v>36.5376641</v>
      </c>
      <c r="C191" s="31" t="s">
        <v>47</v>
      </c>
      <c r="D191" s="31" t="s">
        <v>48</v>
      </c>
      <c r="E191" s="42">
        <f t="shared" si="122"/>
        <v>59.96354</v>
      </c>
      <c r="F191" s="49">
        <v>1.23759</v>
      </c>
      <c r="G191" s="49">
        <v>1.26891</v>
      </c>
      <c r="H191" s="49">
        <v>1.13096</v>
      </c>
      <c r="I191" s="49">
        <v>1.14192</v>
      </c>
      <c r="J191" s="49">
        <v>1.1112</v>
      </c>
      <c r="K191" s="49">
        <v>1.10888</v>
      </c>
      <c r="L191" s="49">
        <v>1.04384</v>
      </c>
      <c r="M191" s="49">
        <v>1.7741</v>
      </c>
      <c r="N191" s="49">
        <v>3.8889</v>
      </c>
      <c r="O191" s="49">
        <v>4.145</v>
      </c>
      <c r="P191" s="49">
        <v>2.8292</v>
      </c>
      <c r="Q191" s="49">
        <v>2.71152</v>
      </c>
      <c r="R191" s="49">
        <v>2.28928</v>
      </c>
      <c r="S191" s="49">
        <v>2.66592</v>
      </c>
      <c r="T191" s="49">
        <v>3.1412</v>
      </c>
      <c r="U191" s="49">
        <v>3.823</v>
      </c>
      <c r="V191" s="49">
        <v>4.38867</v>
      </c>
      <c r="W191" s="49">
        <v>4.01071</v>
      </c>
      <c r="X191" s="49">
        <v>3.5783</v>
      </c>
      <c r="Y191" s="49">
        <v>3.87145</v>
      </c>
      <c r="Z191" s="49">
        <v>2.94624</v>
      </c>
      <c r="AA191" s="49">
        <v>2.43099</v>
      </c>
      <c r="AB191" s="49">
        <v>1.77156</v>
      </c>
      <c r="AC191" s="49">
        <v>1.6542</v>
      </c>
    </row>
    <row r="192" spans="1:29">
      <c r="A192" s="32"/>
      <c r="B192" s="33"/>
      <c r="C192" s="32"/>
      <c r="D192" s="6" t="s">
        <v>49</v>
      </c>
      <c r="E192" s="42">
        <f t="shared" si="122"/>
        <v>64.389</v>
      </c>
      <c r="F192" s="49">
        <v>1.3751</v>
      </c>
      <c r="G192" s="49">
        <v>1.4099</v>
      </c>
      <c r="H192" s="49">
        <v>1.4137</v>
      </c>
      <c r="I192" s="49">
        <v>1.4274</v>
      </c>
      <c r="J192" s="49">
        <v>1.389</v>
      </c>
      <c r="K192" s="49">
        <v>1.3861</v>
      </c>
      <c r="L192" s="49">
        <v>1.3048</v>
      </c>
      <c r="M192" s="49">
        <v>1.7741</v>
      </c>
      <c r="N192" s="49">
        <v>3.8889</v>
      </c>
      <c r="O192" s="49">
        <v>4.145</v>
      </c>
      <c r="P192" s="49">
        <v>3.5365</v>
      </c>
      <c r="Q192" s="49">
        <v>3.3894</v>
      </c>
      <c r="R192" s="49">
        <v>2.8616</v>
      </c>
      <c r="S192" s="49">
        <v>3.3324</v>
      </c>
      <c r="T192" s="49">
        <v>3.9265</v>
      </c>
      <c r="U192" s="49">
        <v>3.823</v>
      </c>
      <c r="V192" s="49">
        <v>3.9897</v>
      </c>
      <c r="W192" s="49">
        <v>3.6461</v>
      </c>
      <c r="X192" s="49">
        <v>3.253</v>
      </c>
      <c r="Y192" s="49">
        <v>3.5195</v>
      </c>
      <c r="Z192" s="49">
        <v>3.2736</v>
      </c>
      <c r="AA192" s="49">
        <v>2.7011</v>
      </c>
      <c r="AB192" s="49">
        <v>1.9684</v>
      </c>
      <c r="AC192" s="49">
        <v>1.6542</v>
      </c>
    </row>
    <row r="193" spans="1:29">
      <c r="A193" s="32"/>
      <c r="B193" s="33"/>
      <c r="C193" s="34"/>
      <c r="D193" s="31" t="s">
        <v>50</v>
      </c>
      <c r="E193" s="26">
        <f>E191-E192</f>
        <v>-4.42545999999998</v>
      </c>
      <c r="F193" s="49">
        <f t="shared" ref="F193:AC193" si="126">(F191-F192)*1</f>
        <v>-0.13751</v>
      </c>
      <c r="G193" s="49">
        <f t="shared" si="126"/>
        <v>-0.14099</v>
      </c>
      <c r="H193" s="49">
        <f t="shared" si="126"/>
        <v>-0.28274</v>
      </c>
      <c r="I193" s="49">
        <f t="shared" si="126"/>
        <v>-0.28548</v>
      </c>
      <c r="J193" s="49">
        <f t="shared" si="126"/>
        <v>-0.2778</v>
      </c>
      <c r="K193" s="49">
        <f t="shared" si="126"/>
        <v>-0.27722</v>
      </c>
      <c r="L193" s="49">
        <f t="shared" si="126"/>
        <v>-0.26096</v>
      </c>
      <c r="M193" s="49">
        <f t="shared" si="126"/>
        <v>0</v>
      </c>
      <c r="N193" s="49">
        <f t="shared" si="126"/>
        <v>0</v>
      </c>
      <c r="O193" s="49">
        <f t="shared" si="126"/>
        <v>0</v>
      </c>
      <c r="P193" s="49">
        <f t="shared" si="126"/>
        <v>-0.7073</v>
      </c>
      <c r="Q193" s="49">
        <f t="shared" si="126"/>
        <v>-0.67788</v>
      </c>
      <c r="R193" s="49">
        <f t="shared" si="126"/>
        <v>-0.57232</v>
      </c>
      <c r="S193" s="49">
        <f t="shared" si="126"/>
        <v>-0.66648</v>
      </c>
      <c r="T193" s="49">
        <f t="shared" si="126"/>
        <v>-0.7853</v>
      </c>
      <c r="U193" s="49">
        <f t="shared" si="126"/>
        <v>0</v>
      </c>
      <c r="V193" s="49">
        <f t="shared" si="126"/>
        <v>0.39897</v>
      </c>
      <c r="W193" s="49">
        <f t="shared" si="126"/>
        <v>0.36461</v>
      </c>
      <c r="X193" s="49">
        <f t="shared" si="126"/>
        <v>0.3253</v>
      </c>
      <c r="Y193" s="49">
        <f t="shared" si="126"/>
        <v>0.35195</v>
      </c>
      <c r="Z193" s="49">
        <f t="shared" si="126"/>
        <v>-0.32736</v>
      </c>
      <c r="AA193" s="49">
        <f t="shared" si="126"/>
        <v>-0.27011</v>
      </c>
      <c r="AB193" s="49">
        <f t="shared" si="126"/>
        <v>-0.19684</v>
      </c>
      <c r="AC193" s="49">
        <f t="shared" si="126"/>
        <v>0</v>
      </c>
    </row>
    <row r="194" spans="1:29">
      <c r="A194" s="32"/>
      <c r="B194" s="33"/>
      <c r="C194" s="35" t="s">
        <v>51</v>
      </c>
      <c r="D194" s="31" t="s">
        <v>48</v>
      </c>
      <c r="E194" s="31">
        <f>AVERAGE(F194:AC194)</f>
        <v>263.524166666667</v>
      </c>
      <c r="F194" s="49">
        <v>288.72</v>
      </c>
      <c r="G194" s="49">
        <v>280.29</v>
      </c>
      <c r="H194" s="49">
        <v>271.67</v>
      </c>
      <c r="I194" s="49">
        <v>255.46</v>
      </c>
      <c r="J194" s="49">
        <v>244.96</v>
      </c>
      <c r="K194" s="49">
        <v>249.75</v>
      </c>
      <c r="L194" s="49">
        <v>271.25</v>
      </c>
      <c r="M194" s="49">
        <v>291.92</v>
      </c>
      <c r="N194" s="49">
        <v>309.37</v>
      </c>
      <c r="O194" s="49">
        <v>296.55</v>
      </c>
      <c r="P194" s="49">
        <v>216.79</v>
      </c>
      <c r="Q194" s="49">
        <v>192.68</v>
      </c>
      <c r="R194" s="49">
        <v>29.51</v>
      </c>
      <c r="S194" s="49">
        <v>42.69</v>
      </c>
      <c r="T194" s="49">
        <v>53.71</v>
      </c>
      <c r="U194" s="49">
        <v>162.39</v>
      </c>
      <c r="V194" s="49">
        <v>295.92</v>
      </c>
      <c r="W194" s="49">
        <v>364.66</v>
      </c>
      <c r="X194" s="49">
        <v>387.17</v>
      </c>
      <c r="Y194" s="49">
        <v>385.77</v>
      </c>
      <c r="Z194" s="49">
        <v>387.28</v>
      </c>
      <c r="AA194" s="49">
        <v>393.01</v>
      </c>
      <c r="AB194" s="49">
        <v>353.55</v>
      </c>
      <c r="AC194" s="49">
        <v>299.51</v>
      </c>
    </row>
    <row r="195" spans="1:29">
      <c r="A195" s="32"/>
      <c r="B195" s="33"/>
      <c r="C195" s="32"/>
      <c r="D195" s="31" t="s">
        <v>49</v>
      </c>
      <c r="E195" s="31">
        <f>AVERAGE(F195:AC195)</f>
        <v>223.053333333333</v>
      </c>
      <c r="F195" s="49">
        <v>251.83</v>
      </c>
      <c r="G195" s="49">
        <v>239.94</v>
      </c>
      <c r="H195" s="49">
        <v>235.23</v>
      </c>
      <c r="I195" s="49">
        <v>206.95</v>
      </c>
      <c r="J195" s="49">
        <v>201.64</v>
      </c>
      <c r="K195" s="49">
        <v>184.45</v>
      </c>
      <c r="L195" s="49">
        <v>218.65</v>
      </c>
      <c r="M195" s="49">
        <v>240.14</v>
      </c>
      <c r="N195" s="49">
        <v>307.94</v>
      </c>
      <c r="O195" s="49">
        <v>311.75</v>
      </c>
      <c r="P195" s="49">
        <v>198.52</v>
      </c>
      <c r="Q195" s="49">
        <v>125.74</v>
      </c>
      <c r="R195" s="49">
        <v>92.15</v>
      </c>
      <c r="S195" s="49">
        <v>101.26</v>
      </c>
      <c r="T195" s="49">
        <v>49.13</v>
      </c>
      <c r="U195" s="49">
        <v>102.59</v>
      </c>
      <c r="V195" s="49">
        <v>218.49</v>
      </c>
      <c r="W195" s="49">
        <v>286.72</v>
      </c>
      <c r="X195" s="49">
        <v>338.93</v>
      </c>
      <c r="Y195" s="49">
        <v>324.62</v>
      </c>
      <c r="Z195" s="49">
        <v>312.78</v>
      </c>
      <c r="AA195" s="49">
        <v>300.26</v>
      </c>
      <c r="AB195" s="49">
        <v>262.95</v>
      </c>
      <c r="AC195" s="49">
        <v>240.62</v>
      </c>
    </row>
    <row r="196" spans="1:29">
      <c r="A196" s="32"/>
      <c r="B196" s="33"/>
      <c r="C196" s="34"/>
      <c r="D196" s="31" t="s">
        <v>50</v>
      </c>
      <c r="E196" s="26">
        <f>E194-E195</f>
        <v>40.4708333333333</v>
      </c>
      <c r="F196" s="49">
        <f t="shared" ref="F196:AC196" si="127">(F194-F195)*1</f>
        <v>36.89</v>
      </c>
      <c r="G196" s="49">
        <f t="shared" si="127"/>
        <v>40.35</v>
      </c>
      <c r="H196" s="49">
        <f t="shared" si="127"/>
        <v>36.44</v>
      </c>
      <c r="I196" s="49">
        <f t="shared" si="127"/>
        <v>48.51</v>
      </c>
      <c r="J196" s="49">
        <f t="shared" si="127"/>
        <v>43.32</v>
      </c>
      <c r="K196" s="49">
        <f t="shared" si="127"/>
        <v>65.3</v>
      </c>
      <c r="L196" s="49">
        <f t="shared" si="127"/>
        <v>52.6</v>
      </c>
      <c r="M196" s="49">
        <f t="shared" si="127"/>
        <v>51.78</v>
      </c>
      <c r="N196" s="49">
        <f t="shared" si="127"/>
        <v>1.43000000000001</v>
      </c>
      <c r="O196" s="49">
        <f t="shared" si="127"/>
        <v>-15.2</v>
      </c>
      <c r="P196" s="49">
        <f t="shared" si="127"/>
        <v>18.27</v>
      </c>
      <c r="Q196" s="49">
        <f t="shared" si="127"/>
        <v>66.94</v>
      </c>
      <c r="R196" s="49">
        <f t="shared" si="127"/>
        <v>-62.64</v>
      </c>
      <c r="S196" s="49">
        <f t="shared" si="127"/>
        <v>-58.57</v>
      </c>
      <c r="T196" s="49">
        <f t="shared" si="127"/>
        <v>4.58</v>
      </c>
      <c r="U196" s="49">
        <f t="shared" si="127"/>
        <v>59.8</v>
      </c>
      <c r="V196" s="49">
        <f t="shared" si="127"/>
        <v>77.43</v>
      </c>
      <c r="W196" s="49">
        <f t="shared" si="127"/>
        <v>77.94</v>
      </c>
      <c r="X196" s="49">
        <f t="shared" si="127"/>
        <v>48.24</v>
      </c>
      <c r="Y196" s="49">
        <f t="shared" si="127"/>
        <v>61.15</v>
      </c>
      <c r="Z196" s="49">
        <f t="shared" si="127"/>
        <v>74.5</v>
      </c>
      <c r="AA196" s="49">
        <f t="shared" si="127"/>
        <v>92.75</v>
      </c>
      <c r="AB196" s="49">
        <f t="shared" si="127"/>
        <v>90.6</v>
      </c>
      <c r="AC196" s="49">
        <f t="shared" si="127"/>
        <v>58.89</v>
      </c>
    </row>
    <row r="197" spans="1:29">
      <c r="A197" s="32"/>
      <c r="B197" s="33"/>
      <c r="C197" s="36" t="s">
        <v>52</v>
      </c>
      <c r="D197" s="37"/>
      <c r="E197" s="26">
        <f t="shared" ref="E197:E201" si="128">SUM(F197:AC197)</f>
        <v>36.5376641</v>
      </c>
      <c r="F197" s="49">
        <f t="shared" ref="F197:AC197" si="129">(-F193*F196)*1</f>
        <v>5.0727439</v>
      </c>
      <c r="G197" s="49">
        <f t="shared" si="129"/>
        <v>5.6889465</v>
      </c>
      <c r="H197" s="49">
        <f t="shared" si="129"/>
        <v>10.3030456</v>
      </c>
      <c r="I197" s="49">
        <f t="shared" si="129"/>
        <v>13.8486348</v>
      </c>
      <c r="J197" s="49">
        <f t="shared" si="129"/>
        <v>12.034296</v>
      </c>
      <c r="K197" s="49">
        <f t="shared" si="129"/>
        <v>18.102466</v>
      </c>
      <c r="L197" s="49">
        <f t="shared" si="129"/>
        <v>13.726496</v>
      </c>
      <c r="M197" s="49">
        <f t="shared" si="129"/>
        <v>0</v>
      </c>
      <c r="N197" s="49">
        <f t="shared" si="129"/>
        <v>0</v>
      </c>
      <c r="O197" s="49">
        <f t="shared" si="129"/>
        <v>0</v>
      </c>
      <c r="P197" s="49">
        <f t="shared" si="129"/>
        <v>12.922371</v>
      </c>
      <c r="Q197" s="49">
        <f t="shared" si="129"/>
        <v>45.3772872</v>
      </c>
      <c r="R197" s="49">
        <f t="shared" si="129"/>
        <v>-35.8501248</v>
      </c>
      <c r="S197" s="49">
        <f t="shared" si="129"/>
        <v>-39.0357336</v>
      </c>
      <c r="T197" s="49">
        <f t="shared" si="129"/>
        <v>3.596674</v>
      </c>
      <c r="U197" s="49">
        <f t="shared" si="129"/>
        <v>0</v>
      </c>
      <c r="V197" s="49">
        <f t="shared" si="129"/>
        <v>-30.8922471</v>
      </c>
      <c r="W197" s="49">
        <f t="shared" si="129"/>
        <v>-28.4177034</v>
      </c>
      <c r="X197" s="49">
        <f t="shared" si="129"/>
        <v>-15.692472</v>
      </c>
      <c r="Y197" s="49">
        <f t="shared" si="129"/>
        <v>-21.5217425</v>
      </c>
      <c r="Z197" s="49">
        <f t="shared" si="129"/>
        <v>24.38832</v>
      </c>
      <c r="AA197" s="49">
        <f t="shared" si="129"/>
        <v>25.0527025</v>
      </c>
      <c r="AB197" s="49">
        <f t="shared" si="129"/>
        <v>17.833704</v>
      </c>
      <c r="AC197" s="49">
        <f t="shared" si="129"/>
        <v>0</v>
      </c>
    </row>
    <row r="198" spans="1:29">
      <c r="A198" s="32"/>
      <c r="B198" s="33"/>
      <c r="C198" s="38" t="s">
        <v>53</v>
      </c>
      <c r="D198" s="37"/>
      <c r="E198" s="26">
        <f t="shared" si="128"/>
        <v>36.5376641</v>
      </c>
      <c r="F198" s="49">
        <f t="shared" ref="F198:AC198" si="130">(IF(F197&gt;0,ABS(MIN(F192*0.2,ABS(F193))*F196),F197))*1</f>
        <v>5.0727439</v>
      </c>
      <c r="G198" s="49">
        <f t="shared" si="130"/>
        <v>5.6889465</v>
      </c>
      <c r="H198" s="49">
        <f t="shared" si="130"/>
        <v>10.3030456</v>
      </c>
      <c r="I198" s="49">
        <f t="shared" si="130"/>
        <v>13.8486348</v>
      </c>
      <c r="J198" s="49">
        <f t="shared" si="130"/>
        <v>12.034296</v>
      </c>
      <c r="K198" s="49">
        <f t="shared" si="130"/>
        <v>18.102466</v>
      </c>
      <c r="L198" s="49">
        <f t="shared" si="130"/>
        <v>13.726496</v>
      </c>
      <c r="M198" s="49">
        <f t="shared" si="130"/>
        <v>0</v>
      </c>
      <c r="N198" s="49">
        <f t="shared" si="130"/>
        <v>0</v>
      </c>
      <c r="O198" s="49">
        <f t="shared" si="130"/>
        <v>0</v>
      </c>
      <c r="P198" s="49">
        <f t="shared" si="130"/>
        <v>12.922371</v>
      </c>
      <c r="Q198" s="49">
        <f t="shared" si="130"/>
        <v>45.3772872</v>
      </c>
      <c r="R198" s="49">
        <f t="shared" si="130"/>
        <v>-35.8501248</v>
      </c>
      <c r="S198" s="49">
        <f t="shared" si="130"/>
        <v>-39.0357336</v>
      </c>
      <c r="T198" s="49">
        <f t="shared" si="130"/>
        <v>3.596674</v>
      </c>
      <c r="U198" s="49">
        <f t="shared" si="130"/>
        <v>0</v>
      </c>
      <c r="V198" s="49">
        <f t="shared" si="130"/>
        <v>-30.8922471</v>
      </c>
      <c r="W198" s="49">
        <f t="shared" si="130"/>
        <v>-28.4177034</v>
      </c>
      <c r="X198" s="49">
        <f t="shared" si="130"/>
        <v>-15.692472</v>
      </c>
      <c r="Y198" s="49">
        <f t="shared" si="130"/>
        <v>-21.5217425</v>
      </c>
      <c r="Z198" s="49">
        <f t="shared" si="130"/>
        <v>24.38832</v>
      </c>
      <c r="AA198" s="49">
        <f t="shared" si="130"/>
        <v>25.0527025</v>
      </c>
      <c r="AB198" s="49">
        <f t="shared" si="130"/>
        <v>17.833704</v>
      </c>
      <c r="AC198" s="49">
        <f t="shared" si="130"/>
        <v>0</v>
      </c>
    </row>
    <row r="199" spans="1:29">
      <c r="A199" s="32"/>
      <c r="B199" s="33"/>
      <c r="C199" s="39" t="s">
        <v>50</v>
      </c>
      <c r="D199" s="37"/>
      <c r="E199" s="44">
        <f>E197-E198</f>
        <v>0</v>
      </c>
      <c r="F199" s="50">
        <f t="shared" ref="F199:AC199" si="131">(F197-F198)*1</f>
        <v>0</v>
      </c>
      <c r="G199" s="50">
        <f t="shared" si="131"/>
        <v>0</v>
      </c>
      <c r="H199" s="50">
        <f t="shared" si="131"/>
        <v>0</v>
      </c>
      <c r="I199" s="50">
        <f t="shared" si="131"/>
        <v>0</v>
      </c>
      <c r="J199" s="50">
        <f t="shared" si="131"/>
        <v>0</v>
      </c>
      <c r="K199" s="50">
        <f t="shared" si="131"/>
        <v>0</v>
      </c>
      <c r="L199" s="50">
        <f t="shared" si="131"/>
        <v>-8.88178419700125e-15</v>
      </c>
      <c r="M199" s="50">
        <f t="shared" si="131"/>
        <v>0</v>
      </c>
      <c r="N199" s="50">
        <f t="shared" si="131"/>
        <v>0</v>
      </c>
      <c r="O199" s="50">
        <f t="shared" si="131"/>
        <v>0</v>
      </c>
      <c r="P199" s="50">
        <f t="shared" si="131"/>
        <v>0</v>
      </c>
      <c r="Q199" s="50">
        <f t="shared" si="131"/>
        <v>0</v>
      </c>
      <c r="R199" s="50">
        <f t="shared" si="131"/>
        <v>0</v>
      </c>
      <c r="S199" s="50">
        <f t="shared" si="131"/>
        <v>0</v>
      </c>
      <c r="T199" s="50">
        <f t="shared" si="131"/>
        <v>0</v>
      </c>
      <c r="U199" s="50">
        <f t="shared" si="131"/>
        <v>0</v>
      </c>
      <c r="V199" s="50">
        <f t="shared" si="131"/>
        <v>0</v>
      </c>
      <c r="W199" s="50">
        <f t="shared" si="131"/>
        <v>0</v>
      </c>
      <c r="X199" s="50">
        <f t="shared" si="131"/>
        <v>0</v>
      </c>
      <c r="Y199" s="50">
        <f t="shared" si="131"/>
        <v>0</v>
      </c>
      <c r="Z199" s="50">
        <f t="shared" si="131"/>
        <v>0</v>
      </c>
      <c r="AA199" s="50">
        <f t="shared" si="131"/>
        <v>0</v>
      </c>
      <c r="AB199" s="50">
        <f t="shared" si="131"/>
        <v>0</v>
      </c>
      <c r="AC199" s="50">
        <f t="shared" si="131"/>
        <v>0</v>
      </c>
    </row>
    <row r="200" spans="1:29">
      <c r="A200" s="29">
        <v>46014</v>
      </c>
      <c r="B200" s="30">
        <f>E207</f>
        <v>285.0622679</v>
      </c>
      <c r="C200" s="31" t="s">
        <v>47</v>
      </c>
      <c r="D200" s="31" t="s">
        <v>48</v>
      </c>
      <c r="E200" s="42">
        <f t="shared" si="128"/>
        <v>67.1524</v>
      </c>
      <c r="F200" s="47">
        <v>1.85933</v>
      </c>
      <c r="G200" s="47">
        <v>1.52469</v>
      </c>
      <c r="H200" s="47">
        <v>1.34224</v>
      </c>
      <c r="I200" s="47">
        <v>1.60303</v>
      </c>
      <c r="J200" s="47">
        <v>1.55736</v>
      </c>
      <c r="K200" s="47">
        <v>1.38544</v>
      </c>
      <c r="L200" s="47">
        <v>1.78607</v>
      </c>
      <c r="M200" s="47">
        <v>2.16348</v>
      </c>
      <c r="N200" s="47">
        <v>4.88748</v>
      </c>
      <c r="O200" s="47">
        <v>4.67401</v>
      </c>
      <c r="P200" s="47">
        <v>3.28986</v>
      </c>
      <c r="Q200" s="47">
        <v>3.6628</v>
      </c>
      <c r="R200" s="47">
        <v>2.58138</v>
      </c>
      <c r="S200" s="47">
        <v>2.85</v>
      </c>
      <c r="T200" s="47">
        <v>3.19504</v>
      </c>
      <c r="U200" s="47">
        <v>3.40596</v>
      </c>
      <c r="V200" s="47">
        <v>4.45973</v>
      </c>
      <c r="W200" s="47">
        <v>4.6746</v>
      </c>
      <c r="X200" s="47">
        <v>3.89609</v>
      </c>
      <c r="Y200" s="47">
        <v>4.04624</v>
      </c>
      <c r="Z200" s="47">
        <v>2.61888</v>
      </c>
      <c r="AA200" s="47">
        <v>2.41677</v>
      </c>
      <c r="AB200" s="47">
        <v>1.58552</v>
      </c>
      <c r="AC200" s="47">
        <v>1.6864</v>
      </c>
    </row>
    <row r="201" spans="1:29">
      <c r="A201" s="32"/>
      <c r="B201" s="33"/>
      <c r="C201" s="32"/>
      <c r="D201" s="6" t="s">
        <v>49</v>
      </c>
      <c r="E201" s="42">
        <f t="shared" si="128"/>
        <v>68.4487</v>
      </c>
      <c r="F201" s="46">
        <v>1.6903</v>
      </c>
      <c r="G201" s="46">
        <v>1.6941</v>
      </c>
      <c r="H201" s="46">
        <v>1.6778</v>
      </c>
      <c r="I201" s="46">
        <v>1.6874</v>
      </c>
      <c r="J201" s="46">
        <v>1.7304</v>
      </c>
      <c r="K201" s="46">
        <v>1.7318</v>
      </c>
      <c r="L201" s="46">
        <v>1.6237</v>
      </c>
      <c r="M201" s="46">
        <v>1.9668</v>
      </c>
      <c r="N201" s="46">
        <v>4.0729</v>
      </c>
      <c r="O201" s="46">
        <v>4.2491</v>
      </c>
      <c r="P201" s="46">
        <v>3.6554</v>
      </c>
      <c r="Q201" s="46">
        <v>3.6628</v>
      </c>
      <c r="R201" s="46">
        <v>2.8682</v>
      </c>
      <c r="S201" s="46">
        <v>3.5625</v>
      </c>
      <c r="T201" s="46">
        <v>3.9938</v>
      </c>
      <c r="U201" s="46">
        <v>3.7844</v>
      </c>
      <c r="V201" s="46">
        <v>4.0543</v>
      </c>
      <c r="W201" s="46">
        <v>3.8955</v>
      </c>
      <c r="X201" s="46">
        <v>3.5419</v>
      </c>
      <c r="Y201" s="46">
        <v>3.6784</v>
      </c>
      <c r="Z201" s="46">
        <v>3.2736</v>
      </c>
      <c r="AA201" s="46">
        <v>2.6853</v>
      </c>
      <c r="AB201" s="46">
        <v>1.9819</v>
      </c>
      <c r="AC201" s="46">
        <v>1.6864</v>
      </c>
    </row>
    <row r="202" spans="1:29">
      <c r="A202" s="32"/>
      <c r="B202" s="33"/>
      <c r="C202" s="34"/>
      <c r="D202" s="31" t="s">
        <v>50</v>
      </c>
      <c r="E202" s="26">
        <f t="shared" ref="E202:AC202" si="132">E200-E201</f>
        <v>-1.29629999999999</v>
      </c>
      <c r="F202" s="26">
        <f t="shared" si="132"/>
        <v>0.16903</v>
      </c>
      <c r="G202" s="26">
        <f t="shared" si="132"/>
        <v>-0.16941</v>
      </c>
      <c r="H202" s="26">
        <f t="shared" si="132"/>
        <v>-0.33556</v>
      </c>
      <c r="I202" s="26">
        <f t="shared" si="132"/>
        <v>-0.0843700000000001</v>
      </c>
      <c r="J202" s="26">
        <f t="shared" si="132"/>
        <v>-0.17304</v>
      </c>
      <c r="K202" s="26">
        <f t="shared" si="132"/>
        <v>-0.34636</v>
      </c>
      <c r="L202" s="26">
        <f t="shared" si="132"/>
        <v>0.16237</v>
      </c>
      <c r="M202" s="26">
        <f t="shared" si="132"/>
        <v>0.19668</v>
      </c>
      <c r="N202" s="26">
        <f t="shared" si="132"/>
        <v>0.814579999999999</v>
      </c>
      <c r="O202" s="26">
        <f t="shared" si="132"/>
        <v>0.424910000000001</v>
      </c>
      <c r="P202" s="26">
        <f t="shared" si="132"/>
        <v>-0.36554</v>
      </c>
      <c r="Q202" s="26">
        <f t="shared" si="132"/>
        <v>0</v>
      </c>
      <c r="R202" s="26">
        <f t="shared" si="132"/>
        <v>-0.28682</v>
      </c>
      <c r="S202" s="26">
        <f t="shared" si="132"/>
        <v>-0.7125</v>
      </c>
      <c r="T202" s="26">
        <f t="shared" si="132"/>
        <v>-0.79876</v>
      </c>
      <c r="U202" s="26">
        <f t="shared" si="132"/>
        <v>-0.37844</v>
      </c>
      <c r="V202" s="26">
        <f t="shared" si="132"/>
        <v>0.405430000000001</v>
      </c>
      <c r="W202" s="26">
        <f t="shared" si="132"/>
        <v>0.7791</v>
      </c>
      <c r="X202" s="26">
        <f t="shared" si="132"/>
        <v>0.35419</v>
      </c>
      <c r="Y202" s="26">
        <f t="shared" si="132"/>
        <v>0.36784</v>
      </c>
      <c r="Z202" s="26">
        <f t="shared" si="132"/>
        <v>-0.65472</v>
      </c>
      <c r="AA202" s="26">
        <f t="shared" si="132"/>
        <v>-0.26853</v>
      </c>
      <c r="AB202" s="26">
        <f t="shared" si="132"/>
        <v>-0.39638</v>
      </c>
      <c r="AC202" s="26">
        <f t="shared" si="132"/>
        <v>0</v>
      </c>
    </row>
    <row r="203" spans="1:29">
      <c r="A203" s="32"/>
      <c r="B203" s="33"/>
      <c r="C203" s="35" t="s">
        <v>51</v>
      </c>
      <c r="D203" s="31" t="s">
        <v>48</v>
      </c>
      <c r="E203" s="31">
        <f>AVERAGE(F203:AC203)</f>
        <v>334.445</v>
      </c>
      <c r="F203" s="43">
        <v>312.75</v>
      </c>
      <c r="G203" s="43">
        <v>300.72</v>
      </c>
      <c r="H203" s="43">
        <v>297.26</v>
      </c>
      <c r="I203" s="43">
        <v>287.32</v>
      </c>
      <c r="J203" s="43">
        <v>274.34</v>
      </c>
      <c r="K203" s="43">
        <v>272.73</v>
      </c>
      <c r="L203" s="43">
        <v>289.26</v>
      </c>
      <c r="M203" s="43">
        <v>310.62</v>
      </c>
      <c r="N203" s="43">
        <v>354.42</v>
      </c>
      <c r="O203" s="43">
        <v>355.98</v>
      </c>
      <c r="P203" s="43">
        <v>292.51</v>
      </c>
      <c r="Q203" s="43">
        <v>260.93</v>
      </c>
      <c r="R203" s="43">
        <v>216.5</v>
      </c>
      <c r="S203" s="43">
        <v>246.27</v>
      </c>
      <c r="T203" s="43">
        <v>249.68</v>
      </c>
      <c r="U203" s="43">
        <v>291.9</v>
      </c>
      <c r="V203" s="43">
        <v>359.44</v>
      </c>
      <c r="W203" s="43">
        <v>423.06</v>
      </c>
      <c r="X203" s="43">
        <v>467.43</v>
      </c>
      <c r="Y203" s="43">
        <v>513</v>
      </c>
      <c r="Z203" s="43">
        <v>447.94</v>
      </c>
      <c r="AA203" s="43">
        <v>451.63</v>
      </c>
      <c r="AB203" s="43">
        <v>409.26</v>
      </c>
      <c r="AC203" s="43">
        <v>341.73</v>
      </c>
    </row>
    <row r="204" spans="1:29">
      <c r="A204" s="32"/>
      <c r="B204" s="33"/>
      <c r="C204" s="32"/>
      <c r="D204" s="31" t="s">
        <v>49</v>
      </c>
      <c r="E204" s="31">
        <f>AVERAGE(F204:AC204)</f>
        <v>340.001666666667</v>
      </c>
      <c r="F204" s="43">
        <v>260.05</v>
      </c>
      <c r="G204" s="43">
        <v>265.79</v>
      </c>
      <c r="H204" s="43">
        <v>289.47</v>
      </c>
      <c r="I204" s="43">
        <v>267.7</v>
      </c>
      <c r="J204" s="43">
        <v>246.53</v>
      </c>
      <c r="K204" s="43">
        <v>249.19</v>
      </c>
      <c r="L204" s="43">
        <v>283.81</v>
      </c>
      <c r="M204" s="43">
        <v>335.5</v>
      </c>
      <c r="N204" s="43">
        <v>355.65</v>
      </c>
      <c r="O204" s="43">
        <v>269.92</v>
      </c>
      <c r="P204" s="43">
        <v>301.53</v>
      </c>
      <c r="Q204" s="43">
        <v>299.93</v>
      </c>
      <c r="R204" s="43">
        <v>170.07</v>
      </c>
      <c r="S204" s="43">
        <v>229.67</v>
      </c>
      <c r="T204" s="43">
        <v>237.24</v>
      </c>
      <c r="U204" s="43">
        <v>300.53</v>
      </c>
      <c r="V204" s="43">
        <v>367.33</v>
      </c>
      <c r="W204" s="43">
        <v>473.77</v>
      </c>
      <c r="X204" s="43">
        <v>907.34</v>
      </c>
      <c r="Y204" s="43">
        <v>576.94</v>
      </c>
      <c r="Z204" s="43">
        <v>443.03</v>
      </c>
      <c r="AA204" s="43">
        <v>381.84</v>
      </c>
      <c r="AB204" s="43">
        <v>333.92</v>
      </c>
      <c r="AC204" s="43">
        <v>313.29</v>
      </c>
    </row>
    <row r="205" spans="1:29">
      <c r="A205" s="32"/>
      <c r="B205" s="33"/>
      <c r="C205" s="34"/>
      <c r="D205" s="31" t="s">
        <v>50</v>
      </c>
      <c r="E205" s="26">
        <f t="shared" ref="E205:AC205" si="133">E203-E204</f>
        <v>-5.55666666666673</v>
      </c>
      <c r="F205" s="26">
        <f t="shared" si="133"/>
        <v>52.7</v>
      </c>
      <c r="G205" s="26">
        <f t="shared" si="133"/>
        <v>34.93</v>
      </c>
      <c r="H205" s="26">
        <f t="shared" si="133"/>
        <v>7.78999999999996</v>
      </c>
      <c r="I205" s="26">
        <f t="shared" si="133"/>
        <v>19.62</v>
      </c>
      <c r="J205" s="26">
        <f t="shared" si="133"/>
        <v>27.81</v>
      </c>
      <c r="K205" s="26">
        <f t="shared" si="133"/>
        <v>23.54</v>
      </c>
      <c r="L205" s="26">
        <f t="shared" si="133"/>
        <v>5.44999999999999</v>
      </c>
      <c r="M205" s="26">
        <f t="shared" si="133"/>
        <v>-24.88</v>
      </c>
      <c r="N205" s="26">
        <f t="shared" si="133"/>
        <v>-1.22999999999996</v>
      </c>
      <c r="O205" s="26">
        <f t="shared" si="133"/>
        <v>86.06</v>
      </c>
      <c r="P205" s="26">
        <f t="shared" si="133"/>
        <v>-9.01999999999998</v>
      </c>
      <c r="Q205" s="26">
        <f t="shared" si="133"/>
        <v>-39</v>
      </c>
      <c r="R205" s="26">
        <f t="shared" si="133"/>
        <v>46.43</v>
      </c>
      <c r="S205" s="26">
        <f t="shared" si="133"/>
        <v>16.6</v>
      </c>
      <c r="T205" s="26">
        <f t="shared" si="133"/>
        <v>12.44</v>
      </c>
      <c r="U205" s="26">
        <f t="shared" si="133"/>
        <v>-8.63</v>
      </c>
      <c r="V205" s="26">
        <f t="shared" si="133"/>
        <v>-7.88999999999999</v>
      </c>
      <c r="W205" s="26">
        <f t="shared" si="133"/>
        <v>-50.71</v>
      </c>
      <c r="X205" s="26">
        <f t="shared" si="133"/>
        <v>-439.91</v>
      </c>
      <c r="Y205" s="26">
        <f t="shared" si="133"/>
        <v>-63.9400000000001</v>
      </c>
      <c r="Z205" s="26">
        <f t="shared" si="133"/>
        <v>4.91000000000003</v>
      </c>
      <c r="AA205" s="26">
        <f t="shared" si="133"/>
        <v>69.79</v>
      </c>
      <c r="AB205" s="26">
        <f t="shared" si="133"/>
        <v>75.34</v>
      </c>
      <c r="AC205" s="26">
        <f t="shared" si="133"/>
        <v>28.44</v>
      </c>
    </row>
    <row r="206" spans="1:29">
      <c r="A206" s="32"/>
      <c r="B206" s="33"/>
      <c r="C206" s="36" t="s">
        <v>52</v>
      </c>
      <c r="D206" s="37"/>
      <c r="E206" s="26">
        <f t="shared" ref="E206:E210" si="134">SUM(F206:AC206)</f>
        <v>285.0622679</v>
      </c>
      <c r="F206" s="48">
        <f t="shared" ref="F206:AC206" si="135">-F202*F205</f>
        <v>-8.907881</v>
      </c>
      <c r="G206" s="48">
        <f t="shared" si="135"/>
        <v>5.9174913</v>
      </c>
      <c r="H206" s="48">
        <f t="shared" si="135"/>
        <v>2.61401239999999</v>
      </c>
      <c r="I206" s="48">
        <f t="shared" si="135"/>
        <v>1.6553394</v>
      </c>
      <c r="J206" s="48">
        <f t="shared" si="135"/>
        <v>4.81224239999999</v>
      </c>
      <c r="K206" s="48">
        <f t="shared" si="135"/>
        <v>8.15331440000001</v>
      </c>
      <c r="L206" s="48">
        <f t="shared" si="135"/>
        <v>-0.884916499999999</v>
      </c>
      <c r="M206" s="48">
        <f t="shared" si="135"/>
        <v>4.89339839999999</v>
      </c>
      <c r="N206" s="48">
        <f t="shared" si="135"/>
        <v>1.00193339999997</v>
      </c>
      <c r="O206" s="48">
        <f t="shared" si="135"/>
        <v>-36.5677546000001</v>
      </c>
      <c r="P206" s="48">
        <f t="shared" si="135"/>
        <v>-3.29717079999999</v>
      </c>
      <c r="Q206" s="48">
        <f t="shared" si="135"/>
        <v>0</v>
      </c>
      <c r="R206" s="48">
        <f t="shared" si="135"/>
        <v>13.3170526</v>
      </c>
      <c r="S206" s="48">
        <f t="shared" si="135"/>
        <v>11.8275</v>
      </c>
      <c r="T206" s="48">
        <f t="shared" si="135"/>
        <v>9.93657439999999</v>
      </c>
      <c r="U206" s="48">
        <f t="shared" si="135"/>
        <v>-3.2659372</v>
      </c>
      <c r="V206" s="48">
        <f t="shared" si="135"/>
        <v>3.1988427</v>
      </c>
      <c r="W206" s="48">
        <f t="shared" si="135"/>
        <v>39.508161</v>
      </c>
      <c r="X206" s="48">
        <f t="shared" si="135"/>
        <v>155.8117229</v>
      </c>
      <c r="Y206" s="48">
        <f t="shared" si="135"/>
        <v>23.5196896</v>
      </c>
      <c r="Z206" s="48">
        <f t="shared" si="135"/>
        <v>3.21467520000002</v>
      </c>
      <c r="AA206" s="48">
        <f t="shared" si="135"/>
        <v>18.7407087</v>
      </c>
      <c r="AB206" s="48">
        <f t="shared" si="135"/>
        <v>29.8632692</v>
      </c>
      <c r="AC206" s="48">
        <f t="shared" si="135"/>
        <v>0</v>
      </c>
    </row>
    <row r="207" spans="1:29">
      <c r="A207" s="32"/>
      <c r="B207" s="33"/>
      <c r="C207" s="38" t="s">
        <v>53</v>
      </c>
      <c r="D207" s="37"/>
      <c r="E207" s="26">
        <f t="shared" si="134"/>
        <v>285.0622679</v>
      </c>
      <c r="F207" s="48">
        <f t="shared" ref="F207:AC207" si="136">IF(F206&gt;0,ABS(MIN(F201*0.2,ABS(F202))*F205),F206)</f>
        <v>-8.907881</v>
      </c>
      <c r="G207" s="48">
        <f t="shared" si="136"/>
        <v>5.9174913</v>
      </c>
      <c r="H207" s="48">
        <f t="shared" si="136"/>
        <v>2.61401239999999</v>
      </c>
      <c r="I207" s="48">
        <f t="shared" si="136"/>
        <v>1.6553394</v>
      </c>
      <c r="J207" s="48">
        <f t="shared" si="136"/>
        <v>4.81224239999999</v>
      </c>
      <c r="K207" s="48">
        <f t="shared" si="136"/>
        <v>8.15331440000001</v>
      </c>
      <c r="L207" s="48">
        <f t="shared" si="136"/>
        <v>-0.884916499999999</v>
      </c>
      <c r="M207" s="48">
        <f t="shared" si="136"/>
        <v>4.89339839999999</v>
      </c>
      <c r="N207" s="48">
        <f t="shared" si="136"/>
        <v>1.00193339999997</v>
      </c>
      <c r="O207" s="48">
        <f t="shared" si="136"/>
        <v>-36.5677546000001</v>
      </c>
      <c r="P207" s="48">
        <f t="shared" si="136"/>
        <v>-3.29717079999999</v>
      </c>
      <c r="Q207" s="48">
        <f t="shared" si="136"/>
        <v>0</v>
      </c>
      <c r="R207" s="48">
        <f t="shared" si="136"/>
        <v>13.3170526</v>
      </c>
      <c r="S207" s="48">
        <f t="shared" si="136"/>
        <v>11.8275</v>
      </c>
      <c r="T207" s="48">
        <f t="shared" si="136"/>
        <v>9.9365744</v>
      </c>
      <c r="U207" s="48">
        <f t="shared" si="136"/>
        <v>-3.2659372</v>
      </c>
      <c r="V207" s="48">
        <f t="shared" si="136"/>
        <v>3.1988427</v>
      </c>
      <c r="W207" s="48">
        <f t="shared" si="136"/>
        <v>39.508161</v>
      </c>
      <c r="X207" s="48">
        <f t="shared" si="136"/>
        <v>155.8117229</v>
      </c>
      <c r="Y207" s="48">
        <f t="shared" si="136"/>
        <v>23.5196896</v>
      </c>
      <c r="Z207" s="48">
        <f t="shared" si="136"/>
        <v>3.21467520000002</v>
      </c>
      <c r="AA207" s="48">
        <f t="shared" si="136"/>
        <v>18.7407087</v>
      </c>
      <c r="AB207" s="48">
        <f t="shared" si="136"/>
        <v>29.8632692</v>
      </c>
      <c r="AC207" s="48">
        <f t="shared" si="136"/>
        <v>0</v>
      </c>
    </row>
    <row r="208" spans="1:29">
      <c r="A208" s="32"/>
      <c r="B208" s="33"/>
      <c r="C208" s="39" t="s">
        <v>50</v>
      </c>
      <c r="D208" s="37"/>
      <c r="E208" s="44">
        <f t="shared" ref="E208:AC208" si="137">E206-E207</f>
        <v>0</v>
      </c>
      <c r="F208" s="26">
        <f t="shared" si="137"/>
        <v>0</v>
      </c>
      <c r="G208" s="26">
        <f t="shared" si="137"/>
        <v>0</v>
      </c>
      <c r="H208" s="26">
        <f t="shared" si="137"/>
        <v>0</v>
      </c>
      <c r="I208" s="26">
        <f t="shared" si="137"/>
        <v>0</v>
      </c>
      <c r="J208" s="26">
        <f t="shared" si="137"/>
        <v>0</v>
      </c>
      <c r="K208" s="26">
        <f t="shared" si="137"/>
        <v>0</v>
      </c>
      <c r="L208" s="26">
        <f t="shared" si="137"/>
        <v>0</v>
      </c>
      <c r="M208" s="26">
        <f t="shared" si="137"/>
        <v>0</v>
      </c>
      <c r="N208" s="26">
        <f t="shared" si="137"/>
        <v>0</v>
      </c>
      <c r="O208" s="26">
        <f t="shared" si="137"/>
        <v>0</v>
      </c>
      <c r="P208" s="26">
        <f t="shared" si="137"/>
        <v>0</v>
      </c>
      <c r="Q208" s="26">
        <f t="shared" si="137"/>
        <v>0</v>
      </c>
      <c r="R208" s="26">
        <f t="shared" si="137"/>
        <v>0</v>
      </c>
      <c r="S208" s="26">
        <f t="shared" si="137"/>
        <v>0</v>
      </c>
      <c r="T208" s="26">
        <f t="shared" si="137"/>
        <v>0</v>
      </c>
      <c r="U208" s="26">
        <f t="shared" si="137"/>
        <v>0</v>
      </c>
      <c r="V208" s="26">
        <f t="shared" si="137"/>
        <v>0</v>
      </c>
      <c r="W208" s="26">
        <f t="shared" si="137"/>
        <v>0</v>
      </c>
      <c r="X208" s="26">
        <f t="shared" si="137"/>
        <v>0</v>
      </c>
      <c r="Y208" s="26">
        <f t="shared" si="137"/>
        <v>0</v>
      </c>
      <c r="Z208" s="26">
        <f t="shared" si="137"/>
        <v>0</v>
      </c>
      <c r="AA208" s="26">
        <f t="shared" si="137"/>
        <v>0</v>
      </c>
      <c r="AB208" s="26">
        <f t="shared" si="137"/>
        <v>0</v>
      </c>
      <c r="AC208" s="26">
        <f t="shared" si="137"/>
        <v>0</v>
      </c>
    </row>
    <row r="209" spans="1:29">
      <c r="A209" s="29">
        <v>46015</v>
      </c>
      <c r="B209" s="30">
        <f>E216</f>
        <v>142.0644979</v>
      </c>
      <c r="C209" s="31" t="s">
        <v>47</v>
      </c>
      <c r="D209" s="31" t="s">
        <v>48</v>
      </c>
      <c r="E209" s="42">
        <f t="shared" si="134"/>
        <v>64.33683</v>
      </c>
      <c r="F209" s="47">
        <v>1.85603</v>
      </c>
      <c r="G209" s="47">
        <v>1.88298</v>
      </c>
      <c r="H209" s="47">
        <v>1.45854</v>
      </c>
      <c r="I209" s="47">
        <v>1.76836</v>
      </c>
      <c r="J209" s="47">
        <v>1.34088</v>
      </c>
      <c r="K209" s="47">
        <v>1.6685</v>
      </c>
      <c r="L209" s="47">
        <v>1.614</v>
      </c>
      <c r="M209" s="47">
        <v>2.14258</v>
      </c>
      <c r="N209" s="47">
        <v>4.45698</v>
      </c>
      <c r="O209" s="47">
        <v>3.99222</v>
      </c>
      <c r="P209" s="47">
        <v>3.54033</v>
      </c>
      <c r="Q209" s="47">
        <v>3.31749</v>
      </c>
      <c r="R209" s="47">
        <v>2.3516</v>
      </c>
      <c r="S209" s="47">
        <v>2.75832</v>
      </c>
      <c r="T209" s="47">
        <v>3.24944</v>
      </c>
      <c r="U209" s="47">
        <v>3.03456</v>
      </c>
      <c r="V209" s="47">
        <v>4.41881</v>
      </c>
      <c r="W209" s="47">
        <v>4.04239</v>
      </c>
      <c r="X209" s="47">
        <v>3.3838</v>
      </c>
      <c r="Y209" s="47">
        <v>2.93608</v>
      </c>
      <c r="Z209" s="47">
        <v>3.50559</v>
      </c>
      <c r="AA209" s="47">
        <v>2.31507</v>
      </c>
      <c r="AB209" s="47">
        <v>1.74204</v>
      </c>
      <c r="AC209" s="47">
        <v>1.56024</v>
      </c>
    </row>
    <row r="210" spans="1:29">
      <c r="A210" s="32"/>
      <c r="B210" s="33"/>
      <c r="C210" s="32"/>
      <c r="D210" s="6" t="s">
        <v>49</v>
      </c>
      <c r="E210" s="42">
        <f t="shared" si="134"/>
        <v>68.0578</v>
      </c>
      <c r="F210" s="46">
        <v>1.6873</v>
      </c>
      <c r="G210" s="46">
        <v>1.7118</v>
      </c>
      <c r="H210" s="46">
        <v>1.6206</v>
      </c>
      <c r="I210" s="46">
        <v>1.6076</v>
      </c>
      <c r="J210" s="46">
        <v>1.6761</v>
      </c>
      <c r="K210" s="46">
        <v>1.6685</v>
      </c>
      <c r="L210" s="46">
        <v>1.614</v>
      </c>
      <c r="M210" s="46">
        <v>1.9478</v>
      </c>
      <c r="N210" s="46">
        <v>4.0518</v>
      </c>
      <c r="O210" s="46">
        <v>4.4358</v>
      </c>
      <c r="P210" s="46">
        <v>3.9337</v>
      </c>
      <c r="Q210" s="46">
        <v>3.6861</v>
      </c>
      <c r="R210" s="46">
        <v>2.9395</v>
      </c>
      <c r="S210" s="46">
        <v>3.4479</v>
      </c>
      <c r="T210" s="46">
        <v>4.0618</v>
      </c>
      <c r="U210" s="46">
        <v>3.7932</v>
      </c>
      <c r="V210" s="46">
        <v>4.0171</v>
      </c>
      <c r="W210" s="46">
        <v>3.6749</v>
      </c>
      <c r="X210" s="46">
        <v>3.3838</v>
      </c>
      <c r="Y210" s="46">
        <v>3.6701</v>
      </c>
      <c r="Z210" s="46">
        <v>3.1869</v>
      </c>
      <c r="AA210" s="46">
        <v>2.5723</v>
      </c>
      <c r="AB210" s="46">
        <v>1.9356</v>
      </c>
      <c r="AC210" s="46">
        <v>1.7336</v>
      </c>
    </row>
    <row r="211" spans="1:29">
      <c r="A211" s="32"/>
      <c r="B211" s="33"/>
      <c r="C211" s="34"/>
      <c r="D211" s="31" t="s">
        <v>50</v>
      </c>
      <c r="E211" s="26">
        <f t="shared" ref="E211:AC211" si="138">E209-E210</f>
        <v>-3.72097000000001</v>
      </c>
      <c r="F211" s="26">
        <f t="shared" si="138"/>
        <v>0.16873</v>
      </c>
      <c r="G211" s="26">
        <f t="shared" si="138"/>
        <v>0.17118</v>
      </c>
      <c r="H211" s="26">
        <f t="shared" si="138"/>
        <v>-0.16206</v>
      </c>
      <c r="I211" s="26">
        <f t="shared" si="138"/>
        <v>0.16076</v>
      </c>
      <c r="J211" s="26">
        <f t="shared" si="138"/>
        <v>-0.33522</v>
      </c>
      <c r="K211" s="26">
        <f t="shared" si="138"/>
        <v>0</v>
      </c>
      <c r="L211" s="26">
        <f t="shared" si="138"/>
        <v>0</v>
      </c>
      <c r="M211" s="26">
        <f t="shared" si="138"/>
        <v>0.19478</v>
      </c>
      <c r="N211" s="26">
        <f t="shared" si="138"/>
        <v>0.40518</v>
      </c>
      <c r="O211" s="26">
        <f t="shared" si="138"/>
        <v>-0.44358</v>
      </c>
      <c r="P211" s="26">
        <f t="shared" si="138"/>
        <v>-0.39337</v>
      </c>
      <c r="Q211" s="26">
        <f t="shared" si="138"/>
        <v>-0.36861</v>
      </c>
      <c r="R211" s="26">
        <f t="shared" si="138"/>
        <v>-0.5879</v>
      </c>
      <c r="S211" s="26">
        <f t="shared" si="138"/>
        <v>-0.68958</v>
      </c>
      <c r="T211" s="26">
        <f t="shared" si="138"/>
        <v>-0.81236</v>
      </c>
      <c r="U211" s="26">
        <f t="shared" si="138"/>
        <v>-0.75864</v>
      </c>
      <c r="V211" s="26">
        <f t="shared" si="138"/>
        <v>0.40171</v>
      </c>
      <c r="W211" s="26">
        <f t="shared" si="138"/>
        <v>0.36749</v>
      </c>
      <c r="X211" s="26">
        <f t="shared" si="138"/>
        <v>0</v>
      </c>
      <c r="Y211" s="26">
        <f t="shared" si="138"/>
        <v>-0.73402</v>
      </c>
      <c r="Z211" s="26">
        <f t="shared" si="138"/>
        <v>0.31869</v>
      </c>
      <c r="AA211" s="26">
        <f t="shared" si="138"/>
        <v>-0.25723</v>
      </c>
      <c r="AB211" s="26">
        <f t="shared" si="138"/>
        <v>-0.19356</v>
      </c>
      <c r="AC211" s="26">
        <f t="shared" si="138"/>
        <v>-0.17336</v>
      </c>
    </row>
    <row r="212" spans="1:29">
      <c r="A212" s="32"/>
      <c r="B212" s="33"/>
      <c r="C212" s="35" t="s">
        <v>51</v>
      </c>
      <c r="D212" s="31" t="s">
        <v>48</v>
      </c>
      <c r="E212" s="31">
        <f>AVERAGE(F212:AC212)</f>
        <v>344.099583333333</v>
      </c>
      <c r="F212" s="43">
        <v>360.38</v>
      </c>
      <c r="G212" s="43">
        <v>339.42</v>
      </c>
      <c r="H212" s="43">
        <v>331.62</v>
      </c>
      <c r="I212" s="43">
        <v>313.84</v>
      </c>
      <c r="J212" s="43">
        <v>309.39</v>
      </c>
      <c r="K212" s="43">
        <v>309.85</v>
      </c>
      <c r="L212" s="43">
        <v>339.95</v>
      </c>
      <c r="M212" s="43">
        <v>361.29</v>
      </c>
      <c r="N212" s="43">
        <v>391</v>
      </c>
      <c r="O212" s="43">
        <v>378.91</v>
      </c>
      <c r="P212" s="43">
        <v>321.96</v>
      </c>
      <c r="Q212" s="43">
        <v>281.44</v>
      </c>
      <c r="R212" s="43">
        <v>245.02</v>
      </c>
      <c r="S212" s="43">
        <v>263.71</v>
      </c>
      <c r="T212" s="43">
        <v>268.92</v>
      </c>
      <c r="U212" s="43">
        <v>292.01</v>
      </c>
      <c r="V212" s="43">
        <v>351.76</v>
      </c>
      <c r="W212" s="43">
        <v>400.03</v>
      </c>
      <c r="X212" s="43">
        <v>427.55</v>
      </c>
      <c r="Y212" s="43">
        <v>449.92</v>
      </c>
      <c r="Z212" s="43">
        <v>421.09</v>
      </c>
      <c r="AA212" s="43">
        <v>413.78</v>
      </c>
      <c r="AB212" s="43">
        <v>379.47</v>
      </c>
      <c r="AC212" s="43">
        <v>306.08</v>
      </c>
    </row>
    <row r="213" spans="1:29">
      <c r="A213" s="32"/>
      <c r="B213" s="33"/>
      <c r="C213" s="32"/>
      <c r="D213" s="31" t="s">
        <v>49</v>
      </c>
      <c r="E213" s="31">
        <f>AVERAGE(F213:AC213)</f>
        <v>317.812916666667</v>
      </c>
      <c r="F213" s="43">
        <v>332.04</v>
      </c>
      <c r="G213" s="43">
        <v>322.7</v>
      </c>
      <c r="H213" s="43">
        <v>311.68</v>
      </c>
      <c r="I213" s="43">
        <v>310.31</v>
      </c>
      <c r="J213" s="43">
        <v>298.25</v>
      </c>
      <c r="K213" s="43">
        <v>293.89</v>
      </c>
      <c r="L213" s="43">
        <v>336.29</v>
      </c>
      <c r="M213" s="43">
        <v>362.34</v>
      </c>
      <c r="N213" s="43">
        <v>379.08</v>
      </c>
      <c r="O213" s="43">
        <v>348</v>
      </c>
      <c r="P213" s="43">
        <v>301.46</v>
      </c>
      <c r="Q213" s="43">
        <v>255.21</v>
      </c>
      <c r="R213" s="43">
        <v>180.99</v>
      </c>
      <c r="S213" s="43">
        <v>256.31</v>
      </c>
      <c r="T213" s="43">
        <v>256.95</v>
      </c>
      <c r="U213" s="43">
        <v>278.48</v>
      </c>
      <c r="V213" s="43">
        <v>323.28</v>
      </c>
      <c r="W213" s="43">
        <v>371.5</v>
      </c>
      <c r="X213" s="43">
        <v>392.52</v>
      </c>
      <c r="Y213" s="43">
        <v>386.11</v>
      </c>
      <c r="Z213" s="43">
        <v>393.03</v>
      </c>
      <c r="AA213" s="43">
        <v>311.17</v>
      </c>
      <c r="AB213" s="43">
        <v>327.24</v>
      </c>
      <c r="AC213" s="43">
        <v>298.68</v>
      </c>
    </row>
    <row r="214" spans="1:29">
      <c r="A214" s="32"/>
      <c r="B214" s="33"/>
      <c r="C214" s="34"/>
      <c r="D214" s="31" t="s">
        <v>50</v>
      </c>
      <c r="E214" s="26">
        <f t="shared" ref="E214:AC214" si="139">E212-E213</f>
        <v>26.2866666666668</v>
      </c>
      <c r="F214" s="26">
        <f t="shared" si="139"/>
        <v>28.34</v>
      </c>
      <c r="G214" s="26">
        <f t="shared" si="139"/>
        <v>16.72</v>
      </c>
      <c r="H214" s="26">
        <f t="shared" si="139"/>
        <v>19.94</v>
      </c>
      <c r="I214" s="26">
        <f t="shared" si="139"/>
        <v>3.52999999999997</v>
      </c>
      <c r="J214" s="26">
        <f t="shared" si="139"/>
        <v>11.14</v>
      </c>
      <c r="K214" s="26">
        <f t="shared" si="139"/>
        <v>15.96</v>
      </c>
      <c r="L214" s="26">
        <f t="shared" si="139"/>
        <v>3.65999999999997</v>
      </c>
      <c r="M214" s="26">
        <f t="shared" si="139"/>
        <v>-1.04999999999995</v>
      </c>
      <c r="N214" s="26">
        <f t="shared" si="139"/>
        <v>11.92</v>
      </c>
      <c r="O214" s="26">
        <f t="shared" si="139"/>
        <v>30.91</v>
      </c>
      <c r="P214" s="26">
        <f t="shared" si="139"/>
        <v>20.5</v>
      </c>
      <c r="Q214" s="26">
        <f t="shared" si="139"/>
        <v>26.23</v>
      </c>
      <c r="R214" s="26">
        <f t="shared" si="139"/>
        <v>64.03</v>
      </c>
      <c r="S214" s="26">
        <f t="shared" si="139"/>
        <v>7.39999999999998</v>
      </c>
      <c r="T214" s="26">
        <f t="shared" si="139"/>
        <v>11.97</v>
      </c>
      <c r="U214" s="26">
        <f t="shared" si="139"/>
        <v>13.53</v>
      </c>
      <c r="V214" s="26">
        <f t="shared" si="139"/>
        <v>28.48</v>
      </c>
      <c r="W214" s="26">
        <f t="shared" si="139"/>
        <v>28.53</v>
      </c>
      <c r="X214" s="26">
        <f t="shared" si="139"/>
        <v>35.03</v>
      </c>
      <c r="Y214" s="26">
        <f t="shared" si="139"/>
        <v>63.81</v>
      </c>
      <c r="Z214" s="26">
        <f t="shared" si="139"/>
        <v>28.06</v>
      </c>
      <c r="AA214" s="26">
        <f t="shared" si="139"/>
        <v>102.61</v>
      </c>
      <c r="AB214" s="26">
        <f t="shared" si="139"/>
        <v>52.23</v>
      </c>
      <c r="AC214" s="26">
        <f t="shared" si="139"/>
        <v>7.39999999999998</v>
      </c>
    </row>
    <row r="215" spans="1:29">
      <c r="A215" s="32"/>
      <c r="B215" s="33"/>
      <c r="C215" s="36" t="s">
        <v>52</v>
      </c>
      <c r="D215" s="37"/>
      <c r="E215" s="26">
        <f t="shared" ref="E215:E219" si="140">SUM(F215:AC215)</f>
        <v>142.0644979</v>
      </c>
      <c r="F215" s="48">
        <f t="shared" ref="F215:AC215" si="141">-F211*F214</f>
        <v>-4.7818082</v>
      </c>
      <c r="G215" s="48">
        <f t="shared" si="141"/>
        <v>-2.8621296</v>
      </c>
      <c r="H215" s="48">
        <f t="shared" si="141"/>
        <v>3.2314764</v>
      </c>
      <c r="I215" s="48">
        <f t="shared" si="141"/>
        <v>-0.567482799999995</v>
      </c>
      <c r="J215" s="48">
        <f t="shared" si="141"/>
        <v>3.7343508</v>
      </c>
      <c r="K215" s="48">
        <f t="shared" si="141"/>
        <v>0</v>
      </c>
      <c r="L215" s="48">
        <f t="shared" si="141"/>
        <v>0</v>
      </c>
      <c r="M215" s="48">
        <f t="shared" si="141"/>
        <v>0.20451899999999</v>
      </c>
      <c r="N215" s="48">
        <f t="shared" si="141"/>
        <v>-4.8297456</v>
      </c>
      <c r="O215" s="48">
        <f t="shared" si="141"/>
        <v>13.7110578</v>
      </c>
      <c r="P215" s="48">
        <f t="shared" si="141"/>
        <v>8.064085</v>
      </c>
      <c r="Q215" s="48">
        <f t="shared" si="141"/>
        <v>9.66864030000001</v>
      </c>
      <c r="R215" s="48">
        <f t="shared" si="141"/>
        <v>37.643237</v>
      </c>
      <c r="S215" s="48">
        <f t="shared" si="141"/>
        <v>5.10289199999999</v>
      </c>
      <c r="T215" s="48">
        <f t="shared" si="141"/>
        <v>9.7239492</v>
      </c>
      <c r="U215" s="48">
        <f t="shared" si="141"/>
        <v>10.2643992</v>
      </c>
      <c r="V215" s="48">
        <f t="shared" si="141"/>
        <v>-11.4407008</v>
      </c>
      <c r="W215" s="48">
        <f t="shared" si="141"/>
        <v>-10.4844897</v>
      </c>
      <c r="X215" s="48">
        <f t="shared" si="141"/>
        <v>0</v>
      </c>
      <c r="Y215" s="48">
        <f t="shared" si="141"/>
        <v>46.8378162</v>
      </c>
      <c r="Z215" s="48">
        <f t="shared" si="141"/>
        <v>-8.9424414</v>
      </c>
      <c r="AA215" s="48">
        <f t="shared" si="141"/>
        <v>26.3943703</v>
      </c>
      <c r="AB215" s="48">
        <f t="shared" si="141"/>
        <v>10.1096388</v>
      </c>
      <c r="AC215" s="48">
        <f t="shared" si="141"/>
        <v>1.282864</v>
      </c>
    </row>
    <row r="216" spans="1:29">
      <c r="A216" s="32"/>
      <c r="B216" s="33"/>
      <c r="C216" s="38" t="s">
        <v>53</v>
      </c>
      <c r="D216" s="37"/>
      <c r="E216" s="26">
        <f t="shared" si="140"/>
        <v>142.0644979</v>
      </c>
      <c r="F216" s="48">
        <f t="shared" ref="F216:AC216" si="142">IF(F215&gt;0,ABS(MIN(F210*0.2,ABS(F211))*F214),F215)</f>
        <v>-4.7818082</v>
      </c>
      <c r="G216" s="48">
        <f t="shared" si="142"/>
        <v>-2.8621296</v>
      </c>
      <c r="H216" s="48">
        <f t="shared" si="142"/>
        <v>3.2314764</v>
      </c>
      <c r="I216" s="48">
        <f t="shared" si="142"/>
        <v>-0.567482799999995</v>
      </c>
      <c r="J216" s="48">
        <f t="shared" si="142"/>
        <v>3.7343508</v>
      </c>
      <c r="K216" s="48">
        <f t="shared" si="142"/>
        <v>0</v>
      </c>
      <c r="L216" s="48">
        <f t="shared" si="142"/>
        <v>0</v>
      </c>
      <c r="M216" s="48">
        <f t="shared" si="142"/>
        <v>0.20451899999999</v>
      </c>
      <c r="N216" s="48">
        <f t="shared" si="142"/>
        <v>-4.8297456</v>
      </c>
      <c r="O216" s="48">
        <f t="shared" si="142"/>
        <v>13.7110578</v>
      </c>
      <c r="P216" s="48">
        <f t="shared" si="142"/>
        <v>8.064085</v>
      </c>
      <c r="Q216" s="48">
        <f t="shared" si="142"/>
        <v>9.66864030000001</v>
      </c>
      <c r="R216" s="48">
        <f t="shared" si="142"/>
        <v>37.643237</v>
      </c>
      <c r="S216" s="48">
        <f t="shared" si="142"/>
        <v>5.10289199999999</v>
      </c>
      <c r="T216" s="48">
        <f t="shared" si="142"/>
        <v>9.7239492</v>
      </c>
      <c r="U216" s="48">
        <f t="shared" si="142"/>
        <v>10.2643992</v>
      </c>
      <c r="V216" s="48">
        <f t="shared" si="142"/>
        <v>-11.4407008</v>
      </c>
      <c r="W216" s="48">
        <f t="shared" si="142"/>
        <v>-10.4844897</v>
      </c>
      <c r="X216" s="48">
        <f t="shared" si="142"/>
        <v>0</v>
      </c>
      <c r="Y216" s="48">
        <f t="shared" si="142"/>
        <v>46.8378162</v>
      </c>
      <c r="Z216" s="48">
        <f t="shared" si="142"/>
        <v>-8.9424414</v>
      </c>
      <c r="AA216" s="48">
        <f t="shared" si="142"/>
        <v>26.3943703</v>
      </c>
      <c r="AB216" s="48">
        <f t="shared" si="142"/>
        <v>10.1096388</v>
      </c>
      <c r="AC216" s="48">
        <f t="shared" si="142"/>
        <v>1.282864</v>
      </c>
    </row>
    <row r="217" spans="1:29">
      <c r="A217" s="32"/>
      <c r="B217" s="33"/>
      <c r="C217" s="39" t="s">
        <v>50</v>
      </c>
      <c r="D217" s="37"/>
      <c r="E217" s="44">
        <f t="shared" ref="E217:AC217" si="143">E215-E216</f>
        <v>0</v>
      </c>
      <c r="F217" s="26">
        <f t="shared" si="143"/>
        <v>0</v>
      </c>
      <c r="G217" s="26">
        <f t="shared" si="143"/>
        <v>0</v>
      </c>
      <c r="H217" s="26">
        <f t="shared" si="143"/>
        <v>0</v>
      </c>
      <c r="I217" s="26">
        <f t="shared" si="143"/>
        <v>0</v>
      </c>
      <c r="J217" s="26">
        <f t="shared" si="143"/>
        <v>0</v>
      </c>
      <c r="K217" s="26">
        <f t="shared" si="143"/>
        <v>0</v>
      </c>
      <c r="L217" s="26">
        <f t="shared" si="143"/>
        <v>0</v>
      </c>
      <c r="M217" s="26">
        <f t="shared" si="143"/>
        <v>0</v>
      </c>
      <c r="N217" s="26">
        <f t="shared" si="143"/>
        <v>0</v>
      </c>
      <c r="O217" s="26">
        <f t="shared" si="143"/>
        <v>0</v>
      </c>
      <c r="P217" s="26">
        <f t="shared" si="143"/>
        <v>0</v>
      </c>
      <c r="Q217" s="26">
        <f t="shared" si="143"/>
        <v>0</v>
      </c>
      <c r="R217" s="26">
        <f t="shared" si="143"/>
        <v>0</v>
      </c>
      <c r="S217" s="26">
        <f t="shared" si="143"/>
        <v>0</v>
      </c>
      <c r="T217" s="26">
        <f t="shared" si="143"/>
        <v>0</v>
      </c>
      <c r="U217" s="26">
        <f t="shared" si="143"/>
        <v>0</v>
      </c>
      <c r="V217" s="26">
        <f t="shared" si="143"/>
        <v>0</v>
      </c>
      <c r="W217" s="26">
        <f t="shared" si="143"/>
        <v>0</v>
      </c>
      <c r="X217" s="26">
        <f t="shared" si="143"/>
        <v>0</v>
      </c>
      <c r="Y217" s="26">
        <f t="shared" si="143"/>
        <v>0</v>
      </c>
      <c r="Z217" s="26">
        <f t="shared" si="143"/>
        <v>0</v>
      </c>
      <c r="AA217" s="26">
        <f t="shared" si="143"/>
        <v>0</v>
      </c>
      <c r="AB217" s="26">
        <f t="shared" si="143"/>
        <v>0</v>
      </c>
      <c r="AC217" s="26">
        <f t="shared" si="143"/>
        <v>0</v>
      </c>
    </row>
    <row r="218" spans="1:29">
      <c r="A218" s="29">
        <v>46016</v>
      </c>
      <c r="B218" s="30">
        <f>E225</f>
        <v>256.6462804</v>
      </c>
      <c r="C218" s="31" t="s">
        <v>47</v>
      </c>
      <c r="D218" s="31" t="s">
        <v>48</v>
      </c>
      <c r="E218" s="42">
        <f t="shared" si="140"/>
        <v>66.07348</v>
      </c>
      <c r="F218" s="47">
        <v>1.59525</v>
      </c>
      <c r="G218" s="47">
        <v>1.6885</v>
      </c>
      <c r="H218" s="47">
        <v>1.59543</v>
      </c>
      <c r="I218" s="47">
        <v>1.5939</v>
      </c>
      <c r="J218" s="47">
        <v>1.60956</v>
      </c>
      <c r="K218" s="47">
        <v>1.87209</v>
      </c>
      <c r="L218" s="47">
        <v>1.62355</v>
      </c>
      <c r="M218" s="47">
        <v>2.28305</v>
      </c>
      <c r="N218" s="47">
        <v>4.98852</v>
      </c>
      <c r="O218" s="47">
        <v>4.96364</v>
      </c>
      <c r="P218" s="47">
        <v>4.3252</v>
      </c>
      <c r="Q218" s="47">
        <v>3.39354</v>
      </c>
      <c r="R218" s="47">
        <v>2.7792</v>
      </c>
      <c r="S218" s="47">
        <v>2.98064</v>
      </c>
      <c r="T218" s="47">
        <v>3.29656</v>
      </c>
      <c r="U218" s="47">
        <v>3.11584</v>
      </c>
      <c r="V218" s="47">
        <v>4.40143</v>
      </c>
      <c r="W218" s="47">
        <v>4.18528</v>
      </c>
      <c r="X218" s="47">
        <v>3.4271</v>
      </c>
      <c r="Y218" s="47">
        <v>2.97536</v>
      </c>
      <c r="Z218" s="47">
        <v>2.44512</v>
      </c>
      <c r="AA218" s="47">
        <v>2.06616</v>
      </c>
      <c r="AB218" s="47">
        <v>1.36115</v>
      </c>
      <c r="AC218" s="47">
        <v>1.50741</v>
      </c>
    </row>
    <row r="219" spans="1:29">
      <c r="A219" s="32"/>
      <c r="B219" s="33"/>
      <c r="C219" s="32"/>
      <c r="D219" s="6" t="s">
        <v>49</v>
      </c>
      <c r="E219" s="42">
        <f t="shared" si="140"/>
        <v>69.6918</v>
      </c>
      <c r="F219" s="46">
        <v>1.7725</v>
      </c>
      <c r="G219" s="46">
        <v>1.6885</v>
      </c>
      <c r="H219" s="46">
        <v>1.7727</v>
      </c>
      <c r="I219" s="46">
        <v>1.771</v>
      </c>
      <c r="J219" s="46">
        <v>1.7884</v>
      </c>
      <c r="K219" s="46">
        <v>1.7019</v>
      </c>
      <c r="L219" s="46">
        <v>1.709</v>
      </c>
      <c r="M219" s="46">
        <v>2.0755</v>
      </c>
      <c r="N219" s="46">
        <v>4.1571</v>
      </c>
      <c r="O219" s="46">
        <v>4.5124</v>
      </c>
      <c r="P219" s="46">
        <v>3.932</v>
      </c>
      <c r="Q219" s="46">
        <v>3.7706</v>
      </c>
      <c r="R219" s="46">
        <v>3.088</v>
      </c>
      <c r="S219" s="46">
        <v>3.7258</v>
      </c>
      <c r="T219" s="46">
        <v>4.1207</v>
      </c>
      <c r="U219" s="46">
        <v>3.8948</v>
      </c>
      <c r="V219" s="46">
        <v>4.0013</v>
      </c>
      <c r="W219" s="46">
        <v>3.8048</v>
      </c>
      <c r="X219" s="46">
        <v>3.4271</v>
      </c>
      <c r="Y219" s="46">
        <v>3.7192</v>
      </c>
      <c r="Z219" s="46">
        <v>3.0564</v>
      </c>
      <c r="AA219" s="46">
        <v>2.5827</v>
      </c>
      <c r="AB219" s="46">
        <v>1.9445</v>
      </c>
      <c r="AC219" s="46">
        <v>1.6749</v>
      </c>
    </row>
    <row r="220" spans="1:29">
      <c r="A220" s="32"/>
      <c r="B220" s="33"/>
      <c r="C220" s="34"/>
      <c r="D220" s="31" t="s">
        <v>50</v>
      </c>
      <c r="E220" s="26">
        <f t="shared" ref="E220:AC220" si="144">E218-E219</f>
        <v>-3.61832000000001</v>
      </c>
      <c r="F220" s="26">
        <f t="shared" si="144"/>
        <v>-0.17725</v>
      </c>
      <c r="G220" s="26">
        <f t="shared" si="144"/>
        <v>0</v>
      </c>
      <c r="H220" s="26">
        <f t="shared" si="144"/>
        <v>-0.17727</v>
      </c>
      <c r="I220" s="26">
        <f t="shared" si="144"/>
        <v>-0.1771</v>
      </c>
      <c r="J220" s="26">
        <f t="shared" si="144"/>
        <v>-0.17884</v>
      </c>
      <c r="K220" s="26">
        <f t="shared" si="144"/>
        <v>0.17019</v>
      </c>
      <c r="L220" s="26">
        <f t="shared" si="144"/>
        <v>-0.08545</v>
      </c>
      <c r="M220" s="26">
        <f t="shared" si="144"/>
        <v>0.20755</v>
      </c>
      <c r="N220" s="26">
        <f t="shared" si="144"/>
        <v>0.83142</v>
      </c>
      <c r="O220" s="26">
        <f t="shared" si="144"/>
        <v>0.45124</v>
      </c>
      <c r="P220" s="26">
        <f t="shared" si="144"/>
        <v>0.393200000000001</v>
      </c>
      <c r="Q220" s="26">
        <f t="shared" si="144"/>
        <v>-0.37706</v>
      </c>
      <c r="R220" s="26">
        <f t="shared" si="144"/>
        <v>-0.3088</v>
      </c>
      <c r="S220" s="26">
        <f t="shared" si="144"/>
        <v>-0.74516</v>
      </c>
      <c r="T220" s="26">
        <f t="shared" si="144"/>
        <v>-0.82414</v>
      </c>
      <c r="U220" s="26">
        <f t="shared" si="144"/>
        <v>-0.77896</v>
      </c>
      <c r="V220" s="26">
        <f t="shared" si="144"/>
        <v>0.400130000000001</v>
      </c>
      <c r="W220" s="26">
        <f t="shared" si="144"/>
        <v>0.380480000000001</v>
      </c>
      <c r="X220" s="26">
        <f t="shared" si="144"/>
        <v>0</v>
      </c>
      <c r="Y220" s="26">
        <f t="shared" si="144"/>
        <v>-0.74384</v>
      </c>
      <c r="Z220" s="26">
        <f t="shared" si="144"/>
        <v>-0.61128</v>
      </c>
      <c r="AA220" s="26">
        <f t="shared" si="144"/>
        <v>-0.51654</v>
      </c>
      <c r="AB220" s="26">
        <f t="shared" si="144"/>
        <v>-0.58335</v>
      </c>
      <c r="AC220" s="26">
        <f t="shared" si="144"/>
        <v>-0.16749</v>
      </c>
    </row>
    <row r="221" spans="1:29">
      <c r="A221" s="32"/>
      <c r="B221" s="33"/>
      <c r="C221" s="35" t="s">
        <v>51</v>
      </c>
      <c r="D221" s="31" t="s">
        <v>48</v>
      </c>
      <c r="E221" s="31">
        <f>AVERAGE(F221:AC221)</f>
        <v>296.304166666667</v>
      </c>
      <c r="F221" s="43">
        <v>321.14</v>
      </c>
      <c r="G221" s="43">
        <v>304.18</v>
      </c>
      <c r="H221" s="43">
        <v>302.66</v>
      </c>
      <c r="I221" s="43">
        <v>287.87</v>
      </c>
      <c r="J221" s="43">
        <v>277.9</v>
      </c>
      <c r="K221" s="43">
        <v>270.82</v>
      </c>
      <c r="L221" s="43">
        <v>282.68</v>
      </c>
      <c r="M221" s="43">
        <v>290.4</v>
      </c>
      <c r="N221" s="43">
        <v>305.99</v>
      </c>
      <c r="O221" s="43">
        <v>304.58</v>
      </c>
      <c r="P221" s="43">
        <v>265.76</v>
      </c>
      <c r="Q221" s="43">
        <v>240.16</v>
      </c>
      <c r="R221" s="43">
        <v>218.8</v>
      </c>
      <c r="S221" s="43">
        <v>222.66</v>
      </c>
      <c r="T221" s="43">
        <v>229.22</v>
      </c>
      <c r="U221" s="43">
        <v>262.38</v>
      </c>
      <c r="V221" s="43">
        <v>300.55</v>
      </c>
      <c r="W221" s="43">
        <v>350.4</v>
      </c>
      <c r="X221" s="43">
        <v>385.15</v>
      </c>
      <c r="Y221" s="43">
        <v>372</v>
      </c>
      <c r="Z221" s="43">
        <v>374.7</v>
      </c>
      <c r="AA221" s="43">
        <v>370.48</v>
      </c>
      <c r="AB221" s="43">
        <v>309.05</v>
      </c>
      <c r="AC221" s="43">
        <v>261.77</v>
      </c>
    </row>
    <row r="222" spans="1:29">
      <c r="A222" s="32"/>
      <c r="B222" s="33"/>
      <c r="C222" s="32"/>
      <c r="D222" s="31" t="s">
        <v>49</v>
      </c>
      <c r="E222" s="31">
        <f>AVERAGE(F222:AC222)</f>
        <v>273.830833333333</v>
      </c>
      <c r="F222" s="43">
        <v>316.03</v>
      </c>
      <c r="G222" s="43">
        <v>326.42</v>
      </c>
      <c r="H222" s="43">
        <v>300.81</v>
      </c>
      <c r="I222" s="43">
        <v>282.78</v>
      </c>
      <c r="J222" s="43">
        <v>274.38</v>
      </c>
      <c r="K222" s="43">
        <v>275.86</v>
      </c>
      <c r="L222" s="43">
        <v>285.65</v>
      </c>
      <c r="M222" s="43">
        <v>287.79</v>
      </c>
      <c r="N222" s="43">
        <v>333.26</v>
      </c>
      <c r="O222" s="43">
        <v>312.2</v>
      </c>
      <c r="P222" s="43">
        <v>294.16</v>
      </c>
      <c r="Q222" s="43">
        <v>229.93</v>
      </c>
      <c r="R222" s="43">
        <v>149.3</v>
      </c>
      <c r="S222" s="43">
        <v>224.32</v>
      </c>
      <c r="T222" s="43">
        <v>224.56</v>
      </c>
      <c r="U222" s="43">
        <v>218.49</v>
      </c>
      <c r="V222" s="43">
        <v>283.31</v>
      </c>
      <c r="W222" s="43">
        <v>299.3</v>
      </c>
      <c r="X222" s="43">
        <v>293.87</v>
      </c>
      <c r="Y222" s="43">
        <v>287.92</v>
      </c>
      <c r="Z222" s="43">
        <v>285.95</v>
      </c>
      <c r="AA222" s="43">
        <v>287.11</v>
      </c>
      <c r="AB222" s="43">
        <v>269.27</v>
      </c>
      <c r="AC222" s="43">
        <v>229.27</v>
      </c>
    </row>
    <row r="223" spans="1:29">
      <c r="A223" s="32"/>
      <c r="B223" s="33"/>
      <c r="C223" s="34"/>
      <c r="D223" s="31" t="s">
        <v>50</v>
      </c>
      <c r="E223" s="26">
        <f t="shared" ref="E223:AC223" si="145">E221-E222</f>
        <v>22.4733333333332</v>
      </c>
      <c r="F223" s="26">
        <f t="shared" si="145"/>
        <v>5.11000000000001</v>
      </c>
      <c r="G223" s="26">
        <f t="shared" si="145"/>
        <v>-22.24</v>
      </c>
      <c r="H223" s="26">
        <f t="shared" si="145"/>
        <v>1.85000000000002</v>
      </c>
      <c r="I223" s="26">
        <f t="shared" si="145"/>
        <v>5.09000000000003</v>
      </c>
      <c r="J223" s="26">
        <f t="shared" si="145"/>
        <v>3.51999999999998</v>
      </c>
      <c r="K223" s="26">
        <f t="shared" si="145"/>
        <v>-5.04000000000002</v>
      </c>
      <c r="L223" s="26">
        <f t="shared" si="145"/>
        <v>-2.96999999999997</v>
      </c>
      <c r="M223" s="26">
        <f t="shared" si="145"/>
        <v>2.60999999999996</v>
      </c>
      <c r="N223" s="26">
        <f t="shared" si="145"/>
        <v>-27.27</v>
      </c>
      <c r="O223" s="26">
        <f t="shared" si="145"/>
        <v>-7.62</v>
      </c>
      <c r="P223" s="26">
        <f t="shared" si="145"/>
        <v>-28.4</v>
      </c>
      <c r="Q223" s="26">
        <f t="shared" si="145"/>
        <v>10.23</v>
      </c>
      <c r="R223" s="26">
        <f t="shared" si="145"/>
        <v>69.5</v>
      </c>
      <c r="S223" s="26">
        <f t="shared" si="145"/>
        <v>-1.66</v>
      </c>
      <c r="T223" s="26">
        <f t="shared" si="145"/>
        <v>4.66</v>
      </c>
      <c r="U223" s="26">
        <f t="shared" si="145"/>
        <v>43.89</v>
      </c>
      <c r="V223" s="26">
        <f t="shared" si="145"/>
        <v>17.24</v>
      </c>
      <c r="W223" s="26">
        <f t="shared" si="145"/>
        <v>51.1</v>
      </c>
      <c r="X223" s="26">
        <f t="shared" si="145"/>
        <v>91.28</v>
      </c>
      <c r="Y223" s="26">
        <f t="shared" si="145"/>
        <v>84.08</v>
      </c>
      <c r="Z223" s="26">
        <f t="shared" si="145"/>
        <v>88.75</v>
      </c>
      <c r="AA223" s="26">
        <f t="shared" si="145"/>
        <v>83.37</v>
      </c>
      <c r="AB223" s="26">
        <f t="shared" si="145"/>
        <v>39.78</v>
      </c>
      <c r="AC223" s="26">
        <f t="shared" si="145"/>
        <v>32.5</v>
      </c>
    </row>
    <row r="224" spans="1:29">
      <c r="A224" s="32"/>
      <c r="B224" s="33"/>
      <c r="C224" s="36" t="s">
        <v>52</v>
      </c>
      <c r="D224" s="37"/>
      <c r="E224" s="26">
        <f t="shared" ref="E224:E228" si="146">SUM(F224:AC224)</f>
        <v>264.3815014</v>
      </c>
      <c r="F224" s="48">
        <f t="shared" ref="F224:AC224" si="147">-F220*F223</f>
        <v>0.905747500000002</v>
      </c>
      <c r="G224" s="48">
        <f t="shared" si="147"/>
        <v>0</v>
      </c>
      <c r="H224" s="48">
        <f t="shared" si="147"/>
        <v>0.327949500000004</v>
      </c>
      <c r="I224" s="48">
        <f t="shared" si="147"/>
        <v>0.901439000000005</v>
      </c>
      <c r="J224" s="48">
        <f t="shared" si="147"/>
        <v>0.629516799999996</v>
      </c>
      <c r="K224" s="48">
        <f t="shared" si="147"/>
        <v>0.857757600000004</v>
      </c>
      <c r="L224" s="48">
        <f t="shared" si="147"/>
        <v>-0.253786499999998</v>
      </c>
      <c r="M224" s="48">
        <f t="shared" si="147"/>
        <v>-0.541705499999991</v>
      </c>
      <c r="N224" s="48">
        <f t="shared" si="147"/>
        <v>22.6728234</v>
      </c>
      <c r="O224" s="48">
        <f t="shared" si="147"/>
        <v>3.4384488</v>
      </c>
      <c r="P224" s="48">
        <f t="shared" si="147"/>
        <v>11.16688</v>
      </c>
      <c r="Q224" s="48">
        <f t="shared" si="147"/>
        <v>3.8573238</v>
      </c>
      <c r="R224" s="48">
        <f t="shared" si="147"/>
        <v>21.4616</v>
      </c>
      <c r="S224" s="48">
        <f t="shared" si="147"/>
        <v>-1.2369656</v>
      </c>
      <c r="T224" s="48">
        <f t="shared" si="147"/>
        <v>3.8404924</v>
      </c>
      <c r="U224" s="48">
        <f t="shared" si="147"/>
        <v>34.1885544</v>
      </c>
      <c r="V224" s="48">
        <f t="shared" si="147"/>
        <v>-6.89824120000002</v>
      </c>
      <c r="W224" s="48">
        <f t="shared" si="147"/>
        <v>-19.4425280000001</v>
      </c>
      <c r="X224" s="48">
        <f t="shared" si="147"/>
        <v>0</v>
      </c>
      <c r="Y224" s="48">
        <f t="shared" si="147"/>
        <v>62.5420672</v>
      </c>
      <c r="Z224" s="48">
        <f t="shared" si="147"/>
        <v>54.2511</v>
      </c>
      <c r="AA224" s="48">
        <f t="shared" si="147"/>
        <v>43.0639398</v>
      </c>
      <c r="AB224" s="48">
        <f t="shared" si="147"/>
        <v>23.205663</v>
      </c>
      <c r="AC224" s="48">
        <f t="shared" si="147"/>
        <v>5.443425</v>
      </c>
    </row>
    <row r="225" spans="1:29">
      <c r="A225" s="32"/>
      <c r="B225" s="33"/>
      <c r="C225" s="38" t="s">
        <v>53</v>
      </c>
      <c r="D225" s="37"/>
      <c r="E225" s="26">
        <f t="shared" si="146"/>
        <v>256.6462804</v>
      </c>
      <c r="F225" s="48">
        <f t="shared" ref="F225:AC225" si="148">IF(F224&gt;0,ABS(MIN(F219*0.2,ABS(F220))*F223),F224)</f>
        <v>0.905747500000002</v>
      </c>
      <c r="G225" s="48">
        <f t="shared" si="148"/>
        <v>0</v>
      </c>
      <c r="H225" s="48">
        <f t="shared" si="148"/>
        <v>0.327949500000004</v>
      </c>
      <c r="I225" s="48">
        <f t="shared" si="148"/>
        <v>0.901439000000005</v>
      </c>
      <c r="J225" s="48">
        <f t="shared" si="148"/>
        <v>0.629516799999996</v>
      </c>
      <c r="K225" s="48">
        <f t="shared" si="148"/>
        <v>0.857757600000004</v>
      </c>
      <c r="L225" s="48">
        <f t="shared" si="148"/>
        <v>-0.253786499999998</v>
      </c>
      <c r="M225" s="48">
        <f t="shared" si="148"/>
        <v>-0.541705499999991</v>
      </c>
      <c r="N225" s="48">
        <f t="shared" si="148"/>
        <v>22.6728234</v>
      </c>
      <c r="O225" s="48">
        <f t="shared" si="148"/>
        <v>3.4384488</v>
      </c>
      <c r="P225" s="48">
        <f t="shared" si="148"/>
        <v>11.16688</v>
      </c>
      <c r="Q225" s="48">
        <f t="shared" si="148"/>
        <v>3.8573238</v>
      </c>
      <c r="R225" s="48">
        <f t="shared" si="148"/>
        <v>21.4616</v>
      </c>
      <c r="S225" s="48">
        <f t="shared" si="148"/>
        <v>-1.2369656</v>
      </c>
      <c r="T225" s="48">
        <f t="shared" si="148"/>
        <v>3.8404924</v>
      </c>
      <c r="U225" s="48">
        <f t="shared" si="148"/>
        <v>34.1885544</v>
      </c>
      <c r="V225" s="48">
        <f t="shared" si="148"/>
        <v>-6.89824120000002</v>
      </c>
      <c r="W225" s="48">
        <f t="shared" si="148"/>
        <v>-19.4425280000001</v>
      </c>
      <c r="X225" s="48">
        <f t="shared" si="148"/>
        <v>0</v>
      </c>
      <c r="Y225" s="48">
        <f t="shared" si="148"/>
        <v>62.5420672</v>
      </c>
      <c r="Z225" s="48">
        <f t="shared" si="148"/>
        <v>54.2511</v>
      </c>
      <c r="AA225" s="48">
        <f t="shared" si="148"/>
        <v>43.0639398</v>
      </c>
      <c r="AB225" s="48">
        <f t="shared" si="148"/>
        <v>15.470442</v>
      </c>
      <c r="AC225" s="48">
        <f t="shared" si="148"/>
        <v>5.443425</v>
      </c>
    </row>
    <row r="226" spans="1:29">
      <c r="A226" s="32"/>
      <c r="B226" s="33"/>
      <c r="C226" s="39" t="s">
        <v>50</v>
      </c>
      <c r="D226" s="37"/>
      <c r="E226" s="44">
        <f t="shared" ref="E226:AC226" si="149">E224-E225</f>
        <v>7.73522099999991</v>
      </c>
      <c r="F226" s="26">
        <f t="shared" si="149"/>
        <v>0</v>
      </c>
      <c r="G226" s="26">
        <f t="shared" si="149"/>
        <v>0</v>
      </c>
      <c r="H226" s="26">
        <f t="shared" si="149"/>
        <v>0</v>
      </c>
      <c r="I226" s="26">
        <f t="shared" si="149"/>
        <v>0</v>
      </c>
      <c r="J226" s="26">
        <f t="shared" si="149"/>
        <v>0</v>
      </c>
      <c r="K226" s="26">
        <f t="shared" si="149"/>
        <v>0</v>
      </c>
      <c r="L226" s="26">
        <f t="shared" si="149"/>
        <v>0</v>
      </c>
      <c r="M226" s="26">
        <f t="shared" si="149"/>
        <v>0</v>
      </c>
      <c r="N226" s="26">
        <f t="shared" si="149"/>
        <v>0</v>
      </c>
      <c r="O226" s="26">
        <f t="shared" si="149"/>
        <v>0</v>
      </c>
      <c r="P226" s="26">
        <f t="shared" si="149"/>
        <v>0</v>
      </c>
      <c r="Q226" s="26">
        <f t="shared" si="149"/>
        <v>0</v>
      </c>
      <c r="R226" s="26">
        <f t="shared" si="149"/>
        <v>0</v>
      </c>
      <c r="S226" s="26">
        <f t="shared" si="149"/>
        <v>0</v>
      </c>
      <c r="T226" s="26">
        <f t="shared" si="149"/>
        <v>0</v>
      </c>
      <c r="U226" s="26">
        <f t="shared" si="149"/>
        <v>0</v>
      </c>
      <c r="V226" s="26">
        <f t="shared" si="149"/>
        <v>0</v>
      </c>
      <c r="W226" s="26">
        <f t="shared" si="149"/>
        <v>0</v>
      </c>
      <c r="X226" s="26">
        <f t="shared" si="149"/>
        <v>0</v>
      </c>
      <c r="Y226" s="26">
        <f t="shared" si="149"/>
        <v>0</v>
      </c>
      <c r="Z226" s="26">
        <f t="shared" si="149"/>
        <v>0</v>
      </c>
      <c r="AA226" s="26">
        <f t="shared" si="149"/>
        <v>0</v>
      </c>
      <c r="AB226" s="26">
        <f t="shared" si="149"/>
        <v>7.735221</v>
      </c>
      <c r="AC226" s="26">
        <f t="shared" si="149"/>
        <v>0</v>
      </c>
    </row>
    <row r="227" spans="1:29">
      <c r="A227" s="29">
        <v>46017</v>
      </c>
      <c r="B227" s="30">
        <f>E234</f>
        <v>-785.2910289</v>
      </c>
      <c r="C227" s="31" t="s">
        <v>47</v>
      </c>
      <c r="D227" s="31" t="s">
        <v>48</v>
      </c>
      <c r="E227" s="42">
        <f t="shared" si="146"/>
        <v>61.19224</v>
      </c>
      <c r="F227" s="47">
        <v>1.51101</v>
      </c>
      <c r="G227" s="47">
        <v>1.6041</v>
      </c>
      <c r="H227" s="47">
        <v>1.51092</v>
      </c>
      <c r="I227" s="47">
        <v>1.47294</v>
      </c>
      <c r="J227" s="47">
        <v>1.6497</v>
      </c>
      <c r="K227" s="47">
        <v>1.5138</v>
      </c>
      <c r="L227" s="47">
        <v>1.51488</v>
      </c>
      <c r="M227" s="47">
        <v>1.68096</v>
      </c>
      <c r="N227" s="47">
        <v>4.59305</v>
      </c>
      <c r="O227" s="47">
        <v>4.10508</v>
      </c>
      <c r="P227" s="47">
        <v>3.15984</v>
      </c>
      <c r="Q227" s="47">
        <v>2.9816</v>
      </c>
      <c r="R227" s="47">
        <v>2.48768</v>
      </c>
      <c r="S227" s="47">
        <v>2.95968</v>
      </c>
      <c r="T227" s="47">
        <v>3.39232</v>
      </c>
      <c r="U227" s="47">
        <v>3.67488</v>
      </c>
      <c r="V227" s="47">
        <v>3.65454</v>
      </c>
      <c r="W227" s="47">
        <v>4.04514</v>
      </c>
      <c r="X227" s="47">
        <v>2.99718</v>
      </c>
      <c r="Y227" s="47">
        <v>2.92568</v>
      </c>
      <c r="Z227" s="47">
        <v>2.52008</v>
      </c>
      <c r="AA227" s="47">
        <v>1.89872</v>
      </c>
      <c r="AB227" s="47">
        <v>1.59309</v>
      </c>
      <c r="AC227" s="47">
        <v>1.74537</v>
      </c>
    </row>
    <row r="228" spans="1:29">
      <c r="A228" s="32"/>
      <c r="B228" s="33"/>
      <c r="C228" s="32"/>
      <c r="D228" s="6" t="s">
        <v>49</v>
      </c>
      <c r="E228" s="42">
        <f t="shared" si="146"/>
        <v>68.8664</v>
      </c>
      <c r="F228" s="46">
        <v>1.6789</v>
      </c>
      <c r="G228" s="46">
        <v>1.6041</v>
      </c>
      <c r="H228" s="46">
        <v>1.6788</v>
      </c>
      <c r="I228" s="46">
        <v>1.6366</v>
      </c>
      <c r="J228" s="46">
        <v>1.6497</v>
      </c>
      <c r="K228" s="46">
        <v>1.682</v>
      </c>
      <c r="L228" s="46">
        <v>1.6832</v>
      </c>
      <c r="M228" s="46">
        <v>2.1012</v>
      </c>
      <c r="N228" s="46">
        <v>4.1755</v>
      </c>
      <c r="O228" s="46">
        <v>4.5612</v>
      </c>
      <c r="P228" s="46">
        <v>3.9498</v>
      </c>
      <c r="Q228" s="46">
        <v>3.727</v>
      </c>
      <c r="R228" s="46">
        <v>3.1096</v>
      </c>
      <c r="S228" s="46">
        <v>3.6996</v>
      </c>
      <c r="T228" s="46">
        <v>4.2404</v>
      </c>
      <c r="U228" s="46">
        <v>4.0832</v>
      </c>
      <c r="V228" s="46">
        <v>4.0606</v>
      </c>
      <c r="W228" s="46">
        <v>3.6774</v>
      </c>
      <c r="X228" s="46">
        <v>3.3302</v>
      </c>
      <c r="Y228" s="46">
        <v>3.6571</v>
      </c>
      <c r="Z228" s="46">
        <v>3.1501</v>
      </c>
      <c r="AA228" s="46">
        <v>2.3734</v>
      </c>
      <c r="AB228" s="46">
        <v>1.7701</v>
      </c>
      <c r="AC228" s="46">
        <v>1.5867</v>
      </c>
    </row>
    <row r="229" spans="1:29">
      <c r="A229" s="32"/>
      <c r="B229" s="33"/>
      <c r="C229" s="34"/>
      <c r="D229" s="31" t="s">
        <v>50</v>
      </c>
      <c r="E229" s="26">
        <f t="shared" ref="E229:AC229" si="150">E227-E228</f>
        <v>-7.67416000000001</v>
      </c>
      <c r="F229" s="26">
        <f t="shared" si="150"/>
        <v>-0.16789</v>
      </c>
      <c r="G229" s="26">
        <f t="shared" si="150"/>
        <v>0</v>
      </c>
      <c r="H229" s="26">
        <f t="shared" si="150"/>
        <v>-0.16788</v>
      </c>
      <c r="I229" s="26">
        <f t="shared" si="150"/>
        <v>-0.16366</v>
      </c>
      <c r="J229" s="26">
        <f t="shared" si="150"/>
        <v>0</v>
      </c>
      <c r="K229" s="26">
        <f t="shared" si="150"/>
        <v>-0.1682</v>
      </c>
      <c r="L229" s="26">
        <f t="shared" si="150"/>
        <v>-0.16832</v>
      </c>
      <c r="M229" s="26">
        <f t="shared" si="150"/>
        <v>-0.42024</v>
      </c>
      <c r="N229" s="26">
        <f t="shared" si="150"/>
        <v>0.41755</v>
      </c>
      <c r="O229" s="26">
        <f t="shared" si="150"/>
        <v>-0.45612</v>
      </c>
      <c r="P229" s="26">
        <f t="shared" si="150"/>
        <v>-0.78996</v>
      </c>
      <c r="Q229" s="26">
        <f t="shared" si="150"/>
        <v>-0.7454</v>
      </c>
      <c r="R229" s="26">
        <f t="shared" si="150"/>
        <v>-0.62192</v>
      </c>
      <c r="S229" s="26">
        <f t="shared" si="150"/>
        <v>-0.739919999999999</v>
      </c>
      <c r="T229" s="26">
        <f t="shared" si="150"/>
        <v>-0.84808</v>
      </c>
      <c r="U229" s="26">
        <f t="shared" si="150"/>
        <v>-0.40832</v>
      </c>
      <c r="V229" s="26">
        <f t="shared" si="150"/>
        <v>-0.40606</v>
      </c>
      <c r="W229" s="26">
        <f t="shared" si="150"/>
        <v>0.36774</v>
      </c>
      <c r="X229" s="26">
        <f t="shared" si="150"/>
        <v>-0.33302</v>
      </c>
      <c r="Y229" s="26">
        <f t="shared" si="150"/>
        <v>-0.73142</v>
      </c>
      <c r="Z229" s="26">
        <f t="shared" si="150"/>
        <v>-0.63002</v>
      </c>
      <c r="AA229" s="26">
        <f t="shared" si="150"/>
        <v>-0.47468</v>
      </c>
      <c r="AB229" s="26">
        <f t="shared" si="150"/>
        <v>-0.17701</v>
      </c>
      <c r="AC229" s="26">
        <f t="shared" si="150"/>
        <v>0.15867</v>
      </c>
    </row>
    <row r="230" spans="1:29">
      <c r="A230" s="32"/>
      <c r="B230" s="33"/>
      <c r="C230" s="35" t="s">
        <v>51</v>
      </c>
      <c r="D230" s="31" t="s">
        <v>48</v>
      </c>
      <c r="E230" s="31">
        <f>AVERAGE(F230:AC230)</f>
        <v>288.079583333333</v>
      </c>
      <c r="F230" s="43">
        <v>276.19</v>
      </c>
      <c r="G230" s="43">
        <v>270.65</v>
      </c>
      <c r="H230" s="43">
        <v>263.9</v>
      </c>
      <c r="I230" s="43">
        <v>256.32</v>
      </c>
      <c r="J230" s="43">
        <v>254.63</v>
      </c>
      <c r="K230" s="43">
        <v>253.01</v>
      </c>
      <c r="L230" s="43">
        <v>275.9</v>
      </c>
      <c r="M230" s="43">
        <v>286.92</v>
      </c>
      <c r="N230" s="43">
        <v>316.61</v>
      </c>
      <c r="O230" s="43">
        <v>292.93</v>
      </c>
      <c r="P230" s="43">
        <v>237.7</v>
      </c>
      <c r="Q230" s="43">
        <v>174.94</v>
      </c>
      <c r="R230" s="43">
        <v>17.79</v>
      </c>
      <c r="S230" s="43">
        <v>81.39</v>
      </c>
      <c r="T230" s="43">
        <v>172.15</v>
      </c>
      <c r="U230" s="43">
        <v>237.84</v>
      </c>
      <c r="V230" s="43">
        <v>312.32</v>
      </c>
      <c r="W230" s="43">
        <v>385.91</v>
      </c>
      <c r="X230" s="43">
        <v>466.48</v>
      </c>
      <c r="Y230" s="43">
        <v>488.05</v>
      </c>
      <c r="Z230" s="43">
        <v>465.87</v>
      </c>
      <c r="AA230" s="43">
        <v>446.61</v>
      </c>
      <c r="AB230" s="43">
        <v>372.7</v>
      </c>
      <c r="AC230" s="43">
        <v>307.1</v>
      </c>
    </row>
    <row r="231" spans="1:29">
      <c r="A231" s="32"/>
      <c r="B231" s="33"/>
      <c r="C231" s="32"/>
      <c r="D231" s="31" t="s">
        <v>49</v>
      </c>
      <c r="E231" s="31">
        <f>AVERAGE(F231:AC231)</f>
        <v>341.117083333333</v>
      </c>
      <c r="F231" s="43">
        <v>261.19</v>
      </c>
      <c r="G231" s="43">
        <v>245.86</v>
      </c>
      <c r="H231" s="43">
        <v>230.12</v>
      </c>
      <c r="I231" s="43">
        <v>221.32</v>
      </c>
      <c r="J231" s="43">
        <v>226.33</v>
      </c>
      <c r="K231" s="43">
        <v>238.05</v>
      </c>
      <c r="L231" s="43">
        <v>275.73</v>
      </c>
      <c r="M231" s="43">
        <v>292.45</v>
      </c>
      <c r="N231" s="43">
        <v>431.14</v>
      </c>
      <c r="O231" s="43">
        <v>460.29</v>
      </c>
      <c r="P231" s="43">
        <v>337.69</v>
      </c>
      <c r="Q231" s="43">
        <v>254.19</v>
      </c>
      <c r="R231" s="43">
        <v>219.06</v>
      </c>
      <c r="S231" s="43">
        <v>240.58</v>
      </c>
      <c r="T231" s="43">
        <v>231.45</v>
      </c>
      <c r="U231" s="43">
        <v>295.02</v>
      </c>
      <c r="V231" s="43">
        <v>307.82</v>
      </c>
      <c r="W231" s="43">
        <v>391.21</v>
      </c>
      <c r="X231" s="43">
        <v>453.03</v>
      </c>
      <c r="Y231" s="43">
        <v>752.49</v>
      </c>
      <c r="Z231" s="43">
        <v>644.07</v>
      </c>
      <c r="AA231" s="43">
        <v>474.9</v>
      </c>
      <c r="AB231" s="43">
        <v>399.65</v>
      </c>
      <c r="AC231" s="43">
        <v>303.17</v>
      </c>
    </row>
    <row r="232" spans="1:29">
      <c r="A232" s="32"/>
      <c r="B232" s="33"/>
      <c r="C232" s="34"/>
      <c r="D232" s="31" t="s">
        <v>50</v>
      </c>
      <c r="E232" s="26">
        <f t="shared" ref="E232:AC232" si="151">E230-E231</f>
        <v>-53.0374999999999</v>
      </c>
      <c r="F232" s="26">
        <f t="shared" si="151"/>
        <v>15</v>
      </c>
      <c r="G232" s="26">
        <f t="shared" si="151"/>
        <v>24.79</v>
      </c>
      <c r="H232" s="26">
        <f t="shared" si="151"/>
        <v>33.78</v>
      </c>
      <c r="I232" s="26">
        <f t="shared" si="151"/>
        <v>35</v>
      </c>
      <c r="J232" s="26">
        <f t="shared" si="151"/>
        <v>28.3</v>
      </c>
      <c r="K232" s="26">
        <f t="shared" si="151"/>
        <v>14.96</v>
      </c>
      <c r="L232" s="26">
        <f t="shared" si="151"/>
        <v>0.169999999999959</v>
      </c>
      <c r="M232" s="26">
        <f t="shared" si="151"/>
        <v>-5.52999999999997</v>
      </c>
      <c r="N232" s="26">
        <f t="shared" si="151"/>
        <v>-114.53</v>
      </c>
      <c r="O232" s="26">
        <f t="shared" si="151"/>
        <v>-167.36</v>
      </c>
      <c r="P232" s="26">
        <f t="shared" si="151"/>
        <v>-99.99</v>
      </c>
      <c r="Q232" s="26">
        <f t="shared" si="151"/>
        <v>-79.25</v>
      </c>
      <c r="R232" s="26">
        <f t="shared" si="151"/>
        <v>-201.27</v>
      </c>
      <c r="S232" s="26">
        <f t="shared" si="151"/>
        <v>-159.19</v>
      </c>
      <c r="T232" s="26">
        <f t="shared" si="151"/>
        <v>-59.3</v>
      </c>
      <c r="U232" s="26">
        <f t="shared" si="151"/>
        <v>-57.18</v>
      </c>
      <c r="V232" s="26">
        <f t="shared" si="151"/>
        <v>4.5</v>
      </c>
      <c r="W232" s="26">
        <f t="shared" si="151"/>
        <v>-5.29999999999995</v>
      </c>
      <c r="X232" s="26">
        <f t="shared" si="151"/>
        <v>13.45</v>
      </c>
      <c r="Y232" s="26">
        <f t="shared" si="151"/>
        <v>-264.44</v>
      </c>
      <c r="Z232" s="26">
        <f t="shared" si="151"/>
        <v>-178.2</v>
      </c>
      <c r="AA232" s="26">
        <f t="shared" si="151"/>
        <v>-28.29</v>
      </c>
      <c r="AB232" s="26">
        <f t="shared" si="151"/>
        <v>-26.95</v>
      </c>
      <c r="AC232" s="26">
        <f t="shared" si="151"/>
        <v>3.93000000000001</v>
      </c>
    </row>
    <row r="233" spans="1:29">
      <c r="A233" s="32"/>
      <c r="B233" s="33"/>
      <c r="C233" s="36" t="s">
        <v>52</v>
      </c>
      <c r="D233" s="37"/>
      <c r="E233" s="26">
        <f t="shared" ref="E233:E237" si="152">SUM(F233:AC233)</f>
        <v>-785.2910289</v>
      </c>
      <c r="F233" s="48">
        <f t="shared" ref="F233:AC233" si="153">-F229*F232</f>
        <v>2.51835</v>
      </c>
      <c r="G233" s="48">
        <f t="shared" si="153"/>
        <v>0</v>
      </c>
      <c r="H233" s="48">
        <f t="shared" si="153"/>
        <v>5.6709864</v>
      </c>
      <c r="I233" s="48">
        <f t="shared" si="153"/>
        <v>5.7281</v>
      </c>
      <c r="J233" s="48">
        <f t="shared" si="153"/>
        <v>0</v>
      </c>
      <c r="K233" s="48">
        <f t="shared" si="153"/>
        <v>2.51627199999999</v>
      </c>
      <c r="L233" s="48">
        <f t="shared" si="153"/>
        <v>0.0286143999999931</v>
      </c>
      <c r="M233" s="48">
        <f t="shared" si="153"/>
        <v>-2.32392719999999</v>
      </c>
      <c r="N233" s="48">
        <f t="shared" si="153"/>
        <v>47.8220015</v>
      </c>
      <c r="O233" s="48">
        <f t="shared" si="153"/>
        <v>-76.3362432000001</v>
      </c>
      <c r="P233" s="48">
        <f t="shared" si="153"/>
        <v>-78.9881004</v>
      </c>
      <c r="Q233" s="48">
        <f t="shared" si="153"/>
        <v>-59.07295</v>
      </c>
      <c r="R233" s="48">
        <f t="shared" si="153"/>
        <v>-125.1738384</v>
      </c>
      <c r="S233" s="48">
        <f t="shared" si="153"/>
        <v>-117.7878648</v>
      </c>
      <c r="T233" s="48">
        <f t="shared" si="153"/>
        <v>-50.291144</v>
      </c>
      <c r="U233" s="48">
        <f t="shared" si="153"/>
        <v>-23.3477376</v>
      </c>
      <c r="V233" s="48">
        <f t="shared" si="153"/>
        <v>1.82727</v>
      </c>
      <c r="W233" s="48">
        <f t="shared" si="153"/>
        <v>1.94902199999998</v>
      </c>
      <c r="X233" s="48">
        <f t="shared" si="153"/>
        <v>4.47911900000001</v>
      </c>
      <c r="Y233" s="48">
        <f t="shared" si="153"/>
        <v>-193.4167048</v>
      </c>
      <c r="Z233" s="48">
        <f t="shared" si="153"/>
        <v>-112.269564</v>
      </c>
      <c r="AA233" s="48">
        <f t="shared" si="153"/>
        <v>-13.4286972</v>
      </c>
      <c r="AB233" s="48">
        <f t="shared" si="153"/>
        <v>-4.7704195</v>
      </c>
      <c r="AC233" s="48">
        <f t="shared" si="153"/>
        <v>-0.623573100000001</v>
      </c>
    </row>
    <row r="234" spans="1:29">
      <c r="A234" s="32"/>
      <c r="B234" s="33"/>
      <c r="C234" s="38" t="s">
        <v>53</v>
      </c>
      <c r="D234" s="37"/>
      <c r="E234" s="26">
        <f t="shared" si="152"/>
        <v>-785.2910289</v>
      </c>
      <c r="F234" s="48">
        <f t="shared" ref="F234:AC234" si="154">IF(F233&gt;0,ABS(MIN(F228*0.2,ABS(F229))*F232),F233)</f>
        <v>2.51835</v>
      </c>
      <c r="G234" s="48">
        <f t="shared" si="154"/>
        <v>0</v>
      </c>
      <c r="H234" s="48">
        <f t="shared" si="154"/>
        <v>5.6709864</v>
      </c>
      <c r="I234" s="48">
        <f t="shared" si="154"/>
        <v>5.7281</v>
      </c>
      <c r="J234" s="48">
        <f t="shared" si="154"/>
        <v>0</v>
      </c>
      <c r="K234" s="48">
        <f t="shared" si="154"/>
        <v>2.51627199999999</v>
      </c>
      <c r="L234" s="48">
        <f t="shared" si="154"/>
        <v>0.0286143999999931</v>
      </c>
      <c r="M234" s="48">
        <f t="shared" si="154"/>
        <v>-2.32392719999999</v>
      </c>
      <c r="N234" s="48">
        <f t="shared" si="154"/>
        <v>47.8220015</v>
      </c>
      <c r="O234" s="48">
        <f t="shared" si="154"/>
        <v>-76.3362432000001</v>
      </c>
      <c r="P234" s="48">
        <f t="shared" si="154"/>
        <v>-78.9881004</v>
      </c>
      <c r="Q234" s="48">
        <f t="shared" si="154"/>
        <v>-59.07295</v>
      </c>
      <c r="R234" s="48">
        <f t="shared" si="154"/>
        <v>-125.1738384</v>
      </c>
      <c r="S234" s="48">
        <f t="shared" si="154"/>
        <v>-117.7878648</v>
      </c>
      <c r="T234" s="48">
        <f t="shared" si="154"/>
        <v>-50.291144</v>
      </c>
      <c r="U234" s="48">
        <f t="shared" si="154"/>
        <v>-23.3477376</v>
      </c>
      <c r="V234" s="48">
        <f t="shared" si="154"/>
        <v>1.82727</v>
      </c>
      <c r="W234" s="48">
        <f t="shared" si="154"/>
        <v>1.94902199999998</v>
      </c>
      <c r="X234" s="48">
        <f t="shared" si="154"/>
        <v>4.47911900000001</v>
      </c>
      <c r="Y234" s="48">
        <f t="shared" si="154"/>
        <v>-193.4167048</v>
      </c>
      <c r="Z234" s="48">
        <f t="shared" si="154"/>
        <v>-112.269564</v>
      </c>
      <c r="AA234" s="48">
        <f t="shared" si="154"/>
        <v>-13.4286972</v>
      </c>
      <c r="AB234" s="48">
        <f t="shared" si="154"/>
        <v>-4.7704195</v>
      </c>
      <c r="AC234" s="48">
        <f t="shared" si="154"/>
        <v>-0.623573100000001</v>
      </c>
    </row>
    <row r="235" spans="1:29">
      <c r="A235" s="32"/>
      <c r="B235" s="33"/>
      <c r="C235" s="39" t="s">
        <v>50</v>
      </c>
      <c r="D235" s="37"/>
      <c r="E235" s="44">
        <f t="shared" ref="E235:AC235" si="155">E233-E234</f>
        <v>0</v>
      </c>
      <c r="F235" s="26">
        <f t="shared" si="155"/>
        <v>0</v>
      </c>
      <c r="G235" s="26">
        <f t="shared" si="155"/>
        <v>0</v>
      </c>
      <c r="H235" s="26">
        <f t="shared" si="155"/>
        <v>0</v>
      </c>
      <c r="I235" s="26">
        <f t="shared" si="155"/>
        <v>0</v>
      </c>
      <c r="J235" s="26">
        <f t="shared" si="155"/>
        <v>0</v>
      </c>
      <c r="K235" s="26">
        <f t="shared" si="155"/>
        <v>0</v>
      </c>
      <c r="L235" s="26">
        <f t="shared" si="155"/>
        <v>0</v>
      </c>
      <c r="M235" s="26">
        <f t="shared" si="155"/>
        <v>0</v>
      </c>
      <c r="N235" s="26">
        <f t="shared" si="155"/>
        <v>0</v>
      </c>
      <c r="O235" s="26">
        <f t="shared" si="155"/>
        <v>0</v>
      </c>
      <c r="P235" s="26">
        <f t="shared" si="155"/>
        <v>0</v>
      </c>
      <c r="Q235" s="26">
        <f t="shared" si="155"/>
        <v>0</v>
      </c>
      <c r="R235" s="26">
        <f t="shared" si="155"/>
        <v>0</v>
      </c>
      <c r="S235" s="26">
        <f t="shared" si="155"/>
        <v>0</v>
      </c>
      <c r="T235" s="26">
        <f t="shared" si="155"/>
        <v>0</v>
      </c>
      <c r="U235" s="26">
        <f t="shared" si="155"/>
        <v>0</v>
      </c>
      <c r="V235" s="26">
        <f t="shared" si="155"/>
        <v>0</v>
      </c>
      <c r="W235" s="26">
        <f t="shared" si="155"/>
        <v>0</v>
      </c>
      <c r="X235" s="26">
        <f t="shared" si="155"/>
        <v>0</v>
      </c>
      <c r="Y235" s="26">
        <f t="shared" si="155"/>
        <v>0</v>
      </c>
      <c r="Z235" s="26">
        <f t="shared" si="155"/>
        <v>0</v>
      </c>
      <c r="AA235" s="26">
        <f t="shared" si="155"/>
        <v>0</v>
      </c>
      <c r="AB235" s="26">
        <f t="shared" si="155"/>
        <v>0</v>
      </c>
      <c r="AC235" s="26">
        <f t="shared" si="155"/>
        <v>0</v>
      </c>
    </row>
    <row r="236" spans="1:29">
      <c r="A236" s="29">
        <v>46018</v>
      </c>
      <c r="B236" s="30">
        <f>E243</f>
        <v>184.0621342</v>
      </c>
      <c r="C236" s="31" t="s">
        <v>47</v>
      </c>
      <c r="D236" s="31" t="s">
        <v>48</v>
      </c>
      <c r="E236" s="42">
        <f t="shared" si="152"/>
        <v>55.76723</v>
      </c>
      <c r="F236" s="47">
        <v>1.77727</v>
      </c>
      <c r="G236" s="47">
        <v>1.84236</v>
      </c>
      <c r="H236" s="47">
        <v>1.6995</v>
      </c>
      <c r="I236" s="47">
        <v>1.63504</v>
      </c>
      <c r="J236" s="47">
        <v>1.57498</v>
      </c>
      <c r="K236" s="47">
        <v>1.55496</v>
      </c>
      <c r="L236" s="47">
        <v>1.22004</v>
      </c>
      <c r="M236" s="47">
        <v>1.6254</v>
      </c>
      <c r="N236" s="47">
        <v>4.16823</v>
      </c>
      <c r="O236" s="47">
        <v>3.2244</v>
      </c>
      <c r="P236" s="47">
        <v>3.02436</v>
      </c>
      <c r="Q236" s="47">
        <v>3.38184</v>
      </c>
      <c r="R236" s="47">
        <v>2.24937</v>
      </c>
      <c r="S236" s="47">
        <v>3.2962</v>
      </c>
      <c r="T236" s="47">
        <v>3.21084</v>
      </c>
      <c r="U236" s="47">
        <v>2.68792</v>
      </c>
      <c r="V236" s="47">
        <v>2.7172</v>
      </c>
      <c r="W236" s="47">
        <v>2.92887</v>
      </c>
      <c r="X236" s="47">
        <v>3.08132</v>
      </c>
      <c r="Y236" s="47">
        <v>2.6577</v>
      </c>
      <c r="Z236" s="47">
        <v>2.09248</v>
      </c>
      <c r="AA236" s="47">
        <v>1.68712</v>
      </c>
      <c r="AB236" s="47">
        <v>1.20463</v>
      </c>
      <c r="AC236" s="47">
        <v>1.2252</v>
      </c>
    </row>
    <row r="237" spans="1:29">
      <c r="A237" s="32"/>
      <c r="B237" s="33"/>
      <c r="C237" s="32"/>
      <c r="D237" s="6" t="s">
        <v>49</v>
      </c>
      <c r="E237" s="42">
        <f t="shared" si="152"/>
        <v>59.5489</v>
      </c>
      <c r="F237" s="46">
        <v>1.6157</v>
      </c>
      <c r="G237" s="46">
        <v>1.5353</v>
      </c>
      <c r="H237" s="46">
        <v>1.545</v>
      </c>
      <c r="I237" s="46">
        <v>1.4864</v>
      </c>
      <c r="J237" s="46">
        <v>1.4318</v>
      </c>
      <c r="K237" s="46">
        <v>1.4136</v>
      </c>
      <c r="L237" s="46">
        <v>1.3556</v>
      </c>
      <c r="M237" s="46">
        <v>1.806</v>
      </c>
      <c r="N237" s="46">
        <v>3.7893</v>
      </c>
      <c r="O237" s="46">
        <v>4.0305</v>
      </c>
      <c r="P237" s="46">
        <v>3.3604</v>
      </c>
      <c r="Q237" s="46">
        <v>3.0744</v>
      </c>
      <c r="R237" s="46">
        <v>2.4993</v>
      </c>
      <c r="S237" s="46">
        <v>3.2962</v>
      </c>
      <c r="T237" s="46">
        <v>3.5676</v>
      </c>
      <c r="U237" s="46">
        <v>3.3599</v>
      </c>
      <c r="V237" s="46">
        <v>3.3965</v>
      </c>
      <c r="W237" s="46">
        <v>3.2543</v>
      </c>
      <c r="X237" s="46">
        <v>2.8012</v>
      </c>
      <c r="Y237" s="46">
        <v>2.953</v>
      </c>
      <c r="Z237" s="46">
        <v>2.6156</v>
      </c>
      <c r="AA237" s="46">
        <v>2.1089</v>
      </c>
      <c r="AB237" s="46">
        <v>1.7209</v>
      </c>
      <c r="AC237" s="46">
        <v>1.5315</v>
      </c>
    </row>
    <row r="238" spans="1:29">
      <c r="A238" s="32"/>
      <c r="B238" s="33"/>
      <c r="C238" s="34"/>
      <c r="D238" s="31" t="s">
        <v>50</v>
      </c>
      <c r="E238" s="26">
        <f t="shared" ref="E238:AC238" si="156">E236-E237</f>
        <v>-3.78167000000002</v>
      </c>
      <c r="F238" s="26">
        <f t="shared" si="156"/>
        <v>0.16157</v>
      </c>
      <c r="G238" s="26">
        <f t="shared" si="156"/>
        <v>0.30706</v>
      </c>
      <c r="H238" s="26">
        <f t="shared" si="156"/>
        <v>0.1545</v>
      </c>
      <c r="I238" s="26">
        <f t="shared" si="156"/>
        <v>0.14864</v>
      </c>
      <c r="J238" s="26">
        <f t="shared" si="156"/>
        <v>0.14318</v>
      </c>
      <c r="K238" s="26">
        <f t="shared" si="156"/>
        <v>0.14136</v>
      </c>
      <c r="L238" s="26">
        <f t="shared" si="156"/>
        <v>-0.13556</v>
      </c>
      <c r="M238" s="26">
        <f t="shared" si="156"/>
        <v>-0.1806</v>
      </c>
      <c r="N238" s="26">
        <f t="shared" si="156"/>
        <v>0.37893</v>
      </c>
      <c r="O238" s="26">
        <f t="shared" si="156"/>
        <v>-0.8061</v>
      </c>
      <c r="P238" s="26">
        <f t="shared" si="156"/>
        <v>-0.33604</v>
      </c>
      <c r="Q238" s="26">
        <f t="shared" si="156"/>
        <v>0.30744</v>
      </c>
      <c r="R238" s="26">
        <f t="shared" si="156"/>
        <v>-0.24993</v>
      </c>
      <c r="S238" s="26">
        <f t="shared" si="156"/>
        <v>0</v>
      </c>
      <c r="T238" s="26">
        <f t="shared" si="156"/>
        <v>-0.35676</v>
      </c>
      <c r="U238" s="26">
        <f t="shared" si="156"/>
        <v>-0.67198</v>
      </c>
      <c r="V238" s="26">
        <f t="shared" si="156"/>
        <v>-0.6793</v>
      </c>
      <c r="W238" s="26">
        <f t="shared" si="156"/>
        <v>-0.32543</v>
      </c>
      <c r="X238" s="26">
        <f t="shared" si="156"/>
        <v>0.28012</v>
      </c>
      <c r="Y238" s="26">
        <f t="shared" si="156"/>
        <v>-0.2953</v>
      </c>
      <c r="Z238" s="26">
        <f t="shared" si="156"/>
        <v>-0.52312</v>
      </c>
      <c r="AA238" s="26">
        <f t="shared" si="156"/>
        <v>-0.42178</v>
      </c>
      <c r="AB238" s="26">
        <f t="shared" si="156"/>
        <v>-0.51627</v>
      </c>
      <c r="AC238" s="26">
        <f t="shared" si="156"/>
        <v>-0.3063</v>
      </c>
    </row>
    <row r="239" spans="1:29">
      <c r="A239" s="32"/>
      <c r="B239" s="33"/>
      <c r="C239" s="35" t="s">
        <v>51</v>
      </c>
      <c r="D239" s="31" t="s">
        <v>48</v>
      </c>
      <c r="E239" s="31">
        <f>AVERAGE(F239:AC239)</f>
        <v>328.478333333333</v>
      </c>
      <c r="F239" s="43">
        <v>367.69</v>
      </c>
      <c r="G239" s="43">
        <v>352.4</v>
      </c>
      <c r="H239" s="43">
        <v>333.49</v>
      </c>
      <c r="I239" s="43">
        <v>308.72</v>
      </c>
      <c r="J239" s="43">
        <v>301.26</v>
      </c>
      <c r="K239" s="43">
        <v>301.17</v>
      </c>
      <c r="L239" s="43">
        <v>315.44</v>
      </c>
      <c r="M239" s="43">
        <v>319.97</v>
      </c>
      <c r="N239" s="43">
        <v>360.43</v>
      </c>
      <c r="O239" s="43">
        <v>332.65</v>
      </c>
      <c r="P239" s="43">
        <v>262.9</v>
      </c>
      <c r="Q239" s="43">
        <v>217.29</v>
      </c>
      <c r="R239" s="43">
        <v>62.4</v>
      </c>
      <c r="S239" s="43">
        <v>107.47</v>
      </c>
      <c r="T239" s="43">
        <v>185.39</v>
      </c>
      <c r="U239" s="43">
        <v>240.71</v>
      </c>
      <c r="V239" s="43">
        <v>306.53</v>
      </c>
      <c r="W239" s="43">
        <v>403.33</v>
      </c>
      <c r="X239" s="43">
        <v>463.15</v>
      </c>
      <c r="Y239" s="43">
        <v>558.93</v>
      </c>
      <c r="Z239" s="43">
        <v>541.77</v>
      </c>
      <c r="AA239" s="43">
        <v>467.91</v>
      </c>
      <c r="AB239" s="43">
        <v>413.21</v>
      </c>
      <c r="AC239" s="43">
        <v>359.27</v>
      </c>
    </row>
    <row r="240" spans="1:29">
      <c r="A240" s="32"/>
      <c r="B240" s="33"/>
      <c r="C240" s="32"/>
      <c r="D240" s="31" t="s">
        <v>49</v>
      </c>
      <c r="E240" s="31">
        <f>AVERAGE(F240:AC240)</f>
        <v>312.464583333333</v>
      </c>
      <c r="F240" s="43">
        <v>392.56</v>
      </c>
      <c r="G240" s="43">
        <v>387.48</v>
      </c>
      <c r="H240" s="43">
        <v>365.33</v>
      </c>
      <c r="I240" s="43">
        <v>312.1</v>
      </c>
      <c r="J240" s="43">
        <v>303.42</v>
      </c>
      <c r="K240" s="43">
        <v>304.88</v>
      </c>
      <c r="L240" s="43">
        <v>308.6</v>
      </c>
      <c r="M240" s="43">
        <v>315.59</v>
      </c>
      <c r="N240" s="43">
        <v>363.24</v>
      </c>
      <c r="O240" s="43">
        <v>278.12</v>
      </c>
      <c r="P240" s="43">
        <v>186.04</v>
      </c>
      <c r="Q240" s="43">
        <v>91.84</v>
      </c>
      <c r="R240" s="43">
        <v>-44.94</v>
      </c>
      <c r="S240" s="43">
        <v>4.2</v>
      </c>
      <c r="T240" s="43">
        <v>26.03</v>
      </c>
      <c r="U240" s="43">
        <v>166.57</v>
      </c>
      <c r="V240" s="43">
        <v>403.8</v>
      </c>
      <c r="W240" s="43">
        <v>461.13</v>
      </c>
      <c r="X240" s="43">
        <v>631.5</v>
      </c>
      <c r="Y240" s="43">
        <v>467.61</v>
      </c>
      <c r="Z240" s="43">
        <v>526.53</v>
      </c>
      <c r="AA240" s="43">
        <v>426.41</v>
      </c>
      <c r="AB240" s="43">
        <v>433.71</v>
      </c>
      <c r="AC240" s="43">
        <v>387.4</v>
      </c>
    </row>
    <row r="241" spans="1:29">
      <c r="A241" s="32"/>
      <c r="B241" s="33"/>
      <c r="C241" s="34"/>
      <c r="D241" s="31" t="s">
        <v>50</v>
      </c>
      <c r="E241" s="26">
        <f t="shared" ref="E241:AC241" si="157">E239-E240</f>
        <v>16.01375</v>
      </c>
      <c r="F241" s="26">
        <f t="shared" si="157"/>
        <v>-24.87</v>
      </c>
      <c r="G241" s="26">
        <f t="shared" si="157"/>
        <v>-35.08</v>
      </c>
      <c r="H241" s="26">
        <f t="shared" si="157"/>
        <v>-31.84</v>
      </c>
      <c r="I241" s="26">
        <f t="shared" si="157"/>
        <v>-3.38</v>
      </c>
      <c r="J241" s="26">
        <f t="shared" si="157"/>
        <v>-2.16000000000002</v>
      </c>
      <c r="K241" s="26">
        <f t="shared" si="157"/>
        <v>-3.70999999999998</v>
      </c>
      <c r="L241" s="26">
        <f t="shared" si="157"/>
        <v>6.83999999999997</v>
      </c>
      <c r="M241" s="26">
        <f t="shared" si="157"/>
        <v>4.38000000000005</v>
      </c>
      <c r="N241" s="26">
        <f t="shared" si="157"/>
        <v>-2.81</v>
      </c>
      <c r="O241" s="26">
        <f t="shared" si="157"/>
        <v>54.53</v>
      </c>
      <c r="P241" s="26">
        <f t="shared" si="157"/>
        <v>76.86</v>
      </c>
      <c r="Q241" s="26">
        <f t="shared" si="157"/>
        <v>125.45</v>
      </c>
      <c r="R241" s="26">
        <f t="shared" si="157"/>
        <v>107.34</v>
      </c>
      <c r="S241" s="26">
        <f t="shared" si="157"/>
        <v>103.27</v>
      </c>
      <c r="T241" s="26">
        <f t="shared" si="157"/>
        <v>159.36</v>
      </c>
      <c r="U241" s="26">
        <f t="shared" si="157"/>
        <v>74.14</v>
      </c>
      <c r="V241" s="26">
        <f t="shared" si="157"/>
        <v>-97.27</v>
      </c>
      <c r="W241" s="26">
        <f t="shared" si="157"/>
        <v>-57.8</v>
      </c>
      <c r="X241" s="26">
        <f t="shared" si="157"/>
        <v>-168.35</v>
      </c>
      <c r="Y241" s="26">
        <f t="shared" si="157"/>
        <v>91.3199999999999</v>
      </c>
      <c r="Z241" s="26">
        <f t="shared" si="157"/>
        <v>15.24</v>
      </c>
      <c r="AA241" s="26">
        <f t="shared" si="157"/>
        <v>41.5</v>
      </c>
      <c r="AB241" s="26">
        <f t="shared" si="157"/>
        <v>-20.5</v>
      </c>
      <c r="AC241" s="26">
        <f t="shared" si="157"/>
        <v>-28.13</v>
      </c>
    </row>
    <row r="242" spans="1:29">
      <c r="A242" s="32"/>
      <c r="B242" s="33"/>
      <c r="C242" s="36" t="s">
        <v>52</v>
      </c>
      <c r="D242" s="37"/>
      <c r="E242" s="26">
        <f t="shared" ref="E242:E246" si="158">SUM(F242:AC242)</f>
        <v>184.0621342</v>
      </c>
      <c r="F242" s="48">
        <f t="shared" ref="F242:AC242" si="159">-F238*F241</f>
        <v>4.0182459</v>
      </c>
      <c r="G242" s="48">
        <f t="shared" si="159"/>
        <v>10.7716648</v>
      </c>
      <c r="H242" s="48">
        <f t="shared" si="159"/>
        <v>4.91928</v>
      </c>
      <c r="I242" s="48">
        <f t="shared" si="159"/>
        <v>0.5024032</v>
      </c>
      <c r="J242" s="48">
        <f t="shared" si="159"/>
        <v>0.309268800000004</v>
      </c>
      <c r="K242" s="48">
        <f t="shared" si="159"/>
        <v>0.524445599999997</v>
      </c>
      <c r="L242" s="48">
        <f t="shared" si="159"/>
        <v>0.927230399999996</v>
      </c>
      <c r="M242" s="48">
        <f t="shared" si="159"/>
        <v>0.79102800000001</v>
      </c>
      <c r="N242" s="48">
        <f t="shared" si="159"/>
        <v>1.0647933</v>
      </c>
      <c r="O242" s="48">
        <f t="shared" si="159"/>
        <v>43.956633</v>
      </c>
      <c r="P242" s="48">
        <f t="shared" si="159"/>
        <v>25.8280344</v>
      </c>
      <c r="Q242" s="48">
        <f t="shared" si="159"/>
        <v>-38.568348</v>
      </c>
      <c r="R242" s="48">
        <f t="shared" si="159"/>
        <v>26.8274862</v>
      </c>
      <c r="S242" s="48">
        <f t="shared" si="159"/>
        <v>0</v>
      </c>
      <c r="T242" s="48">
        <f t="shared" si="159"/>
        <v>56.8532736</v>
      </c>
      <c r="U242" s="48">
        <f t="shared" si="159"/>
        <v>49.8205972</v>
      </c>
      <c r="V242" s="48">
        <f t="shared" si="159"/>
        <v>-66.075511</v>
      </c>
      <c r="W242" s="48">
        <f t="shared" si="159"/>
        <v>-18.809854</v>
      </c>
      <c r="X242" s="48">
        <f t="shared" si="159"/>
        <v>47.158202</v>
      </c>
      <c r="Y242" s="48">
        <f t="shared" si="159"/>
        <v>26.966796</v>
      </c>
      <c r="Z242" s="48">
        <f t="shared" si="159"/>
        <v>7.97234880000001</v>
      </c>
      <c r="AA242" s="48">
        <f t="shared" si="159"/>
        <v>17.50387</v>
      </c>
      <c r="AB242" s="48">
        <f t="shared" si="159"/>
        <v>-10.583535</v>
      </c>
      <c r="AC242" s="48">
        <f t="shared" si="159"/>
        <v>-8.616219</v>
      </c>
    </row>
    <row r="243" spans="1:29">
      <c r="A243" s="32"/>
      <c r="B243" s="33"/>
      <c r="C243" s="38" t="s">
        <v>53</v>
      </c>
      <c r="D243" s="37"/>
      <c r="E243" s="26">
        <f t="shared" si="158"/>
        <v>184.0621342</v>
      </c>
      <c r="F243" s="48">
        <f t="shared" ref="F243:AC243" si="160">IF(F242&gt;0,ABS(MIN(F237*0.2,ABS(F238))*F241),F242)</f>
        <v>4.0182459</v>
      </c>
      <c r="G243" s="48">
        <f t="shared" si="160"/>
        <v>10.7716648</v>
      </c>
      <c r="H243" s="48">
        <f t="shared" si="160"/>
        <v>4.91928</v>
      </c>
      <c r="I243" s="48">
        <f t="shared" si="160"/>
        <v>0.5024032</v>
      </c>
      <c r="J243" s="48">
        <f t="shared" si="160"/>
        <v>0.309268800000004</v>
      </c>
      <c r="K243" s="48">
        <f t="shared" si="160"/>
        <v>0.524445599999997</v>
      </c>
      <c r="L243" s="48">
        <f t="shared" si="160"/>
        <v>0.927230399999996</v>
      </c>
      <c r="M243" s="48">
        <f t="shared" si="160"/>
        <v>0.79102800000001</v>
      </c>
      <c r="N243" s="48">
        <f t="shared" si="160"/>
        <v>1.0647933</v>
      </c>
      <c r="O243" s="48">
        <f t="shared" si="160"/>
        <v>43.956633</v>
      </c>
      <c r="P243" s="48">
        <f t="shared" si="160"/>
        <v>25.8280344</v>
      </c>
      <c r="Q243" s="48">
        <f t="shared" si="160"/>
        <v>-38.568348</v>
      </c>
      <c r="R243" s="48">
        <f t="shared" si="160"/>
        <v>26.8274862</v>
      </c>
      <c r="S243" s="48">
        <f t="shared" si="160"/>
        <v>0</v>
      </c>
      <c r="T243" s="48">
        <f t="shared" si="160"/>
        <v>56.8532736</v>
      </c>
      <c r="U243" s="48">
        <f t="shared" si="160"/>
        <v>49.8205972</v>
      </c>
      <c r="V243" s="48">
        <f t="shared" si="160"/>
        <v>-66.075511</v>
      </c>
      <c r="W243" s="48">
        <f t="shared" si="160"/>
        <v>-18.809854</v>
      </c>
      <c r="X243" s="48">
        <f t="shared" si="160"/>
        <v>47.158202</v>
      </c>
      <c r="Y243" s="48">
        <f t="shared" si="160"/>
        <v>26.966796</v>
      </c>
      <c r="Z243" s="48">
        <f t="shared" si="160"/>
        <v>7.97234880000001</v>
      </c>
      <c r="AA243" s="48">
        <f t="shared" si="160"/>
        <v>17.50387</v>
      </c>
      <c r="AB243" s="48">
        <f t="shared" si="160"/>
        <v>-10.583535</v>
      </c>
      <c r="AC243" s="48">
        <f t="shared" si="160"/>
        <v>-8.616219</v>
      </c>
    </row>
    <row r="244" spans="1:29">
      <c r="A244" s="32"/>
      <c r="B244" s="33"/>
      <c r="C244" s="39" t="s">
        <v>50</v>
      </c>
      <c r="D244" s="37"/>
      <c r="E244" s="44">
        <f t="shared" ref="E244:AC244" si="161">E242-E243</f>
        <v>0</v>
      </c>
      <c r="F244" s="26">
        <f t="shared" si="161"/>
        <v>0</v>
      </c>
      <c r="G244" s="26">
        <f t="shared" si="161"/>
        <v>0</v>
      </c>
      <c r="H244" s="26">
        <f t="shared" si="161"/>
        <v>0</v>
      </c>
      <c r="I244" s="26">
        <f t="shared" si="161"/>
        <v>0</v>
      </c>
      <c r="J244" s="26">
        <f t="shared" si="161"/>
        <v>0</v>
      </c>
      <c r="K244" s="26">
        <f t="shared" si="161"/>
        <v>0</v>
      </c>
      <c r="L244" s="26">
        <f t="shared" si="161"/>
        <v>0</v>
      </c>
      <c r="M244" s="26">
        <f t="shared" si="161"/>
        <v>0</v>
      </c>
      <c r="N244" s="26">
        <f t="shared" si="161"/>
        <v>0</v>
      </c>
      <c r="O244" s="26">
        <f t="shared" si="161"/>
        <v>0</v>
      </c>
      <c r="P244" s="26">
        <f t="shared" si="161"/>
        <v>0</v>
      </c>
      <c r="Q244" s="26">
        <f t="shared" si="161"/>
        <v>0</v>
      </c>
      <c r="R244" s="26">
        <f t="shared" si="161"/>
        <v>0</v>
      </c>
      <c r="S244" s="26">
        <f t="shared" si="161"/>
        <v>0</v>
      </c>
      <c r="T244" s="26">
        <f t="shared" si="161"/>
        <v>0</v>
      </c>
      <c r="U244" s="26">
        <f t="shared" si="161"/>
        <v>0</v>
      </c>
      <c r="V244" s="26">
        <f t="shared" si="161"/>
        <v>0</v>
      </c>
      <c r="W244" s="26">
        <f t="shared" si="161"/>
        <v>0</v>
      </c>
      <c r="X244" s="26">
        <f t="shared" si="161"/>
        <v>0</v>
      </c>
      <c r="Y244" s="26">
        <f t="shared" si="161"/>
        <v>0</v>
      </c>
      <c r="Z244" s="26">
        <f t="shared" si="161"/>
        <v>0</v>
      </c>
      <c r="AA244" s="26">
        <f t="shared" si="161"/>
        <v>0</v>
      </c>
      <c r="AB244" s="26">
        <f t="shared" si="161"/>
        <v>0</v>
      </c>
      <c r="AC244" s="26">
        <f t="shared" si="161"/>
        <v>0</v>
      </c>
    </row>
    <row r="245" spans="1:29">
      <c r="A245" s="29">
        <v>46019</v>
      </c>
      <c r="B245" s="30">
        <f>E252</f>
        <v>99.2256358</v>
      </c>
      <c r="C245" s="31" t="s">
        <v>47</v>
      </c>
      <c r="D245" s="31" t="s">
        <v>48</v>
      </c>
      <c r="E245" s="42">
        <f t="shared" si="158"/>
        <v>44.01764</v>
      </c>
      <c r="F245" s="47">
        <v>1.65517</v>
      </c>
      <c r="G245" s="47">
        <v>1.66067</v>
      </c>
      <c r="H245" s="47">
        <v>1.60347</v>
      </c>
      <c r="I245" s="47">
        <v>1.28097</v>
      </c>
      <c r="J245" s="47">
        <v>1.26684</v>
      </c>
      <c r="K245" s="47">
        <v>1.25631</v>
      </c>
      <c r="L245" s="47">
        <v>1.13895</v>
      </c>
      <c r="M245" s="47">
        <v>1.2501</v>
      </c>
      <c r="N245" s="47">
        <v>2.70435</v>
      </c>
      <c r="O245" s="47">
        <v>3.0305</v>
      </c>
      <c r="P245" s="47">
        <v>2.86715</v>
      </c>
      <c r="Q245" s="47">
        <v>2.71777</v>
      </c>
      <c r="R245" s="47">
        <v>1.65789</v>
      </c>
      <c r="S245" s="47">
        <v>1.70676</v>
      </c>
      <c r="T245" s="47">
        <v>2.07297</v>
      </c>
      <c r="U245" s="47">
        <v>2.24604</v>
      </c>
      <c r="V245" s="47">
        <v>2.17746</v>
      </c>
      <c r="W245" s="47">
        <v>2.58544</v>
      </c>
      <c r="X245" s="47">
        <v>2.13816</v>
      </c>
      <c r="Y245" s="47">
        <v>1.93358</v>
      </c>
      <c r="Z245" s="47">
        <v>1.35072</v>
      </c>
      <c r="AA245" s="47">
        <v>1.26612</v>
      </c>
      <c r="AB245" s="47">
        <v>1.20807</v>
      </c>
      <c r="AC245" s="47">
        <v>1.24218</v>
      </c>
    </row>
    <row r="246" spans="1:29">
      <c r="A246" s="32"/>
      <c r="B246" s="33"/>
      <c r="C246" s="32"/>
      <c r="D246" s="6" t="s">
        <v>49</v>
      </c>
      <c r="E246" s="42">
        <f t="shared" si="158"/>
        <v>44.121</v>
      </c>
      <c r="F246" s="46">
        <v>1.5047</v>
      </c>
      <c r="G246" s="46">
        <v>1.5097</v>
      </c>
      <c r="H246" s="46">
        <v>1.4577</v>
      </c>
      <c r="I246" s="46">
        <v>1.4233</v>
      </c>
      <c r="J246" s="46">
        <v>1.4076</v>
      </c>
      <c r="K246" s="46">
        <v>1.3959</v>
      </c>
      <c r="L246" s="46">
        <v>1.2655</v>
      </c>
      <c r="M246" s="46">
        <v>1.389</v>
      </c>
      <c r="N246" s="46">
        <v>2.4585</v>
      </c>
      <c r="O246" s="46">
        <v>2.755</v>
      </c>
      <c r="P246" s="46">
        <v>2.6065</v>
      </c>
      <c r="Q246" s="46">
        <v>2.4707</v>
      </c>
      <c r="R246" s="46">
        <v>1.8421</v>
      </c>
      <c r="S246" s="46">
        <v>1.8964</v>
      </c>
      <c r="T246" s="46">
        <v>2.3033</v>
      </c>
      <c r="U246" s="46">
        <v>2.4956</v>
      </c>
      <c r="V246" s="46">
        <v>2.4194</v>
      </c>
      <c r="W246" s="46">
        <v>2.3504</v>
      </c>
      <c r="X246" s="46">
        <v>1.7818</v>
      </c>
      <c r="Y246" s="46">
        <v>1.7578</v>
      </c>
      <c r="Z246" s="46">
        <v>1.5008</v>
      </c>
      <c r="AA246" s="46">
        <v>1.4068</v>
      </c>
      <c r="AB246" s="46">
        <v>1.3423</v>
      </c>
      <c r="AC246" s="46">
        <v>1.3802</v>
      </c>
    </row>
    <row r="247" spans="1:29">
      <c r="A247" s="32"/>
      <c r="B247" s="33"/>
      <c r="C247" s="34"/>
      <c r="D247" s="31" t="s">
        <v>50</v>
      </c>
      <c r="E247" s="26">
        <f t="shared" ref="E247:AC247" si="162">E245-E246</f>
        <v>-0.103360000000002</v>
      </c>
      <c r="F247" s="26">
        <f t="shared" si="162"/>
        <v>0.15047</v>
      </c>
      <c r="G247" s="26">
        <f t="shared" si="162"/>
        <v>0.15097</v>
      </c>
      <c r="H247" s="26">
        <f t="shared" si="162"/>
        <v>0.14577</v>
      </c>
      <c r="I247" s="26">
        <f t="shared" si="162"/>
        <v>-0.14233</v>
      </c>
      <c r="J247" s="26">
        <f t="shared" si="162"/>
        <v>-0.14076</v>
      </c>
      <c r="K247" s="26">
        <f t="shared" si="162"/>
        <v>-0.13959</v>
      </c>
      <c r="L247" s="26">
        <f t="shared" si="162"/>
        <v>-0.12655</v>
      </c>
      <c r="M247" s="26">
        <f t="shared" si="162"/>
        <v>-0.1389</v>
      </c>
      <c r="N247" s="26">
        <f t="shared" si="162"/>
        <v>0.24585</v>
      </c>
      <c r="O247" s="26">
        <f t="shared" si="162"/>
        <v>0.2755</v>
      </c>
      <c r="P247" s="26">
        <f t="shared" si="162"/>
        <v>0.26065</v>
      </c>
      <c r="Q247" s="26">
        <f t="shared" si="162"/>
        <v>0.24707</v>
      </c>
      <c r="R247" s="26">
        <f t="shared" si="162"/>
        <v>-0.18421</v>
      </c>
      <c r="S247" s="26">
        <f t="shared" si="162"/>
        <v>-0.18964</v>
      </c>
      <c r="T247" s="26">
        <f t="shared" si="162"/>
        <v>-0.23033</v>
      </c>
      <c r="U247" s="26">
        <f t="shared" si="162"/>
        <v>-0.24956</v>
      </c>
      <c r="V247" s="26">
        <f t="shared" si="162"/>
        <v>-0.24194</v>
      </c>
      <c r="W247" s="26">
        <f t="shared" si="162"/>
        <v>0.23504</v>
      </c>
      <c r="X247" s="26">
        <f t="shared" si="162"/>
        <v>0.35636</v>
      </c>
      <c r="Y247" s="26">
        <f t="shared" si="162"/>
        <v>0.17578</v>
      </c>
      <c r="Z247" s="26">
        <f t="shared" si="162"/>
        <v>-0.15008</v>
      </c>
      <c r="AA247" s="26">
        <f t="shared" si="162"/>
        <v>-0.14068</v>
      </c>
      <c r="AB247" s="26">
        <f t="shared" si="162"/>
        <v>-0.13423</v>
      </c>
      <c r="AC247" s="26">
        <f t="shared" si="162"/>
        <v>-0.13802</v>
      </c>
    </row>
    <row r="248" spans="1:29">
      <c r="A248" s="32"/>
      <c r="B248" s="33"/>
      <c r="C248" s="35" t="s">
        <v>51</v>
      </c>
      <c r="D248" s="31" t="s">
        <v>48</v>
      </c>
      <c r="E248" s="31">
        <f>AVERAGE(F248:AC248)</f>
        <v>349.369583333333</v>
      </c>
      <c r="F248" s="43">
        <v>433.59</v>
      </c>
      <c r="G248" s="43">
        <v>428.96</v>
      </c>
      <c r="H248" s="43">
        <v>406.07</v>
      </c>
      <c r="I248" s="43">
        <v>376.25</v>
      </c>
      <c r="J248" s="43">
        <v>341.54</v>
      </c>
      <c r="K248" s="43">
        <v>323.94</v>
      </c>
      <c r="L248" s="43">
        <v>367.47</v>
      </c>
      <c r="M248" s="43">
        <v>398.22</v>
      </c>
      <c r="N248" s="43">
        <v>411.78</v>
      </c>
      <c r="O248" s="43">
        <v>340.5</v>
      </c>
      <c r="P248" s="43">
        <v>262.7</v>
      </c>
      <c r="Q248" s="43">
        <v>214.86</v>
      </c>
      <c r="R248" s="43">
        <v>109.72</v>
      </c>
      <c r="S248" s="43">
        <v>145.21</v>
      </c>
      <c r="T248" s="43">
        <v>143.56</v>
      </c>
      <c r="U248" s="43">
        <v>227.58</v>
      </c>
      <c r="V248" s="43">
        <v>317.66</v>
      </c>
      <c r="W248" s="43">
        <v>425.57</v>
      </c>
      <c r="X248" s="43">
        <v>470.09</v>
      </c>
      <c r="Y248" s="43">
        <v>484.8</v>
      </c>
      <c r="Z248" s="43">
        <v>475.46</v>
      </c>
      <c r="AA248" s="43">
        <v>481.28</v>
      </c>
      <c r="AB248" s="43">
        <v>440.7</v>
      </c>
      <c r="AC248" s="43">
        <v>357.36</v>
      </c>
    </row>
    <row r="249" spans="1:29">
      <c r="A249" s="32"/>
      <c r="B249" s="33"/>
      <c r="C249" s="32"/>
      <c r="D249" s="31" t="s">
        <v>49</v>
      </c>
      <c r="E249" s="31">
        <f>AVERAGE(F249:AC249)</f>
        <v>393.950416666667</v>
      </c>
      <c r="F249" s="43">
        <v>567.78</v>
      </c>
      <c r="G249" s="43">
        <v>453.01</v>
      </c>
      <c r="H249" s="43">
        <v>419.86</v>
      </c>
      <c r="I249" s="43">
        <v>361.53</v>
      </c>
      <c r="J249" s="43">
        <v>332.68</v>
      </c>
      <c r="K249" s="43">
        <v>322.44</v>
      </c>
      <c r="L249" s="43">
        <v>353.02</v>
      </c>
      <c r="M249" s="43">
        <v>380.29</v>
      </c>
      <c r="N249" s="43">
        <v>408.83</v>
      </c>
      <c r="O249" s="43">
        <v>299.59</v>
      </c>
      <c r="P249" s="43">
        <v>248.72</v>
      </c>
      <c r="Q249" s="43">
        <v>119.16</v>
      </c>
      <c r="R249" s="43">
        <v>0.81</v>
      </c>
      <c r="S249" s="43">
        <v>147.38</v>
      </c>
      <c r="T249" s="43">
        <v>6.28</v>
      </c>
      <c r="U249" s="43">
        <v>147.91</v>
      </c>
      <c r="V249" s="43">
        <v>382.24</v>
      </c>
      <c r="W249" s="43">
        <v>609.1</v>
      </c>
      <c r="X249" s="43">
        <v>745.78</v>
      </c>
      <c r="Y249" s="43">
        <v>611.83</v>
      </c>
      <c r="Z249" s="43">
        <v>970.49</v>
      </c>
      <c r="AA249" s="43">
        <v>722.08</v>
      </c>
      <c r="AB249" s="43">
        <v>461.2</v>
      </c>
      <c r="AC249" s="43">
        <v>382.8</v>
      </c>
    </row>
    <row r="250" spans="1:29">
      <c r="A250" s="32"/>
      <c r="B250" s="33"/>
      <c r="C250" s="34"/>
      <c r="D250" s="31" t="s">
        <v>50</v>
      </c>
      <c r="E250" s="26">
        <f t="shared" ref="E250:AC250" si="163">E248-E249</f>
        <v>-44.5808333333333</v>
      </c>
      <c r="F250" s="26">
        <f t="shared" si="163"/>
        <v>-134.19</v>
      </c>
      <c r="G250" s="26">
        <f t="shared" si="163"/>
        <v>-24.05</v>
      </c>
      <c r="H250" s="26">
        <f t="shared" si="163"/>
        <v>-13.79</v>
      </c>
      <c r="I250" s="26">
        <f t="shared" si="163"/>
        <v>14.72</v>
      </c>
      <c r="J250" s="26">
        <f t="shared" si="163"/>
        <v>8.86000000000001</v>
      </c>
      <c r="K250" s="26">
        <f t="shared" si="163"/>
        <v>1.5</v>
      </c>
      <c r="L250" s="26">
        <f t="shared" si="163"/>
        <v>14.45</v>
      </c>
      <c r="M250" s="26">
        <f t="shared" si="163"/>
        <v>17.93</v>
      </c>
      <c r="N250" s="26">
        <f t="shared" si="163"/>
        <v>2.94999999999999</v>
      </c>
      <c r="O250" s="26">
        <f t="shared" si="163"/>
        <v>40.91</v>
      </c>
      <c r="P250" s="26">
        <f t="shared" si="163"/>
        <v>13.98</v>
      </c>
      <c r="Q250" s="26">
        <f t="shared" si="163"/>
        <v>95.7</v>
      </c>
      <c r="R250" s="26">
        <f t="shared" si="163"/>
        <v>108.91</v>
      </c>
      <c r="S250" s="26">
        <f t="shared" si="163"/>
        <v>-2.16999999999999</v>
      </c>
      <c r="T250" s="26">
        <f t="shared" si="163"/>
        <v>137.28</v>
      </c>
      <c r="U250" s="26">
        <f t="shared" si="163"/>
        <v>79.67</v>
      </c>
      <c r="V250" s="26">
        <f t="shared" si="163"/>
        <v>-64.58</v>
      </c>
      <c r="W250" s="26">
        <f t="shared" si="163"/>
        <v>-183.53</v>
      </c>
      <c r="X250" s="26">
        <f t="shared" si="163"/>
        <v>-275.69</v>
      </c>
      <c r="Y250" s="26">
        <f t="shared" si="163"/>
        <v>-127.03</v>
      </c>
      <c r="Z250" s="26">
        <f t="shared" si="163"/>
        <v>-495.03</v>
      </c>
      <c r="AA250" s="26">
        <f t="shared" si="163"/>
        <v>-240.8</v>
      </c>
      <c r="AB250" s="26">
        <f t="shared" si="163"/>
        <v>-20.5</v>
      </c>
      <c r="AC250" s="26">
        <f t="shared" si="163"/>
        <v>-25.44</v>
      </c>
    </row>
    <row r="251" spans="1:29">
      <c r="A251" s="32"/>
      <c r="B251" s="33"/>
      <c r="C251" s="36" t="s">
        <v>52</v>
      </c>
      <c r="D251" s="37"/>
      <c r="E251" s="26">
        <f t="shared" ref="E251:E255" si="164">SUM(F251:AC251)</f>
        <v>99.2256358</v>
      </c>
      <c r="F251" s="48">
        <f t="shared" ref="F251:AC251" si="165">-F247*F250</f>
        <v>20.1915693</v>
      </c>
      <c r="G251" s="48">
        <f t="shared" si="165"/>
        <v>3.6308285</v>
      </c>
      <c r="H251" s="48">
        <f t="shared" si="165"/>
        <v>2.0101683</v>
      </c>
      <c r="I251" s="48">
        <f t="shared" si="165"/>
        <v>2.0950976</v>
      </c>
      <c r="J251" s="48">
        <f t="shared" si="165"/>
        <v>1.2471336</v>
      </c>
      <c r="K251" s="48">
        <f t="shared" si="165"/>
        <v>0.209385</v>
      </c>
      <c r="L251" s="48">
        <f t="shared" si="165"/>
        <v>1.82864750000001</v>
      </c>
      <c r="M251" s="48">
        <f t="shared" si="165"/>
        <v>2.490477</v>
      </c>
      <c r="N251" s="48">
        <f t="shared" si="165"/>
        <v>-0.725257499999997</v>
      </c>
      <c r="O251" s="48">
        <f t="shared" si="165"/>
        <v>-11.270705</v>
      </c>
      <c r="P251" s="48">
        <f t="shared" si="165"/>
        <v>-3.643887</v>
      </c>
      <c r="Q251" s="48">
        <f t="shared" si="165"/>
        <v>-23.644599</v>
      </c>
      <c r="R251" s="48">
        <f t="shared" si="165"/>
        <v>20.0623111</v>
      </c>
      <c r="S251" s="48">
        <f t="shared" si="165"/>
        <v>-0.411518799999998</v>
      </c>
      <c r="T251" s="48">
        <f t="shared" si="165"/>
        <v>31.6197024</v>
      </c>
      <c r="U251" s="48">
        <f t="shared" si="165"/>
        <v>19.8824452</v>
      </c>
      <c r="V251" s="48">
        <f t="shared" si="165"/>
        <v>-15.6244852</v>
      </c>
      <c r="W251" s="48">
        <f t="shared" si="165"/>
        <v>43.1368912</v>
      </c>
      <c r="X251" s="48">
        <f t="shared" si="165"/>
        <v>98.2448884</v>
      </c>
      <c r="Y251" s="48">
        <f t="shared" si="165"/>
        <v>22.3293334</v>
      </c>
      <c r="Z251" s="48">
        <f t="shared" si="165"/>
        <v>-74.2941024</v>
      </c>
      <c r="AA251" s="48">
        <f t="shared" si="165"/>
        <v>-33.875744</v>
      </c>
      <c r="AB251" s="48">
        <f t="shared" si="165"/>
        <v>-2.751715</v>
      </c>
      <c r="AC251" s="48">
        <f t="shared" si="165"/>
        <v>-3.5112288</v>
      </c>
    </row>
    <row r="252" spans="1:29">
      <c r="A252" s="32"/>
      <c r="B252" s="33"/>
      <c r="C252" s="38" t="s">
        <v>53</v>
      </c>
      <c r="D252" s="37"/>
      <c r="E252" s="26">
        <f t="shared" si="164"/>
        <v>99.2256358</v>
      </c>
      <c r="F252" s="48">
        <f t="shared" ref="F252:AC252" si="166">IF(F251&gt;0,ABS(MIN(F246*0.2,ABS(F247))*F250),F251)</f>
        <v>20.1915693</v>
      </c>
      <c r="G252" s="48">
        <f t="shared" si="166"/>
        <v>3.6308285</v>
      </c>
      <c r="H252" s="48">
        <f t="shared" si="166"/>
        <v>2.0101683</v>
      </c>
      <c r="I252" s="48">
        <f t="shared" si="166"/>
        <v>2.0950976</v>
      </c>
      <c r="J252" s="48">
        <f t="shared" si="166"/>
        <v>1.2471336</v>
      </c>
      <c r="K252" s="48">
        <f t="shared" si="166"/>
        <v>0.209385</v>
      </c>
      <c r="L252" s="48">
        <f t="shared" si="166"/>
        <v>1.82864750000001</v>
      </c>
      <c r="M252" s="48">
        <f t="shared" si="166"/>
        <v>2.490477</v>
      </c>
      <c r="N252" s="48">
        <f t="shared" si="166"/>
        <v>-0.725257499999997</v>
      </c>
      <c r="O252" s="48">
        <f t="shared" si="166"/>
        <v>-11.270705</v>
      </c>
      <c r="P252" s="48">
        <f t="shared" si="166"/>
        <v>-3.643887</v>
      </c>
      <c r="Q252" s="48">
        <f t="shared" si="166"/>
        <v>-23.644599</v>
      </c>
      <c r="R252" s="48">
        <f t="shared" si="166"/>
        <v>20.0623111</v>
      </c>
      <c r="S252" s="48">
        <f t="shared" si="166"/>
        <v>-0.411518799999998</v>
      </c>
      <c r="T252" s="48">
        <f t="shared" si="166"/>
        <v>31.6197024</v>
      </c>
      <c r="U252" s="48">
        <f t="shared" si="166"/>
        <v>19.8824452</v>
      </c>
      <c r="V252" s="48">
        <f t="shared" si="166"/>
        <v>-15.6244852</v>
      </c>
      <c r="W252" s="48">
        <f t="shared" si="166"/>
        <v>43.1368912</v>
      </c>
      <c r="X252" s="48">
        <f t="shared" si="166"/>
        <v>98.2448884</v>
      </c>
      <c r="Y252" s="48">
        <f t="shared" si="166"/>
        <v>22.3293334</v>
      </c>
      <c r="Z252" s="48">
        <f t="shared" si="166"/>
        <v>-74.2941024</v>
      </c>
      <c r="AA252" s="48">
        <f t="shared" si="166"/>
        <v>-33.875744</v>
      </c>
      <c r="AB252" s="48">
        <f t="shared" si="166"/>
        <v>-2.751715</v>
      </c>
      <c r="AC252" s="48">
        <f t="shared" si="166"/>
        <v>-3.5112288</v>
      </c>
    </row>
    <row r="253" spans="1:29">
      <c r="A253" s="32"/>
      <c r="B253" s="33"/>
      <c r="C253" s="39" t="s">
        <v>50</v>
      </c>
      <c r="D253" s="37"/>
      <c r="E253" s="44">
        <f t="shared" ref="E253:AC253" si="167">E251-E252</f>
        <v>0</v>
      </c>
      <c r="F253" s="26">
        <f t="shared" si="167"/>
        <v>0</v>
      </c>
      <c r="G253" s="26">
        <f t="shared" si="167"/>
        <v>0</v>
      </c>
      <c r="H253" s="26">
        <f t="shared" si="167"/>
        <v>0</v>
      </c>
      <c r="I253" s="26">
        <f t="shared" si="167"/>
        <v>0</v>
      </c>
      <c r="J253" s="26">
        <f t="shared" si="167"/>
        <v>0</v>
      </c>
      <c r="K253" s="26">
        <f t="shared" si="167"/>
        <v>0</v>
      </c>
      <c r="L253" s="26">
        <f t="shared" si="167"/>
        <v>0</v>
      </c>
      <c r="M253" s="26">
        <f t="shared" si="167"/>
        <v>0</v>
      </c>
      <c r="N253" s="26">
        <f t="shared" si="167"/>
        <v>0</v>
      </c>
      <c r="O253" s="26">
        <f t="shared" si="167"/>
        <v>0</v>
      </c>
      <c r="P253" s="26">
        <f t="shared" si="167"/>
        <v>0</v>
      </c>
      <c r="Q253" s="26">
        <f t="shared" si="167"/>
        <v>0</v>
      </c>
      <c r="R253" s="26">
        <f t="shared" si="167"/>
        <v>0</v>
      </c>
      <c r="S253" s="26">
        <f t="shared" si="167"/>
        <v>0</v>
      </c>
      <c r="T253" s="26">
        <f t="shared" si="167"/>
        <v>0</v>
      </c>
      <c r="U253" s="26">
        <f t="shared" si="167"/>
        <v>0</v>
      </c>
      <c r="V253" s="26">
        <f t="shared" si="167"/>
        <v>0</v>
      </c>
      <c r="W253" s="26">
        <f t="shared" si="167"/>
        <v>0</v>
      </c>
      <c r="X253" s="26">
        <f t="shared" si="167"/>
        <v>0</v>
      </c>
      <c r="Y253" s="26">
        <f t="shared" si="167"/>
        <v>0</v>
      </c>
      <c r="Z253" s="26">
        <f t="shared" si="167"/>
        <v>0</v>
      </c>
      <c r="AA253" s="26">
        <f t="shared" si="167"/>
        <v>0</v>
      </c>
      <c r="AB253" s="26">
        <f t="shared" si="167"/>
        <v>0</v>
      </c>
      <c r="AC253" s="26">
        <f t="shared" si="167"/>
        <v>0</v>
      </c>
    </row>
    <row r="254" spans="1:29">
      <c r="A254" s="29">
        <v>46020</v>
      </c>
      <c r="B254" s="30">
        <f>E261</f>
        <v>304.319401</v>
      </c>
      <c r="C254" s="31" t="s">
        <v>47</v>
      </c>
      <c r="D254" s="31" t="s">
        <v>48</v>
      </c>
      <c r="E254" s="42">
        <f t="shared" si="164"/>
        <v>53.81029</v>
      </c>
      <c r="F254" s="47">
        <v>1.48566</v>
      </c>
      <c r="G254" s="47">
        <v>1.25424</v>
      </c>
      <c r="H254" s="47">
        <v>1.17846</v>
      </c>
      <c r="I254" s="47">
        <v>1.1259</v>
      </c>
      <c r="J254" s="47">
        <v>1.11996</v>
      </c>
      <c r="K254" s="47">
        <v>1.07991</v>
      </c>
      <c r="L254" s="47">
        <v>1.08891</v>
      </c>
      <c r="M254" s="47">
        <v>1.74174</v>
      </c>
      <c r="N254" s="47">
        <v>3.68137</v>
      </c>
      <c r="O254" s="47">
        <v>3.35205</v>
      </c>
      <c r="P254" s="47">
        <v>2.94516</v>
      </c>
      <c r="Q254" s="47">
        <v>2.77227</v>
      </c>
      <c r="R254" s="47">
        <v>2.25891</v>
      </c>
      <c r="S254" s="47">
        <v>2.72943</v>
      </c>
      <c r="T254" s="47">
        <v>3.12633</v>
      </c>
      <c r="U254" s="47">
        <v>3.14145</v>
      </c>
      <c r="V254" s="47">
        <v>3.11283</v>
      </c>
      <c r="W254" s="47">
        <v>3.12291</v>
      </c>
      <c r="X254" s="47">
        <v>2.73555</v>
      </c>
      <c r="Y254" s="47">
        <v>2.943</v>
      </c>
      <c r="Z254" s="47">
        <v>2.62971</v>
      </c>
      <c r="AA254" s="47">
        <v>2.14542</v>
      </c>
      <c r="AB254" s="47">
        <v>1.62234</v>
      </c>
      <c r="AC254" s="47">
        <v>1.41678</v>
      </c>
    </row>
    <row r="255" spans="1:29">
      <c r="A255" s="32"/>
      <c r="B255" s="33"/>
      <c r="C255" s="32"/>
      <c r="D255" s="6" t="s">
        <v>49</v>
      </c>
      <c r="E255" s="42">
        <f t="shared" si="164"/>
        <v>58.3935</v>
      </c>
      <c r="F255" s="46">
        <v>1.3506</v>
      </c>
      <c r="G255" s="46">
        <v>1.3936</v>
      </c>
      <c r="H255" s="46">
        <v>1.3094</v>
      </c>
      <c r="I255" s="46">
        <v>1.251</v>
      </c>
      <c r="J255" s="46">
        <v>1.2444</v>
      </c>
      <c r="K255" s="46">
        <v>1.1999</v>
      </c>
      <c r="L255" s="46">
        <v>1.2099</v>
      </c>
      <c r="M255" s="46">
        <v>1.5834</v>
      </c>
      <c r="N255" s="46">
        <v>3.3467</v>
      </c>
      <c r="O255" s="46">
        <v>3.7245</v>
      </c>
      <c r="P255" s="46">
        <v>3.2724</v>
      </c>
      <c r="Q255" s="46">
        <v>3.0803</v>
      </c>
      <c r="R255" s="46">
        <v>2.5099</v>
      </c>
      <c r="S255" s="46">
        <v>3.0327</v>
      </c>
      <c r="T255" s="46">
        <v>3.4737</v>
      </c>
      <c r="U255" s="46">
        <v>3.4905</v>
      </c>
      <c r="V255" s="46">
        <v>3.4587</v>
      </c>
      <c r="W255" s="46">
        <v>3.4699</v>
      </c>
      <c r="X255" s="46">
        <v>3.0395</v>
      </c>
      <c r="Y255" s="46">
        <v>3.27</v>
      </c>
      <c r="Z255" s="46">
        <v>2.9219</v>
      </c>
      <c r="AA255" s="46">
        <v>2.3838</v>
      </c>
      <c r="AB255" s="46">
        <v>1.8026</v>
      </c>
      <c r="AC255" s="46">
        <v>1.5742</v>
      </c>
    </row>
    <row r="256" spans="1:29">
      <c r="A256" s="32"/>
      <c r="B256" s="33"/>
      <c r="C256" s="34"/>
      <c r="D256" s="31" t="s">
        <v>50</v>
      </c>
      <c r="E256" s="26">
        <f t="shared" ref="E256:AC256" si="168">E254-E255</f>
        <v>-4.58320999999999</v>
      </c>
      <c r="F256" s="26">
        <f t="shared" si="168"/>
        <v>0.13506</v>
      </c>
      <c r="G256" s="26">
        <f t="shared" si="168"/>
        <v>-0.13936</v>
      </c>
      <c r="H256" s="26">
        <f t="shared" si="168"/>
        <v>-0.13094</v>
      </c>
      <c r="I256" s="26">
        <f t="shared" si="168"/>
        <v>-0.1251</v>
      </c>
      <c r="J256" s="26">
        <f t="shared" si="168"/>
        <v>-0.12444</v>
      </c>
      <c r="K256" s="26">
        <f t="shared" si="168"/>
        <v>-0.11999</v>
      </c>
      <c r="L256" s="26">
        <f t="shared" si="168"/>
        <v>-0.12099</v>
      </c>
      <c r="M256" s="26">
        <f t="shared" si="168"/>
        <v>0.15834</v>
      </c>
      <c r="N256" s="26">
        <f t="shared" si="168"/>
        <v>0.33467</v>
      </c>
      <c r="O256" s="26">
        <f t="shared" si="168"/>
        <v>-0.37245</v>
      </c>
      <c r="P256" s="26">
        <f t="shared" si="168"/>
        <v>-0.32724</v>
      </c>
      <c r="Q256" s="26">
        <f t="shared" si="168"/>
        <v>-0.30803</v>
      </c>
      <c r="R256" s="26">
        <f t="shared" si="168"/>
        <v>-0.25099</v>
      </c>
      <c r="S256" s="26">
        <f t="shared" si="168"/>
        <v>-0.30327</v>
      </c>
      <c r="T256" s="26">
        <f t="shared" si="168"/>
        <v>-0.34737</v>
      </c>
      <c r="U256" s="26">
        <f t="shared" si="168"/>
        <v>-0.34905</v>
      </c>
      <c r="V256" s="26">
        <f t="shared" si="168"/>
        <v>-0.34587</v>
      </c>
      <c r="W256" s="26">
        <f t="shared" si="168"/>
        <v>-0.34699</v>
      </c>
      <c r="X256" s="26">
        <f t="shared" si="168"/>
        <v>-0.30395</v>
      </c>
      <c r="Y256" s="26">
        <f t="shared" si="168"/>
        <v>-0.327</v>
      </c>
      <c r="Z256" s="26">
        <f t="shared" si="168"/>
        <v>-0.29219</v>
      </c>
      <c r="AA256" s="26">
        <f t="shared" si="168"/>
        <v>-0.23838</v>
      </c>
      <c r="AB256" s="26">
        <f t="shared" si="168"/>
        <v>-0.18026</v>
      </c>
      <c r="AC256" s="26">
        <f t="shared" si="168"/>
        <v>-0.15742</v>
      </c>
    </row>
    <row r="257" spans="1:29">
      <c r="A257" s="32"/>
      <c r="B257" s="33"/>
      <c r="C257" s="35" t="s">
        <v>51</v>
      </c>
      <c r="D257" s="31" t="s">
        <v>48</v>
      </c>
      <c r="E257" s="31">
        <f>AVERAGE(F257:AC257)</f>
        <v>351.8025</v>
      </c>
      <c r="F257" s="43">
        <v>357.17</v>
      </c>
      <c r="G257" s="43">
        <v>332.35</v>
      </c>
      <c r="H257" s="43">
        <v>322.13</v>
      </c>
      <c r="I257" s="43">
        <v>296.16</v>
      </c>
      <c r="J257" s="43">
        <v>294.99</v>
      </c>
      <c r="K257" s="43">
        <v>293.18</v>
      </c>
      <c r="L257" s="43">
        <v>327.58</v>
      </c>
      <c r="M257" s="43">
        <v>366.96</v>
      </c>
      <c r="N257" s="43">
        <v>390.52</v>
      </c>
      <c r="O257" s="43">
        <v>366.12</v>
      </c>
      <c r="P257" s="43">
        <v>279.74</v>
      </c>
      <c r="Q257" s="43">
        <v>241.82</v>
      </c>
      <c r="R257" s="43">
        <v>160.18</v>
      </c>
      <c r="S257" s="43">
        <v>214.27</v>
      </c>
      <c r="T257" s="43">
        <v>230.98</v>
      </c>
      <c r="U257" s="43">
        <v>263.2</v>
      </c>
      <c r="V257" s="43">
        <v>342.65</v>
      </c>
      <c r="W257" s="43">
        <v>408.91</v>
      </c>
      <c r="X257" s="43">
        <v>555.33</v>
      </c>
      <c r="Y257" s="43">
        <v>646.88</v>
      </c>
      <c r="Z257" s="43">
        <v>565.37</v>
      </c>
      <c r="AA257" s="43">
        <v>438.17</v>
      </c>
      <c r="AB257" s="43">
        <v>403.95</v>
      </c>
      <c r="AC257" s="43">
        <v>344.65</v>
      </c>
    </row>
    <row r="258" spans="1:29">
      <c r="A258" s="32"/>
      <c r="B258" s="33"/>
      <c r="C258" s="32"/>
      <c r="D258" s="31" t="s">
        <v>49</v>
      </c>
      <c r="E258" s="31">
        <f>AVERAGE(F258:AC258)</f>
        <v>310.340833333333</v>
      </c>
      <c r="F258" s="43">
        <v>385.13</v>
      </c>
      <c r="G258" s="43">
        <v>322.65</v>
      </c>
      <c r="H258" s="43">
        <v>313.98</v>
      </c>
      <c r="I258" s="43">
        <v>292.83</v>
      </c>
      <c r="J258" s="43">
        <v>281.8</v>
      </c>
      <c r="K258" s="43">
        <v>279.76</v>
      </c>
      <c r="L258" s="43">
        <v>325.92</v>
      </c>
      <c r="M258" s="43">
        <v>361.99</v>
      </c>
      <c r="N258" s="43">
        <v>404.72</v>
      </c>
      <c r="O258" s="43">
        <v>336.81</v>
      </c>
      <c r="P258" s="43">
        <v>259.86</v>
      </c>
      <c r="Q258" s="43">
        <v>187.48</v>
      </c>
      <c r="R258" s="43">
        <v>-5.75</v>
      </c>
      <c r="S258" s="43">
        <v>100.61</v>
      </c>
      <c r="T258" s="43">
        <v>190.37</v>
      </c>
      <c r="U258" s="43">
        <v>246.71</v>
      </c>
      <c r="V258" s="43">
        <v>320.89</v>
      </c>
      <c r="W258" s="43">
        <v>395.23</v>
      </c>
      <c r="X258" s="43">
        <v>466.81</v>
      </c>
      <c r="Y258" s="43">
        <v>435.25</v>
      </c>
      <c r="Z258" s="43">
        <v>427.11</v>
      </c>
      <c r="AA258" s="43">
        <v>445.31</v>
      </c>
      <c r="AB258" s="43">
        <v>354.65</v>
      </c>
      <c r="AC258" s="43">
        <v>318.06</v>
      </c>
    </row>
    <row r="259" spans="1:29">
      <c r="A259" s="32"/>
      <c r="B259" s="33"/>
      <c r="C259" s="34"/>
      <c r="D259" s="31" t="s">
        <v>50</v>
      </c>
      <c r="E259" s="26">
        <f t="shared" ref="E259:AC259" si="169">E257-E258</f>
        <v>41.4616666666666</v>
      </c>
      <c r="F259" s="26">
        <f t="shared" si="169"/>
        <v>-27.96</v>
      </c>
      <c r="G259" s="26">
        <f t="shared" si="169"/>
        <v>9.70000000000005</v>
      </c>
      <c r="H259" s="26">
        <f t="shared" si="169"/>
        <v>8.14999999999998</v>
      </c>
      <c r="I259" s="26">
        <f t="shared" si="169"/>
        <v>3.33000000000004</v>
      </c>
      <c r="J259" s="26">
        <f t="shared" si="169"/>
        <v>13.19</v>
      </c>
      <c r="K259" s="26">
        <f t="shared" si="169"/>
        <v>13.42</v>
      </c>
      <c r="L259" s="26">
        <f t="shared" si="169"/>
        <v>1.65999999999997</v>
      </c>
      <c r="M259" s="26">
        <f t="shared" si="169"/>
        <v>4.96999999999997</v>
      </c>
      <c r="N259" s="26">
        <f t="shared" si="169"/>
        <v>-14.2</v>
      </c>
      <c r="O259" s="26">
        <f t="shared" si="169"/>
        <v>29.31</v>
      </c>
      <c r="P259" s="26">
        <f t="shared" si="169"/>
        <v>19.88</v>
      </c>
      <c r="Q259" s="26">
        <f t="shared" si="169"/>
        <v>54.34</v>
      </c>
      <c r="R259" s="26">
        <f t="shared" si="169"/>
        <v>165.93</v>
      </c>
      <c r="S259" s="26">
        <f t="shared" si="169"/>
        <v>113.66</v>
      </c>
      <c r="T259" s="26">
        <f t="shared" si="169"/>
        <v>40.61</v>
      </c>
      <c r="U259" s="26">
        <f t="shared" si="169"/>
        <v>16.49</v>
      </c>
      <c r="V259" s="26">
        <f t="shared" si="169"/>
        <v>21.76</v>
      </c>
      <c r="W259" s="26">
        <f t="shared" si="169"/>
        <v>13.68</v>
      </c>
      <c r="X259" s="26">
        <f t="shared" si="169"/>
        <v>88.52</v>
      </c>
      <c r="Y259" s="26">
        <f t="shared" si="169"/>
        <v>211.63</v>
      </c>
      <c r="Z259" s="26">
        <f t="shared" si="169"/>
        <v>138.26</v>
      </c>
      <c r="AA259" s="26">
        <f t="shared" si="169"/>
        <v>-7.13999999999999</v>
      </c>
      <c r="AB259" s="26">
        <f t="shared" si="169"/>
        <v>49.3</v>
      </c>
      <c r="AC259" s="26">
        <f t="shared" si="169"/>
        <v>26.59</v>
      </c>
    </row>
    <row r="260" spans="1:29">
      <c r="A260" s="32"/>
      <c r="B260" s="33"/>
      <c r="C260" s="36" t="s">
        <v>52</v>
      </c>
      <c r="D260" s="37"/>
      <c r="E260" s="26">
        <f t="shared" ref="E260:E264" si="170">SUM(F260:AC260)</f>
        <v>304.319401</v>
      </c>
      <c r="F260" s="48">
        <f t="shared" ref="F260:AC260" si="171">-F256*F259</f>
        <v>3.7762776</v>
      </c>
      <c r="G260" s="48">
        <f t="shared" si="171"/>
        <v>1.35179200000001</v>
      </c>
      <c r="H260" s="48">
        <f t="shared" si="171"/>
        <v>1.067161</v>
      </c>
      <c r="I260" s="48">
        <f t="shared" si="171"/>
        <v>0.416583000000005</v>
      </c>
      <c r="J260" s="48">
        <f t="shared" si="171"/>
        <v>1.6413636</v>
      </c>
      <c r="K260" s="48">
        <f t="shared" si="171"/>
        <v>1.6102658</v>
      </c>
      <c r="L260" s="48">
        <f t="shared" si="171"/>
        <v>0.200843399999996</v>
      </c>
      <c r="M260" s="48">
        <f t="shared" si="171"/>
        <v>-0.786949799999996</v>
      </c>
      <c r="N260" s="48">
        <f t="shared" si="171"/>
        <v>4.75231400000002</v>
      </c>
      <c r="O260" s="48">
        <f t="shared" si="171"/>
        <v>10.9165095</v>
      </c>
      <c r="P260" s="48">
        <f t="shared" si="171"/>
        <v>6.5055312</v>
      </c>
      <c r="Q260" s="48">
        <f t="shared" si="171"/>
        <v>16.7383502</v>
      </c>
      <c r="R260" s="48">
        <f t="shared" si="171"/>
        <v>41.6467707</v>
      </c>
      <c r="S260" s="48">
        <f t="shared" si="171"/>
        <v>34.4696682</v>
      </c>
      <c r="T260" s="48">
        <f t="shared" si="171"/>
        <v>14.1066957</v>
      </c>
      <c r="U260" s="48">
        <f t="shared" si="171"/>
        <v>5.75583449999999</v>
      </c>
      <c r="V260" s="48">
        <f t="shared" si="171"/>
        <v>7.52613119999999</v>
      </c>
      <c r="W260" s="48">
        <f t="shared" si="171"/>
        <v>4.7468232</v>
      </c>
      <c r="X260" s="48">
        <f t="shared" si="171"/>
        <v>26.905654</v>
      </c>
      <c r="Y260" s="48">
        <f t="shared" si="171"/>
        <v>69.20301</v>
      </c>
      <c r="Z260" s="48">
        <f t="shared" si="171"/>
        <v>40.3981894</v>
      </c>
      <c r="AA260" s="48">
        <f t="shared" si="171"/>
        <v>-1.7020332</v>
      </c>
      <c r="AB260" s="48">
        <f t="shared" si="171"/>
        <v>8.88681800000001</v>
      </c>
      <c r="AC260" s="48">
        <f t="shared" si="171"/>
        <v>4.1857978</v>
      </c>
    </row>
    <row r="261" spans="1:29">
      <c r="A261" s="32"/>
      <c r="B261" s="33"/>
      <c r="C261" s="38" t="s">
        <v>53</v>
      </c>
      <c r="D261" s="37"/>
      <c r="E261" s="26">
        <f t="shared" si="170"/>
        <v>304.319401</v>
      </c>
      <c r="F261" s="48">
        <f t="shared" ref="F261:AC261" si="172">IF(F260&gt;0,ABS(MIN(F255*0.2,ABS(F256))*F259),F260)</f>
        <v>3.7762776</v>
      </c>
      <c r="G261" s="48">
        <f t="shared" si="172"/>
        <v>1.35179200000001</v>
      </c>
      <c r="H261" s="48">
        <f t="shared" si="172"/>
        <v>1.067161</v>
      </c>
      <c r="I261" s="48">
        <f t="shared" si="172"/>
        <v>0.416583000000005</v>
      </c>
      <c r="J261" s="48">
        <f t="shared" si="172"/>
        <v>1.6413636</v>
      </c>
      <c r="K261" s="48">
        <f t="shared" si="172"/>
        <v>1.6102658</v>
      </c>
      <c r="L261" s="48">
        <f t="shared" si="172"/>
        <v>0.200843399999996</v>
      </c>
      <c r="M261" s="48">
        <f t="shared" si="172"/>
        <v>-0.786949799999996</v>
      </c>
      <c r="N261" s="48">
        <f t="shared" si="172"/>
        <v>4.75231400000002</v>
      </c>
      <c r="O261" s="48">
        <f t="shared" si="172"/>
        <v>10.9165095</v>
      </c>
      <c r="P261" s="48">
        <f t="shared" si="172"/>
        <v>6.5055312</v>
      </c>
      <c r="Q261" s="48">
        <f t="shared" si="172"/>
        <v>16.7383502</v>
      </c>
      <c r="R261" s="48">
        <f t="shared" si="172"/>
        <v>41.6467707</v>
      </c>
      <c r="S261" s="48">
        <f t="shared" si="172"/>
        <v>34.4696682</v>
      </c>
      <c r="T261" s="48">
        <f t="shared" si="172"/>
        <v>14.1066957</v>
      </c>
      <c r="U261" s="48">
        <f t="shared" si="172"/>
        <v>5.75583449999999</v>
      </c>
      <c r="V261" s="48">
        <f t="shared" si="172"/>
        <v>7.52613119999999</v>
      </c>
      <c r="W261" s="48">
        <f t="shared" si="172"/>
        <v>4.7468232</v>
      </c>
      <c r="X261" s="48">
        <f t="shared" si="172"/>
        <v>26.905654</v>
      </c>
      <c r="Y261" s="48">
        <f t="shared" si="172"/>
        <v>69.20301</v>
      </c>
      <c r="Z261" s="48">
        <f t="shared" si="172"/>
        <v>40.3981894</v>
      </c>
      <c r="AA261" s="48">
        <f t="shared" si="172"/>
        <v>-1.7020332</v>
      </c>
      <c r="AB261" s="48">
        <f t="shared" si="172"/>
        <v>8.88681800000001</v>
      </c>
      <c r="AC261" s="48">
        <f t="shared" si="172"/>
        <v>4.1857978</v>
      </c>
    </row>
    <row r="262" spans="1:29">
      <c r="A262" s="32"/>
      <c r="B262" s="33"/>
      <c r="C262" s="39" t="s">
        <v>50</v>
      </c>
      <c r="D262" s="37"/>
      <c r="E262" s="44">
        <f t="shared" ref="E262:AC262" si="173">E260-E261</f>
        <v>0</v>
      </c>
      <c r="F262" s="26">
        <f t="shared" si="173"/>
        <v>0</v>
      </c>
      <c r="G262" s="26">
        <f t="shared" si="173"/>
        <v>0</v>
      </c>
      <c r="H262" s="26">
        <f t="shared" si="173"/>
        <v>0</v>
      </c>
      <c r="I262" s="26">
        <f t="shared" si="173"/>
        <v>0</v>
      </c>
      <c r="J262" s="26">
        <f t="shared" si="173"/>
        <v>0</v>
      </c>
      <c r="K262" s="26">
        <f t="shared" si="173"/>
        <v>0</v>
      </c>
      <c r="L262" s="26">
        <f t="shared" si="173"/>
        <v>0</v>
      </c>
      <c r="M262" s="26">
        <f t="shared" si="173"/>
        <v>0</v>
      </c>
      <c r="N262" s="26">
        <f t="shared" si="173"/>
        <v>0</v>
      </c>
      <c r="O262" s="26">
        <f t="shared" si="173"/>
        <v>0</v>
      </c>
      <c r="P262" s="26">
        <f t="shared" si="173"/>
        <v>0</v>
      </c>
      <c r="Q262" s="26">
        <f t="shared" si="173"/>
        <v>0</v>
      </c>
      <c r="R262" s="26">
        <f t="shared" si="173"/>
        <v>0</v>
      </c>
      <c r="S262" s="26">
        <f t="shared" si="173"/>
        <v>0</v>
      </c>
      <c r="T262" s="26">
        <f t="shared" si="173"/>
        <v>0</v>
      </c>
      <c r="U262" s="26">
        <f t="shared" si="173"/>
        <v>0</v>
      </c>
      <c r="V262" s="26">
        <f t="shared" si="173"/>
        <v>0</v>
      </c>
      <c r="W262" s="26">
        <f t="shared" si="173"/>
        <v>0</v>
      </c>
      <c r="X262" s="26">
        <f t="shared" si="173"/>
        <v>0</v>
      </c>
      <c r="Y262" s="26">
        <f t="shared" si="173"/>
        <v>0</v>
      </c>
      <c r="Z262" s="26">
        <f t="shared" si="173"/>
        <v>0</v>
      </c>
      <c r="AA262" s="26">
        <f t="shared" si="173"/>
        <v>0</v>
      </c>
      <c r="AB262" s="26">
        <f t="shared" si="173"/>
        <v>0</v>
      </c>
      <c r="AC262" s="26">
        <f t="shared" si="173"/>
        <v>0</v>
      </c>
    </row>
    <row r="263" spans="1:29">
      <c r="A263" s="29">
        <v>46021</v>
      </c>
      <c r="B263" s="30">
        <f>E270</f>
        <v>163.872723</v>
      </c>
      <c r="C263" s="31" t="s">
        <v>47</v>
      </c>
      <c r="D263" s="31" t="s">
        <v>48</v>
      </c>
      <c r="E263" s="42">
        <f t="shared" si="170"/>
        <v>57.35882</v>
      </c>
      <c r="F263" s="47">
        <v>1.44855</v>
      </c>
      <c r="G263" s="47">
        <v>1.39842</v>
      </c>
      <c r="H263" s="47">
        <v>1.47087</v>
      </c>
      <c r="I263" s="47">
        <v>1.36062</v>
      </c>
      <c r="J263" s="47">
        <v>1.39788</v>
      </c>
      <c r="K263" s="47">
        <v>1.40274</v>
      </c>
      <c r="L263" s="47">
        <v>1.38726</v>
      </c>
      <c r="M263" s="47">
        <v>1.6416</v>
      </c>
      <c r="N263" s="47">
        <v>3.30291</v>
      </c>
      <c r="O263" s="47">
        <v>3.43881</v>
      </c>
      <c r="P263" s="47">
        <v>3.03075</v>
      </c>
      <c r="Q263" s="47">
        <v>2.71701</v>
      </c>
      <c r="R263" s="47">
        <v>2.27835</v>
      </c>
      <c r="S263" s="47">
        <v>2.72286</v>
      </c>
      <c r="T263" s="47">
        <v>3.18753</v>
      </c>
      <c r="U263" s="47">
        <v>3.09654</v>
      </c>
      <c r="V263" s="47">
        <v>3.06828</v>
      </c>
      <c r="W263" s="47">
        <v>3.3272</v>
      </c>
      <c r="X263" s="47">
        <v>3.65472</v>
      </c>
      <c r="Y263" s="47">
        <v>3.67368</v>
      </c>
      <c r="Z263" s="47">
        <v>2.7636</v>
      </c>
      <c r="AA263" s="47">
        <v>2.29806</v>
      </c>
      <c r="AB263" s="47">
        <v>1.80603</v>
      </c>
      <c r="AC263" s="47">
        <v>1.48455</v>
      </c>
    </row>
    <row r="264" spans="1:29">
      <c r="A264" s="32"/>
      <c r="B264" s="33"/>
      <c r="C264" s="32"/>
      <c r="D264" s="6" t="s">
        <v>49</v>
      </c>
      <c r="E264" s="42">
        <f t="shared" si="170"/>
        <v>61.0196</v>
      </c>
      <c r="F264" s="46">
        <v>1.6095</v>
      </c>
      <c r="G264" s="46">
        <v>1.5538</v>
      </c>
      <c r="H264" s="46">
        <v>1.6343</v>
      </c>
      <c r="I264" s="46">
        <v>1.5118</v>
      </c>
      <c r="J264" s="46">
        <v>1.5532</v>
      </c>
      <c r="K264" s="46">
        <v>1.5586</v>
      </c>
      <c r="L264" s="46">
        <v>1.5414</v>
      </c>
      <c r="M264" s="46">
        <v>1.824</v>
      </c>
      <c r="N264" s="46">
        <v>3.6699</v>
      </c>
      <c r="O264" s="46">
        <v>3.8209</v>
      </c>
      <c r="P264" s="46">
        <v>3.3675</v>
      </c>
      <c r="Q264" s="46">
        <v>3.0189</v>
      </c>
      <c r="R264" s="46">
        <v>2.5315</v>
      </c>
      <c r="S264" s="46">
        <v>3.0254</v>
      </c>
      <c r="T264" s="46">
        <v>3.5417</v>
      </c>
      <c r="U264" s="46">
        <v>3.4406</v>
      </c>
      <c r="V264" s="46">
        <v>3.4092</v>
      </c>
      <c r="W264" s="46">
        <v>3.3272</v>
      </c>
      <c r="X264" s="46">
        <v>3.0456</v>
      </c>
      <c r="Y264" s="46">
        <v>3.0614</v>
      </c>
      <c r="Z264" s="46">
        <v>2.7636</v>
      </c>
      <c r="AA264" s="46">
        <v>2.5534</v>
      </c>
      <c r="AB264" s="46">
        <v>2.0067</v>
      </c>
      <c r="AC264" s="46">
        <v>1.6495</v>
      </c>
    </row>
    <row r="265" spans="1:29">
      <c r="A265" s="32"/>
      <c r="B265" s="33"/>
      <c r="C265" s="34"/>
      <c r="D265" s="31" t="s">
        <v>50</v>
      </c>
      <c r="E265" s="26">
        <f t="shared" ref="E265:AC265" si="174">E263-E264</f>
        <v>-3.66078000000002</v>
      </c>
      <c r="F265" s="26">
        <f t="shared" si="174"/>
        <v>-0.16095</v>
      </c>
      <c r="G265" s="26">
        <f t="shared" si="174"/>
        <v>-0.15538</v>
      </c>
      <c r="H265" s="26">
        <f t="shared" si="174"/>
        <v>-0.16343</v>
      </c>
      <c r="I265" s="26">
        <f t="shared" si="174"/>
        <v>-0.15118</v>
      </c>
      <c r="J265" s="26">
        <f t="shared" si="174"/>
        <v>-0.15532</v>
      </c>
      <c r="K265" s="26">
        <f t="shared" si="174"/>
        <v>-0.15586</v>
      </c>
      <c r="L265" s="26">
        <f t="shared" si="174"/>
        <v>-0.15414</v>
      </c>
      <c r="M265" s="26">
        <f t="shared" si="174"/>
        <v>-0.1824</v>
      </c>
      <c r="N265" s="26">
        <f t="shared" si="174"/>
        <v>-0.36699</v>
      </c>
      <c r="O265" s="26">
        <f t="shared" si="174"/>
        <v>-0.38209</v>
      </c>
      <c r="P265" s="26">
        <f t="shared" si="174"/>
        <v>-0.33675</v>
      </c>
      <c r="Q265" s="26">
        <f t="shared" si="174"/>
        <v>-0.30189</v>
      </c>
      <c r="R265" s="26">
        <f t="shared" si="174"/>
        <v>-0.25315</v>
      </c>
      <c r="S265" s="26">
        <f t="shared" si="174"/>
        <v>-0.30254</v>
      </c>
      <c r="T265" s="26">
        <f t="shared" si="174"/>
        <v>-0.35417</v>
      </c>
      <c r="U265" s="26">
        <f t="shared" si="174"/>
        <v>-0.34406</v>
      </c>
      <c r="V265" s="26">
        <f t="shared" si="174"/>
        <v>-0.34092</v>
      </c>
      <c r="W265" s="26">
        <f t="shared" si="174"/>
        <v>0</v>
      </c>
      <c r="X265" s="26">
        <f t="shared" si="174"/>
        <v>0.60912</v>
      </c>
      <c r="Y265" s="26">
        <f t="shared" si="174"/>
        <v>0.61228</v>
      </c>
      <c r="Z265" s="26">
        <f t="shared" si="174"/>
        <v>0</v>
      </c>
      <c r="AA265" s="26">
        <f t="shared" si="174"/>
        <v>-0.25534</v>
      </c>
      <c r="AB265" s="26">
        <f t="shared" si="174"/>
        <v>-0.20067</v>
      </c>
      <c r="AC265" s="26">
        <f t="shared" si="174"/>
        <v>-0.16495</v>
      </c>
    </row>
    <row r="266" spans="1:29">
      <c r="A266" s="32"/>
      <c r="B266" s="33"/>
      <c r="C266" s="35" t="s">
        <v>51</v>
      </c>
      <c r="D266" s="31" t="s">
        <v>48</v>
      </c>
      <c r="E266" s="31">
        <f>AVERAGE(F266:AC266)</f>
        <v>343.850416666667</v>
      </c>
      <c r="F266" s="43">
        <v>376.68</v>
      </c>
      <c r="G266" s="43">
        <v>351.81</v>
      </c>
      <c r="H266" s="43">
        <v>343.8</v>
      </c>
      <c r="I266" s="43">
        <v>331.16</v>
      </c>
      <c r="J266" s="43">
        <v>319.1</v>
      </c>
      <c r="K266" s="43">
        <v>315.61</v>
      </c>
      <c r="L266" s="43">
        <v>341.89</v>
      </c>
      <c r="M266" s="43">
        <v>366.14</v>
      </c>
      <c r="N266" s="43">
        <v>394.12</v>
      </c>
      <c r="O266" s="43">
        <v>359.05</v>
      </c>
      <c r="P266" s="43">
        <v>290.6</v>
      </c>
      <c r="Q266" s="43">
        <v>247.11</v>
      </c>
      <c r="R266" s="43">
        <v>152.1</v>
      </c>
      <c r="S266" s="43">
        <v>234.7</v>
      </c>
      <c r="T266" s="43">
        <v>243.43</v>
      </c>
      <c r="U266" s="43">
        <v>261.97</v>
      </c>
      <c r="V266" s="43">
        <v>320.96</v>
      </c>
      <c r="W266" s="43">
        <v>384.64</v>
      </c>
      <c r="X266" s="43">
        <v>442.28</v>
      </c>
      <c r="Y266" s="43">
        <v>568.37</v>
      </c>
      <c r="Z266" s="43">
        <v>482.02</v>
      </c>
      <c r="AA266" s="43">
        <v>420.29</v>
      </c>
      <c r="AB266" s="43">
        <v>374.43</v>
      </c>
      <c r="AC266" s="43">
        <v>330.15</v>
      </c>
    </row>
    <row r="267" spans="1:29">
      <c r="A267" s="32"/>
      <c r="B267" s="33"/>
      <c r="C267" s="32"/>
      <c r="D267" s="31" t="s">
        <v>49</v>
      </c>
      <c r="E267" s="31">
        <f>AVERAGE(F267:AC267)</f>
        <v>272.42875</v>
      </c>
      <c r="F267" s="43">
        <v>365.91</v>
      </c>
      <c r="G267" s="43">
        <v>328.13</v>
      </c>
      <c r="H267" s="43">
        <v>317.37</v>
      </c>
      <c r="I267" s="43">
        <v>321.2</v>
      </c>
      <c r="J267" s="43">
        <v>321.35</v>
      </c>
      <c r="K267" s="43">
        <v>313.5</v>
      </c>
      <c r="L267" s="43">
        <v>341.12</v>
      </c>
      <c r="M267" s="43">
        <v>374.35</v>
      </c>
      <c r="N267" s="43">
        <v>374.92</v>
      </c>
      <c r="O267" s="43">
        <v>319.55</v>
      </c>
      <c r="P267" s="43">
        <v>218.02</v>
      </c>
      <c r="Q267" s="43">
        <v>136.46</v>
      </c>
      <c r="R267" s="43">
        <v>-31.03</v>
      </c>
      <c r="S267" s="43">
        <v>-15.67</v>
      </c>
      <c r="T267" s="43">
        <v>3.43</v>
      </c>
      <c r="U267" s="43">
        <v>171.69</v>
      </c>
      <c r="V267" s="43">
        <v>291.89</v>
      </c>
      <c r="W267" s="43">
        <v>365.88</v>
      </c>
      <c r="X267" s="43">
        <v>341</v>
      </c>
      <c r="Y267" s="43">
        <v>335.8</v>
      </c>
      <c r="Z267" s="43">
        <v>353.13</v>
      </c>
      <c r="AA267" s="43">
        <v>350.23</v>
      </c>
      <c r="AB267" s="43">
        <v>331.64</v>
      </c>
      <c r="AC267" s="43">
        <v>308.42</v>
      </c>
    </row>
    <row r="268" spans="1:29">
      <c r="A268" s="32"/>
      <c r="B268" s="33"/>
      <c r="C268" s="34"/>
      <c r="D268" s="31" t="s">
        <v>50</v>
      </c>
      <c r="E268" s="26">
        <f t="shared" ref="E268:AC268" si="175">E266-E267</f>
        <v>71.4216666666667</v>
      </c>
      <c r="F268" s="26">
        <f t="shared" si="175"/>
        <v>10.77</v>
      </c>
      <c r="G268" s="26">
        <f t="shared" si="175"/>
        <v>23.68</v>
      </c>
      <c r="H268" s="26">
        <f t="shared" si="175"/>
        <v>26.43</v>
      </c>
      <c r="I268" s="26">
        <f t="shared" si="175"/>
        <v>9.96000000000004</v>
      </c>
      <c r="J268" s="26">
        <f t="shared" si="175"/>
        <v>-2.25</v>
      </c>
      <c r="K268" s="26">
        <f t="shared" si="175"/>
        <v>2.11000000000001</v>
      </c>
      <c r="L268" s="26">
        <f t="shared" si="175"/>
        <v>0.769999999999982</v>
      </c>
      <c r="M268" s="26">
        <f t="shared" si="175"/>
        <v>-8.21000000000004</v>
      </c>
      <c r="N268" s="26">
        <f t="shared" si="175"/>
        <v>19.2</v>
      </c>
      <c r="O268" s="26">
        <f t="shared" si="175"/>
        <v>39.5</v>
      </c>
      <c r="P268" s="26">
        <f t="shared" si="175"/>
        <v>72.58</v>
      </c>
      <c r="Q268" s="26">
        <f t="shared" si="175"/>
        <v>110.65</v>
      </c>
      <c r="R268" s="26">
        <f t="shared" si="175"/>
        <v>183.13</v>
      </c>
      <c r="S268" s="26">
        <f t="shared" si="175"/>
        <v>250.37</v>
      </c>
      <c r="T268" s="26">
        <f t="shared" si="175"/>
        <v>240</v>
      </c>
      <c r="U268" s="26">
        <f t="shared" si="175"/>
        <v>90.28</v>
      </c>
      <c r="V268" s="26">
        <f t="shared" si="175"/>
        <v>29.07</v>
      </c>
      <c r="W268" s="26">
        <f t="shared" si="175"/>
        <v>18.76</v>
      </c>
      <c r="X268" s="26">
        <f t="shared" si="175"/>
        <v>101.28</v>
      </c>
      <c r="Y268" s="26">
        <f t="shared" si="175"/>
        <v>232.57</v>
      </c>
      <c r="Z268" s="26">
        <f t="shared" si="175"/>
        <v>128.89</v>
      </c>
      <c r="AA268" s="26">
        <f t="shared" si="175"/>
        <v>70.06</v>
      </c>
      <c r="AB268" s="26">
        <f t="shared" si="175"/>
        <v>42.79</v>
      </c>
      <c r="AC268" s="26">
        <f t="shared" si="175"/>
        <v>21.73</v>
      </c>
    </row>
    <row r="269" spans="1:29">
      <c r="A269" s="32"/>
      <c r="B269" s="33"/>
      <c r="C269" s="36" t="s">
        <v>52</v>
      </c>
      <c r="D269" s="37"/>
      <c r="E269" s="26">
        <f t="shared" ref="E269:E273" si="176">SUM(F269:AC269)</f>
        <v>163.872723</v>
      </c>
      <c r="F269" s="48">
        <f t="shared" ref="F269:AC269" si="177">-F265*F268</f>
        <v>1.7334315</v>
      </c>
      <c r="G269" s="48">
        <f t="shared" si="177"/>
        <v>3.6793984</v>
      </c>
      <c r="H269" s="48">
        <f t="shared" si="177"/>
        <v>4.31945490000001</v>
      </c>
      <c r="I269" s="48">
        <f t="shared" si="177"/>
        <v>1.50575280000001</v>
      </c>
      <c r="J269" s="48">
        <f t="shared" si="177"/>
        <v>-0.34947</v>
      </c>
      <c r="K269" s="48">
        <f t="shared" si="177"/>
        <v>0.328864600000002</v>
      </c>
      <c r="L269" s="48">
        <f t="shared" si="177"/>
        <v>0.118687799999997</v>
      </c>
      <c r="M269" s="48">
        <f t="shared" si="177"/>
        <v>-1.49750400000001</v>
      </c>
      <c r="N269" s="48">
        <f t="shared" si="177"/>
        <v>7.046208</v>
      </c>
      <c r="O269" s="48">
        <f t="shared" si="177"/>
        <v>15.092555</v>
      </c>
      <c r="P269" s="48">
        <f t="shared" si="177"/>
        <v>24.441315</v>
      </c>
      <c r="Q269" s="48">
        <f t="shared" si="177"/>
        <v>33.4041285</v>
      </c>
      <c r="R269" s="48">
        <f t="shared" si="177"/>
        <v>46.3593595</v>
      </c>
      <c r="S269" s="48">
        <f t="shared" si="177"/>
        <v>75.7469398</v>
      </c>
      <c r="T269" s="48">
        <f t="shared" si="177"/>
        <v>85.0008</v>
      </c>
      <c r="U269" s="48">
        <f t="shared" si="177"/>
        <v>31.0617368</v>
      </c>
      <c r="V269" s="48">
        <f t="shared" si="177"/>
        <v>9.91054439999999</v>
      </c>
      <c r="W269" s="48">
        <f t="shared" si="177"/>
        <v>0</v>
      </c>
      <c r="X269" s="48">
        <f t="shared" si="177"/>
        <v>-61.6916736</v>
      </c>
      <c r="Y269" s="48">
        <f t="shared" si="177"/>
        <v>-142.3979596</v>
      </c>
      <c r="Z269" s="48">
        <f t="shared" si="177"/>
        <v>0</v>
      </c>
      <c r="AA269" s="48">
        <f t="shared" si="177"/>
        <v>17.8891204</v>
      </c>
      <c r="AB269" s="48">
        <f t="shared" si="177"/>
        <v>8.5866693</v>
      </c>
      <c r="AC269" s="48">
        <f t="shared" si="177"/>
        <v>3.58436349999999</v>
      </c>
    </row>
    <row r="270" spans="1:29">
      <c r="A270" s="32"/>
      <c r="B270" s="33"/>
      <c r="C270" s="38" t="s">
        <v>54</v>
      </c>
      <c r="D270" s="37"/>
      <c r="E270" s="26">
        <f t="shared" si="176"/>
        <v>163.872723</v>
      </c>
      <c r="F270" s="48">
        <f t="shared" ref="F270:AC270" si="178">IF(F269&gt;0,ABS(MIN(F264*0.2,ABS(F265))*F268),F269)</f>
        <v>1.7334315</v>
      </c>
      <c r="G270" s="48">
        <f t="shared" si="178"/>
        <v>3.6793984</v>
      </c>
      <c r="H270" s="48">
        <f t="shared" si="178"/>
        <v>4.31945490000001</v>
      </c>
      <c r="I270" s="48">
        <f t="shared" si="178"/>
        <v>1.50575280000001</v>
      </c>
      <c r="J270" s="48">
        <f t="shared" si="178"/>
        <v>-0.34947</v>
      </c>
      <c r="K270" s="48">
        <f t="shared" si="178"/>
        <v>0.328864600000002</v>
      </c>
      <c r="L270" s="48">
        <f t="shared" si="178"/>
        <v>0.118687799999997</v>
      </c>
      <c r="M270" s="48">
        <f t="shared" si="178"/>
        <v>-1.49750400000001</v>
      </c>
      <c r="N270" s="48">
        <f t="shared" si="178"/>
        <v>7.046208</v>
      </c>
      <c r="O270" s="48">
        <f t="shared" si="178"/>
        <v>15.092555</v>
      </c>
      <c r="P270" s="48">
        <f t="shared" si="178"/>
        <v>24.441315</v>
      </c>
      <c r="Q270" s="48">
        <f t="shared" si="178"/>
        <v>33.4041285</v>
      </c>
      <c r="R270" s="48">
        <f t="shared" si="178"/>
        <v>46.3593595</v>
      </c>
      <c r="S270" s="48">
        <f t="shared" si="178"/>
        <v>75.7469398</v>
      </c>
      <c r="T270" s="48">
        <f t="shared" si="178"/>
        <v>85.0008</v>
      </c>
      <c r="U270" s="48">
        <f t="shared" si="178"/>
        <v>31.0617368</v>
      </c>
      <c r="V270" s="48">
        <f t="shared" si="178"/>
        <v>9.91054439999999</v>
      </c>
      <c r="W270" s="48">
        <f t="shared" si="178"/>
        <v>0</v>
      </c>
      <c r="X270" s="48">
        <f t="shared" si="178"/>
        <v>-61.6916736</v>
      </c>
      <c r="Y270" s="48">
        <f t="shared" si="178"/>
        <v>-142.3979596</v>
      </c>
      <c r="Z270" s="48">
        <f t="shared" si="178"/>
        <v>0</v>
      </c>
      <c r="AA270" s="48">
        <f t="shared" si="178"/>
        <v>17.8891204</v>
      </c>
      <c r="AB270" s="48">
        <f t="shared" si="178"/>
        <v>8.5866693</v>
      </c>
      <c r="AC270" s="48">
        <f t="shared" si="178"/>
        <v>3.58436349999999</v>
      </c>
    </row>
    <row r="271" spans="1:29">
      <c r="A271" s="32"/>
      <c r="B271" s="33"/>
      <c r="C271" s="51" t="s">
        <v>50</v>
      </c>
      <c r="D271" s="52"/>
      <c r="E271" s="44">
        <f t="shared" ref="E271:AC271" si="179">E269-E270</f>
        <v>0</v>
      </c>
      <c r="F271" s="26">
        <f t="shared" si="179"/>
        <v>0</v>
      </c>
      <c r="G271" s="26">
        <f t="shared" si="179"/>
        <v>0</v>
      </c>
      <c r="H271" s="26">
        <f t="shared" si="179"/>
        <v>0</v>
      </c>
      <c r="I271" s="26">
        <f t="shared" si="179"/>
        <v>0</v>
      </c>
      <c r="J271" s="26">
        <f t="shared" si="179"/>
        <v>0</v>
      </c>
      <c r="K271" s="26">
        <f t="shared" si="179"/>
        <v>0</v>
      </c>
      <c r="L271" s="26">
        <f t="shared" si="179"/>
        <v>0</v>
      </c>
      <c r="M271" s="26">
        <f t="shared" si="179"/>
        <v>0</v>
      </c>
      <c r="N271" s="26">
        <f t="shared" si="179"/>
        <v>0</v>
      </c>
      <c r="O271" s="26">
        <f t="shared" si="179"/>
        <v>0</v>
      </c>
      <c r="P271" s="26">
        <f t="shared" si="179"/>
        <v>0</v>
      </c>
      <c r="Q271" s="26">
        <f t="shared" si="179"/>
        <v>0</v>
      </c>
      <c r="R271" s="26">
        <f t="shared" si="179"/>
        <v>0</v>
      </c>
      <c r="S271" s="26">
        <f t="shared" si="179"/>
        <v>0</v>
      </c>
      <c r="T271" s="26">
        <f t="shared" si="179"/>
        <v>0</v>
      </c>
      <c r="U271" s="26">
        <f t="shared" si="179"/>
        <v>0</v>
      </c>
      <c r="V271" s="26">
        <f t="shared" si="179"/>
        <v>0</v>
      </c>
      <c r="W271" s="26">
        <f t="shared" si="179"/>
        <v>0</v>
      </c>
      <c r="X271" s="26">
        <f t="shared" si="179"/>
        <v>0</v>
      </c>
      <c r="Y271" s="26">
        <f t="shared" si="179"/>
        <v>0</v>
      </c>
      <c r="Z271" s="26">
        <f t="shared" si="179"/>
        <v>0</v>
      </c>
      <c r="AA271" s="26">
        <f t="shared" si="179"/>
        <v>0</v>
      </c>
      <c r="AB271" s="26">
        <f t="shared" si="179"/>
        <v>0</v>
      </c>
      <c r="AC271" s="26">
        <f t="shared" si="179"/>
        <v>0</v>
      </c>
    </row>
    <row r="272" spans="1:29">
      <c r="A272" s="29">
        <v>46022</v>
      </c>
      <c r="B272" s="30">
        <f>E279</f>
        <v>490.1700939</v>
      </c>
      <c r="C272" s="31" t="s">
        <v>47</v>
      </c>
      <c r="D272" s="31" t="s">
        <v>48</v>
      </c>
      <c r="E272" s="42">
        <f t="shared" si="176"/>
        <v>61.22042</v>
      </c>
      <c r="F272" s="47">
        <v>1.56204</v>
      </c>
      <c r="G272" s="47">
        <v>1.9063</v>
      </c>
      <c r="H272" s="47">
        <v>1.38824</v>
      </c>
      <c r="I272" s="47">
        <v>1.55493</v>
      </c>
      <c r="J272" s="47">
        <v>1.4895</v>
      </c>
      <c r="K272" s="47">
        <v>1.30648</v>
      </c>
      <c r="L272" s="47">
        <v>1.78959</v>
      </c>
      <c r="M272" s="47">
        <v>2.30043</v>
      </c>
      <c r="N272" s="47">
        <v>5.46072</v>
      </c>
      <c r="O272" s="47">
        <v>4.7365</v>
      </c>
      <c r="P272" s="47">
        <v>3.45064</v>
      </c>
      <c r="Q272" s="47">
        <v>3.08248</v>
      </c>
      <c r="R272" s="47">
        <v>2.25696</v>
      </c>
      <c r="S272" s="47">
        <v>3.21768</v>
      </c>
      <c r="T272" s="47">
        <v>3.4304</v>
      </c>
      <c r="U272" s="47">
        <v>2.87294</v>
      </c>
      <c r="V272" s="47">
        <v>4.42629</v>
      </c>
      <c r="W272" s="47">
        <v>3.84219</v>
      </c>
      <c r="X272" s="47">
        <v>3.08869</v>
      </c>
      <c r="Y272" s="47">
        <v>2.11824</v>
      </c>
      <c r="Z272" s="47">
        <v>2.33783</v>
      </c>
      <c r="AA272" s="47">
        <v>1.46385</v>
      </c>
      <c r="AB272" s="47">
        <v>1.16829</v>
      </c>
      <c r="AC272" s="47">
        <v>0.96921</v>
      </c>
    </row>
    <row r="273" spans="1:29">
      <c r="A273" s="32"/>
      <c r="B273" s="33"/>
      <c r="C273" s="32"/>
      <c r="D273" s="6" t="s">
        <v>49</v>
      </c>
      <c r="E273" s="42">
        <f t="shared" si="176"/>
        <v>65.2793</v>
      </c>
      <c r="F273" s="46">
        <v>1.7356</v>
      </c>
      <c r="G273" s="46">
        <v>1.733</v>
      </c>
      <c r="H273" s="46">
        <v>1.7353</v>
      </c>
      <c r="I273" s="46">
        <v>1.7277</v>
      </c>
      <c r="J273" s="46">
        <v>1.655</v>
      </c>
      <c r="K273" s="46">
        <v>1.6331</v>
      </c>
      <c r="L273" s="46">
        <v>1.6269</v>
      </c>
      <c r="M273" s="46">
        <v>2.0913</v>
      </c>
      <c r="N273" s="46">
        <v>4.5506</v>
      </c>
      <c r="O273" s="46">
        <v>4.7365</v>
      </c>
      <c r="P273" s="46">
        <v>4.3133</v>
      </c>
      <c r="Q273" s="46">
        <v>3.8531</v>
      </c>
      <c r="R273" s="46">
        <v>2.8212</v>
      </c>
      <c r="S273" s="46">
        <v>3.5752</v>
      </c>
      <c r="T273" s="46">
        <v>4.288</v>
      </c>
      <c r="U273" s="46">
        <v>4.1042</v>
      </c>
      <c r="V273" s="46">
        <v>4.0239</v>
      </c>
      <c r="W273" s="46">
        <v>3.4929</v>
      </c>
      <c r="X273" s="46">
        <v>2.8079</v>
      </c>
      <c r="Y273" s="46">
        <v>2.6478</v>
      </c>
      <c r="Z273" s="46">
        <v>2.1253</v>
      </c>
      <c r="AA273" s="46">
        <v>1.6265</v>
      </c>
      <c r="AB273" s="46">
        <v>1.2981</v>
      </c>
      <c r="AC273" s="46">
        <v>1.0769</v>
      </c>
    </row>
    <row r="274" spans="1:29">
      <c r="A274" s="32"/>
      <c r="B274" s="33"/>
      <c r="C274" s="34"/>
      <c r="D274" s="31" t="s">
        <v>50</v>
      </c>
      <c r="E274" s="26">
        <f t="shared" ref="E274:AC274" si="180">E272-E273</f>
        <v>-4.05888000000001</v>
      </c>
      <c r="F274" s="26">
        <f t="shared" si="180"/>
        <v>-0.17356</v>
      </c>
      <c r="G274" s="26">
        <f t="shared" si="180"/>
        <v>0.1733</v>
      </c>
      <c r="H274" s="26">
        <f t="shared" si="180"/>
        <v>-0.34706</v>
      </c>
      <c r="I274" s="26">
        <f t="shared" si="180"/>
        <v>-0.17277</v>
      </c>
      <c r="J274" s="26">
        <f t="shared" si="180"/>
        <v>-0.1655</v>
      </c>
      <c r="K274" s="26">
        <f t="shared" si="180"/>
        <v>-0.32662</v>
      </c>
      <c r="L274" s="26">
        <f t="shared" si="180"/>
        <v>0.16269</v>
      </c>
      <c r="M274" s="26">
        <f t="shared" si="180"/>
        <v>0.20913</v>
      </c>
      <c r="N274" s="26">
        <f t="shared" si="180"/>
        <v>0.91012</v>
      </c>
      <c r="O274" s="26">
        <f t="shared" si="180"/>
        <v>0</v>
      </c>
      <c r="P274" s="26">
        <f t="shared" si="180"/>
        <v>-0.86266</v>
      </c>
      <c r="Q274" s="26">
        <f t="shared" si="180"/>
        <v>-0.77062</v>
      </c>
      <c r="R274" s="26">
        <f t="shared" si="180"/>
        <v>-0.56424</v>
      </c>
      <c r="S274" s="26">
        <f t="shared" si="180"/>
        <v>-0.35752</v>
      </c>
      <c r="T274" s="26">
        <f t="shared" si="180"/>
        <v>-0.857599999999999</v>
      </c>
      <c r="U274" s="26">
        <f t="shared" si="180"/>
        <v>-1.23126</v>
      </c>
      <c r="V274" s="26">
        <f t="shared" si="180"/>
        <v>0.40239</v>
      </c>
      <c r="W274" s="26">
        <f t="shared" si="180"/>
        <v>0.34929</v>
      </c>
      <c r="X274" s="26">
        <f t="shared" si="180"/>
        <v>0.28079</v>
      </c>
      <c r="Y274" s="26">
        <f t="shared" si="180"/>
        <v>-0.52956</v>
      </c>
      <c r="Z274" s="26">
        <f t="shared" si="180"/>
        <v>0.21253</v>
      </c>
      <c r="AA274" s="26">
        <f t="shared" si="180"/>
        <v>-0.16265</v>
      </c>
      <c r="AB274" s="26">
        <f t="shared" si="180"/>
        <v>-0.12981</v>
      </c>
      <c r="AC274" s="26">
        <f t="shared" si="180"/>
        <v>-0.10769</v>
      </c>
    </row>
    <row r="275" spans="1:29">
      <c r="A275" s="32"/>
      <c r="B275" s="33"/>
      <c r="C275" s="35" t="s">
        <v>51</v>
      </c>
      <c r="D275" s="31" t="s">
        <v>48</v>
      </c>
      <c r="E275" s="31">
        <f>AVERAGE(F275:AC275)</f>
        <v>288.664583333333</v>
      </c>
      <c r="F275" s="43">
        <v>302.3</v>
      </c>
      <c r="G275" s="43">
        <v>303.92</v>
      </c>
      <c r="H275" s="43">
        <v>306.43</v>
      </c>
      <c r="I275" s="43">
        <v>296</v>
      </c>
      <c r="J275" s="43">
        <v>288.36</v>
      </c>
      <c r="K275" s="43">
        <v>284.89</v>
      </c>
      <c r="L275" s="43">
        <v>296.69</v>
      </c>
      <c r="M275" s="43">
        <v>310.27</v>
      </c>
      <c r="N275" s="43">
        <v>321.01</v>
      </c>
      <c r="O275" s="43">
        <v>309.89</v>
      </c>
      <c r="P275" s="43">
        <v>274.11</v>
      </c>
      <c r="Q275" s="43">
        <v>234.2</v>
      </c>
      <c r="R275" s="43">
        <v>147.66</v>
      </c>
      <c r="S275" s="43">
        <v>204.44</v>
      </c>
      <c r="T275" s="43">
        <v>223.61</v>
      </c>
      <c r="U275" s="43">
        <v>250.62</v>
      </c>
      <c r="V275" s="43">
        <v>288.7</v>
      </c>
      <c r="W275" s="43">
        <v>323</v>
      </c>
      <c r="X275" s="43">
        <v>334.95</v>
      </c>
      <c r="Y275" s="43">
        <v>335.17</v>
      </c>
      <c r="Z275" s="43">
        <v>335.72</v>
      </c>
      <c r="AA275" s="43">
        <v>335.47</v>
      </c>
      <c r="AB275" s="43">
        <v>323.12</v>
      </c>
      <c r="AC275" s="43">
        <v>297.42</v>
      </c>
    </row>
    <row r="276" spans="1:29">
      <c r="A276" s="32"/>
      <c r="B276" s="33"/>
      <c r="C276" s="32"/>
      <c r="D276" s="31" t="s">
        <v>49</v>
      </c>
      <c r="E276" s="31">
        <f>AVERAGE(F276:AC276)</f>
        <v>247.0225</v>
      </c>
      <c r="F276" s="43">
        <v>303.57</v>
      </c>
      <c r="G276" s="43">
        <v>302.67</v>
      </c>
      <c r="H276" s="43">
        <v>296.43</v>
      </c>
      <c r="I276" s="43">
        <v>283.5</v>
      </c>
      <c r="J276" s="43">
        <v>274.78</v>
      </c>
      <c r="K276" s="43">
        <v>268.6</v>
      </c>
      <c r="L276" s="43">
        <v>288.51</v>
      </c>
      <c r="M276" s="43">
        <v>305.52</v>
      </c>
      <c r="N276" s="43">
        <v>318.59</v>
      </c>
      <c r="O276" s="43">
        <v>286.84</v>
      </c>
      <c r="P276" s="43">
        <v>199.68</v>
      </c>
      <c r="Q276" s="43">
        <v>156.56</v>
      </c>
      <c r="R276" s="43">
        <v>90.65</v>
      </c>
      <c r="S276" s="43">
        <v>93.14</v>
      </c>
      <c r="T276" s="43">
        <v>40.49</v>
      </c>
      <c r="U276" s="43">
        <v>89.74</v>
      </c>
      <c r="V276" s="43">
        <v>260.59</v>
      </c>
      <c r="W276" s="43">
        <v>302.25</v>
      </c>
      <c r="X276" s="43">
        <v>300.87</v>
      </c>
      <c r="Y276" s="43">
        <v>297.07</v>
      </c>
      <c r="Z276" s="43">
        <v>300.76</v>
      </c>
      <c r="AA276" s="43">
        <v>298.88</v>
      </c>
      <c r="AB276" s="43">
        <v>291.42</v>
      </c>
      <c r="AC276" s="43">
        <v>277.43</v>
      </c>
    </row>
    <row r="277" spans="1:29">
      <c r="A277" s="32"/>
      <c r="B277" s="33"/>
      <c r="C277" s="34"/>
      <c r="D277" s="31" t="s">
        <v>50</v>
      </c>
      <c r="E277" s="26">
        <f t="shared" ref="E277:AC277" si="181">E275-E276</f>
        <v>41.6420833333333</v>
      </c>
      <c r="F277" s="26">
        <f t="shared" si="181"/>
        <v>-1.26999999999998</v>
      </c>
      <c r="G277" s="26">
        <f t="shared" si="181"/>
        <v>1.25</v>
      </c>
      <c r="H277" s="26">
        <f t="shared" si="181"/>
        <v>10</v>
      </c>
      <c r="I277" s="26">
        <f t="shared" si="181"/>
        <v>12.5</v>
      </c>
      <c r="J277" s="26">
        <f t="shared" si="181"/>
        <v>13.58</v>
      </c>
      <c r="K277" s="26">
        <f t="shared" si="181"/>
        <v>16.29</v>
      </c>
      <c r="L277" s="26">
        <f t="shared" si="181"/>
        <v>8.18000000000001</v>
      </c>
      <c r="M277" s="26">
        <f t="shared" si="181"/>
        <v>4.75</v>
      </c>
      <c r="N277" s="26">
        <f t="shared" si="181"/>
        <v>2.42000000000002</v>
      </c>
      <c r="O277" s="26">
        <f t="shared" si="181"/>
        <v>23.05</v>
      </c>
      <c r="P277" s="26">
        <f t="shared" si="181"/>
        <v>74.43</v>
      </c>
      <c r="Q277" s="26">
        <f t="shared" si="181"/>
        <v>77.64</v>
      </c>
      <c r="R277" s="26">
        <f t="shared" si="181"/>
        <v>57.01</v>
      </c>
      <c r="S277" s="26">
        <f t="shared" si="181"/>
        <v>111.3</v>
      </c>
      <c r="T277" s="26">
        <f t="shared" si="181"/>
        <v>183.12</v>
      </c>
      <c r="U277" s="26">
        <f t="shared" si="181"/>
        <v>160.88</v>
      </c>
      <c r="V277" s="26">
        <f t="shared" si="181"/>
        <v>28.11</v>
      </c>
      <c r="W277" s="26">
        <f t="shared" si="181"/>
        <v>20.75</v>
      </c>
      <c r="X277" s="26">
        <f t="shared" si="181"/>
        <v>34.08</v>
      </c>
      <c r="Y277" s="26">
        <f t="shared" si="181"/>
        <v>38.1</v>
      </c>
      <c r="Z277" s="26">
        <f t="shared" si="181"/>
        <v>34.96</v>
      </c>
      <c r="AA277" s="26">
        <f t="shared" si="181"/>
        <v>36.59</v>
      </c>
      <c r="AB277" s="26">
        <f t="shared" si="181"/>
        <v>31.7</v>
      </c>
      <c r="AC277" s="26">
        <f t="shared" si="181"/>
        <v>19.99</v>
      </c>
    </row>
    <row r="278" spans="1:29">
      <c r="A278" s="32"/>
      <c r="B278" s="33"/>
      <c r="C278" s="36" t="s">
        <v>52</v>
      </c>
      <c r="D278" s="37"/>
      <c r="E278" s="26">
        <f>SUM(F278:AC278)</f>
        <v>556.1984635</v>
      </c>
      <c r="F278" s="48">
        <f t="shared" ref="F278:AC278" si="182">-F274*F277</f>
        <v>-0.220421199999997</v>
      </c>
      <c r="G278" s="48">
        <f t="shared" si="182"/>
        <v>-0.216625</v>
      </c>
      <c r="H278" s="48">
        <f t="shared" si="182"/>
        <v>3.4706</v>
      </c>
      <c r="I278" s="48">
        <f t="shared" si="182"/>
        <v>2.159625</v>
      </c>
      <c r="J278" s="48">
        <f t="shared" si="182"/>
        <v>2.24749000000001</v>
      </c>
      <c r="K278" s="48">
        <f t="shared" si="182"/>
        <v>5.32063979999999</v>
      </c>
      <c r="L278" s="48">
        <f t="shared" si="182"/>
        <v>-1.3308042</v>
      </c>
      <c r="M278" s="48">
        <f t="shared" si="182"/>
        <v>-0.9933675</v>
      </c>
      <c r="N278" s="48">
        <f t="shared" si="182"/>
        <v>-2.20249040000001</v>
      </c>
      <c r="O278" s="48">
        <f t="shared" si="182"/>
        <v>0</v>
      </c>
      <c r="P278" s="48">
        <f t="shared" si="182"/>
        <v>64.2077838</v>
      </c>
      <c r="Q278" s="48">
        <f t="shared" si="182"/>
        <v>59.8309368</v>
      </c>
      <c r="R278" s="48">
        <f t="shared" si="182"/>
        <v>32.1673224</v>
      </c>
      <c r="S278" s="48">
        <f t="shared" si="182"/>
        <v>39.791976</v>
      </c>
      <c r="T278" s="48">
        <f t="shared" si="182"/>
        <v>157.043712</v>
      </c>
      <c r="U278" s="48">
        <f t="shared" si="182"/>
        <v>198.0851088</v>
      </c>
      <c r="V278" s="48">
        <f t="shared" si="182"/>
        <v>-11.3111829</v>
      </c>
      <c r="W278" s="48">
        <f t="shared" si="182"/>
        <v>-7.2477675</v>
      </c>
      <c r="X278" s="48">
        <f t="shared" si="182"/>
        <v>-9.5693232</v>
      </c>
      <c r="Y278" s="48">
        <f t="shared" si="182"/>
        <v>20.176236</v>
      </c>
      <c r="Z278" s="48">
        <f t="shared" si="182"/>
        <v>-7.4300488</v>
      </c>
      <c r="AA278" s="48">
        <f t="shared" si="182"/>
        <v>5.9513635</v>
      </c>
      <c r="AB278" s="48">
        <f t="shared" si="182"/>
        <v>4.114977</v>
      </c>
      <c r="AC278" s="48">
        <f t="shared" si="182"/>
        <v>2.1527231</v>
      </c>
    </row>
    <row r="279" spans="1:29">
      <c r="A279" s="32"/>
      <c r="B279" s="33"/>
      <c r="C279" s="38" t="s">
        <v>54</v>
      </c>
      <c r="D279" s="37"/>
      <c r="E279" s="26">
        <f>SUM(F279:AC279)</f>
        <v>490.1700939</v>
      </c>
      <c r="F279" s="48">
        <f t="shared" ref="F279:AC279" si="183">IF(F278&gt;0,ABS(MIN(F273*0.2,ABS(F274))*F277),F278)</f>
        <v>-0.220421199999997</v>
      </c>
      <c r="G279" s="48">
        <f t="shared" si="183"/>
        <v>-0.216625</v>
      </c>
      <c r="H279" s="48">
        <f t="shared" si="183"/>
        <v>3.4706</v>
      </c>
      <c r="I279" s="48">
        <f t="shared" si="183"/>
        <v>2.159625</v>
      </c>
      <c r="J279" s="48">
        <f t="shared" si="183"/>
        <v>2.24749000000001</v>
      </c>
      <c r="K279" s="48">
        <f t="shared" si="183"/>
        <v>5.32063979999999</v>
      </c>
      <c r="L279" s="48">
        <f t="shared" si="183"/>
        <v>-1.3308042</v>
      </c>
      <c r="M279" s="48">
        <f t="shared" si="183"/>
        <v>-0.9933675</v>
      </c>
      <c r="N279" s="48">
        <f t="shared" si="183"/>
        <v>-2.20249040000001</v>
      </c>
      <c r="O279" s="48">
        <f t="shared" si="183"/>
        <v>0</v>
      </c>
      <c r="P279" s="48">
        <f t="shared" si="183"/>
        <v>64.2077838</v>
      </c>
      <c r="Q279" s="48">
        <f t="shared" si="183"/>
        <v>59.8309368</v>
      </c>
      <c r="R279" s="48">
        <f t="shared" si="183"/>
        <v>32.1673224</v>
      </c>
      <c r="S279" s="48">
        <f t="shared" si="183"/>
        <v>39.791976</v>
      </c>
      <c r="T279" s="48">
        <f t="shared" si="183"/>
        <v>157.043712</v>
      </c>
      <c r="U279" s="48">
        <f t="shared" si="183"/>
        <v>132.0567392</v>
      </c>
      <c r="V279" s="48">
        <f t="shared" si="183"/>
        <v>-11.3111829</v>
      </c>
      <c r="W279" s="48">
        <f t="shared" si="183"/>
        <v>-7.2477675</v>
      </c>
      <c r="X279" s="48">
        <f t="shared" si="183"/>
        <v>-9.5693232</v>
      </c>
      <c r="Y279" s="48">
        <f t="shared" si="183"/>
        <v>20.176236</v>
      </c>
      <c r="Z279" s="48">
        <f t="shared" si="183"/>
        <v>-7.4300488</v>
      </c>
      <c r="AA279" s="48">
        <f t="shared" si="183"/>
        <v>5.9513635</v>
      </c>
      <c r="AB279" s="48">
        <f t="shared" si="183"/>
        <v>4.114977</v>
      </c>
      <c r="AC279" s="48">
        <f t="shared" si="183"/>
        <v>2.1527231</v>
      </c>
    </row>
    <row r="280" spans="1:29">
      <c r="A280" s="32"/>
      <c r="B280" s="33"/>
      <c r="C280" s="51" t="s">
        <v>50</v>
      </c>
      <c r="D280" s="52"/>
      <c r="E280" s="44">
        <f t="shared" ref="E280:AC280" si="184">E278-E279</f>
        <v>66.0283696</v>
      </c>
      <c r="F280" s="26">
        <f t="shared" si="184"/>
        <v>0</v>
      </c>
      <c r="G280" s="26">
        <f t="shared" si="184"/>
        <v>0</v>
      </c>
      <c r="H280" s="26">
        <f t="shared" si="184"/>
        <v>0</v>
      </c>
      <c r="I280" s="26">
        <f t="shared" si="184"/>
        <v>0</v>
      </c>
      <c r="J280" s="26">
        <f t="shared" si="184"/>
        <v>0</v>
      </c>
      <c r="K280" s="26">
        <f t="shared" si="184"/>
        <v>0</v>
      </c>
      <c r="L280" s="26">
        <f t="shared" si="184"/>
        <v>0</v>
      </c>
      <c r="M280" s="26">
        <f t="shared" si="184"/>
        <v>0</v>
      </c>
      <c r="N280" s="26">
        <f t="shared" si="184"/>
        <v>0</v>
      </c>
      <c r="O280" s="26">
        <f t="shared" si="184"/>
        <v>0</v>
      </c>
      <c r="P280" s="26">
        <f t="shared" si="184"/>
        <v>0</v>
      </c>
      <c r="Q280" s="26">
        <f t="shared" si="184"/>
        <v>0</v>
      </c>
      <c r="R280" s="26">
        <f t="shared" si="184"/>
        <v>0</v>
      </c>
      <c r="S280" s="26">
        <f t="shared" si="184"/>
        <v>0</v>
      </c>
      <c r="T280" s="26">
        <f t="shared" si="184"/>
        <v>0</v>
      </c>
      <c r="U280" s="26">
        <f t="shared" si="184"/>
        <v>66.0283696000001</v>
      </c>
      <c r="V280" s="26">
        <f t="shared" si="184"/>
        <v>0</v>
      </c>
      <c r="W280" s="26">
        <f t="shared" si="184"/>
        <v>0</v>
      </c>
      <c r="X280" s="26">
        <f t="shared" si="184"/>
        <v>0</v>
      </c>
      <c r="Y280" s="26">
        <f t="shared" si="184"/>
        <v>0</v>
      </c>
      <c r="Z280" s="26">
        <f t="shared" si="184"/>
        <v>0</v>
      </c>
      <c r="AA280" s="26">
        <f t="shared" si="184"/>
        <v>0</v>
      </c>
      <c r="AB280" s="26">
        <f t="shared" si="184"/>
        <v>0</v>
      </c>
      <c r="AC280" s="26">
        <f t="shared" si="184"/>
        <v>0</v>
      </c>
    </row>
    <row r="281" spans="1:29">
      <c r="A281" s="53" t="s">
        <v>55</v>
      </c>
      <c r="B281" s="53">
        <f>SUM(B2:B280)</f>
        <v>4509.5236259</v>
      </c>
      <c r="C281" s="54" t="s">
        <v>56</v>
      </c>
      <c r="D281" s="54"/>
      <c r="E281" s="43" cm="1">
        <f t="array" ref="E281">SUMPRODUCT((MOD(ROW(E3:E280)-ROW(E3),9)=0)*E3:E280)</f>
        <v>1838.8403</v>
      </c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</row>
    <row r="282" spans="1:29">
      <c r="A282" s="43" t="s">
        <v>57</v>
      </c>
      <c r="B282" s="43" cm="1">
        <f t="array" ref="B282">SUMPRODUCT((MOD(ROW(E10:E280)-ROW(E10),9)=0)*E10:E280)</f>
        <v>73.7635905999999</v>
      </c>
      <c r="C282" s="54" t="s">
        <v>58</v>
      </c>
      <c r="D282" s="54"/>
      <c r="E282" s="43">
        <f>B281/E281</f>
        <v>2.45237371940347</v>
      </c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</row>
    <row r="283" spans="1:29">
      <c r="A283" s="26" t="s">
        <v>59</v>
      </c>
      <c r="B283" s="37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</row>
    <row r="285" ht="16.8" spans="13:29">
      <c r="M285" s="24">
        <v>390.86</v>
      </c>
      <c r="N285" s="55">
        <f>M285/M288</f>
        <v>0.224048884226697</v>
      </c>
      <c r="Z285" s="25"/>
      <c r="AA285" s="25"/>
      <c r="AB285" s="25"/>
      <c r="AC285" s="25"/>
    </row>
    <row r="286" ht="16.8" spans="2:29">
      <c r="B286" s="24">
        <f>COUNTA(B2:B263)</f>
        <v>30</v>
      </c>
      <c r="M286" s="24">
        <v>1200</v>
      </c>
      <c r="N286" s="55">
        <f>M286/M288</f>
        <v>0.687864353149559</v>
      </c>
      <c r="Z286" s="25"/>
      <c r="AA286" s="25"/>
      <c r="AB286" s="25"/>
      <c r="AC286" s="25"/>
    </row>
    <row r="287" ht="16.8" spans="2:29">
      <c r="B287" s="24">
        <f>B281/COUNTA(B2:B263)</f>
        <v>150.317454196667</v>
      </c>
      <c r="M287" s="24">
        <v>153.67</v>
      </c>
      <c r="N287" s="55">
        <f>M287/M288</f>
        <v>0.0880867626237439</v>
      </c>
      <c r="Z287" s="25"/>
      <c r="AA287" s="25"/>
      <c r="AB287" s="25"/>
      <c r="AC287" s="25"/>
    </row>
    <row r="288" spans="13:29">
      <c r="M288" s="24">
        <f>SUM(M285:M287)</f>
        <v>1744.53</v>
      </c>
      <c r="Z288" s="25"/>
      <c r="AA288" s="25"/>
      <c r="AB288" s="25"/>
      <c r="AC288" s="25"/>
    </row>
    <row r="289" spans="25:29">
      <c r="Y289" s="25"/>
      <c r="Z289" s="25"/>
      <c r="AA289" s="25"/>
      <c r="AB289" s="25"/>
      <c r="AC289" s="25"/>
    </row>
    <row r="290" spans="25:29">
      <c r="Y290" s="25"/>
      <c r="Z290" s="25"/>
      <c r="AA290" s="25"/>
      <c r="AB290" s="25"/>
      <c r="AC290" s="25"/>
    </row>
    <row r="291" spans="25:29">
      <c r="Y291" s="25"/>
      <c r="Z291" s="25"/>
      <c r="AA291" s="25"/>
      <c r="AB291" s="25"/>
      <c r="AC291" s="25"/>
    </row>
    <row r="292" spans="25:29">
      <c r="Y292" s="25"/>
      <c r="Z292" s="25"/>
      <c r="AA292" s="25"/>
      <c r="AB292" s="25"/>
      <c r="AC292" s="25"/>
    </row>
    <row r="293" spans="25:29">
      <c r="Y293" s="25"/>
      <c r="Z293" s="25"/>
      <c r="AA293" s="25"/>
      <c r="AB293" s="25"/>
      <c r="AC293" s="25"/>
    </row>
    <row r="294" spans="25:29">
      <c r="Y294" s="25"/>
      <c r="Z294" s="25"/>
      <c r="AA294" s="25"/>
      <c r="AB294" s="25"/>
      <c r="AC294" s="25"/>
    </row>
    <row r="295" spans="25:29">
      <c r="Y295" s="25"/>
      <c r="Z295" s="25"/>
      <c r="AA295" s="25"/>
      <c r="AB295" s="25"/>
      <c r="AC295" s="25"/>
    </row>
    <row r="296" spans="25:29">
      <c r="Y296" s="25"/>
      <c r="Z296" s="25"/>
      <c r="AA296" s="25"/>
      <c r="AB296" s="25"/>
      <c r="AC296" s="25"/>
    </row>
    <row r="297" spans="25:29">
      <c r="Y297" s="25"/>
      <c r="Z297" s="25"/>
      <c r="AA297" s="25"/>
      <c r="AB297" s="25"/>
      <c r="AC297" s="25"/>
    </row>
    <row r="298" spans="25:29">
      <c r="Y298" s="25"/>
      <c r="Z298" s="25"/>
      <c r="AA298" s="25"/>
      <c r="AB298" s="25"/>
      <c r="AC298" s="25"/>
    </row>
    <row r="299" spans="25:29">
      <c r="Y299" s="25"/>
      <c r="Z299" s="25"/>
      <c r="AA299" s="25"/>
      <c r="AB299" s="25"/>
      <c r="AC299" s="25"/>
    </row>
    <row r="300" spans="25:29">
      <c r="Y300" s="25"/>
      <c r="Z300" s="25"/>
      <c r="AA300" s="25"/>
      <c r="AB300" s="25"/>
      <c r="AC300" s="25"/>
    </row>
    <row r="301" spans="25:29">
      <c r="Y301" s="25"/>
      <c r="Z301" s="25"/>
      <c r="AA301" s="25"/>
      <c r="AB301" s="25"/>
      <c r="AC301" s="25"/>
    </row>
    <row r="302" spans="25:29">
      <c r="Y302" s="25"/>
      <c r="Z302" s="25"/>
      <c r="AA302" s="25"/>
      <c r="AB302" s="25"/>
      <c r="AC302" s="25"/>
    </row>
    <row r="303" spans="25:29">
      <c r="Y303" s="25"/>
      <c r="Z303" s="25"/>
      <c r="AA303" s="25"/>
      <c r="AB303" s="25"/>
      <c r="AC303" s="25"/>
    </row>
    <row r="304" spans="25:29">
      <c r="Y304" s="25"/>
      <c r="Z304" s="25"/>
      <c r="AA304" s="25"/>
      <c r="AB304" s="25"/>
      <c r="AC304" s="25"/>
    </row>
    <row r="305" spans="25:29">
      <c r="Y305" s="25"/>
      <c r="Z305" s="25"/>
      <c r="AA305" s="25"/>
      <c r="AB305" s="25"/>
      <c r="AC305" s="25"/>
    </row>
    <row r="306" spans="25:29">
      <c r="Y306" s="25"/>
      <c r="Z306" s="25"/>
      <c r="AA306" s="25"/>
      <c r="AB306" s="25"/>
      <c r="AC306" s="25"/>
    </row>
    <row r="307" spans="25:29">
      <c r="Y307" s="25"/>
      <c r="Z307" s="25"/>
      <c r="AA307" s="25"/>
      <c r="AB307" s="25"/>
      <c r="AC307" s="25"/>
    </row>
    <row r="308" spans="25:29">
      <c r="Y308" s="25"/>
      <c r="Z308" s="25"/>
      <c r="AA308" s="25"/>
      <c r="AB308" s="25"/>
      <c r="AC308" s="25"/>
    </row>
    <row r="309" spans="25:29">
      <c r="Y309" s="25"/>
      <c r="Z309" s="25"/>
      <c r="AA309" s="25"/>
      <c r="AB309" s="25"/>
      <c r="AC309" s="25"/>
    </row>
    <row r="310" spans="25:29">
      <c r="Y310" s="25"/>
      <c r="Z310" s="25"/>
      <c r="AA310" s="25"/>
      <c r="AB310" s="25"/>
      <c r="AC310" s="25"/>
    </row>
    <row r="311" spans="25:29">
      <c r="Y311" s="25"/>
      <c r="Z311" s="25"/>
      <c r="AA311" s="25"/>
      <c r="AB311" s="25"/>
      <c r="AC311" s="25"/>
    </row>
    <row r="312" spans="25:29">
      <c r="Y312" s="25"/>
      <c r="Z312" s="25"/>
      <c r="AA312" s="25"/>
      <c r="AB312" s="25"/>
      <c r="AC312" s="25"/>
    </row>
    <row r="313" spans="25:29">
      <c r="Y313" s="25"/>
      <c r="Z313" s="25"/>
      <c r="AA313" s="25"/>
      <c r="AB313" s="25"/>
      <c r="AC313" s="25"/>
    </row>
    <row r="314" spans="25:29">
      <c r="Y314" s="25"/>
      <c r="Z314" s="25"/>
      <c r="AA314" s="25"/>
      <c r="AB314" s="25"/>
      <c r="AC314" s="25"/>
    </row>
    <row r="315" spans="25:29">
      <c r="Y315" s="25"/>
      <c r="Z315" s="25"/>
      <c r="AA315" s="25"/>
      <c r="AB315" s="25"/>
      <c r="AC315" s="25"/>
    </row>
    <row r="316" spans="25:29">
      <c r="Y316" s="25"/>
      <c r="Z316" s="25"/>
      <c r="AA316" s="25"/>
      <c r="AB316" s="25"/>
      <c r="AC316" s="25"/>
    </row>
    <row r="317" spans="25:29">
      <c r="Y317" s="25"/>
      <c r="Z317" s="25"/>
      <c r="AA317" s="25"/>
      <c r="AB317" s="25"/>
      <c r="AC317" s="25"/>
    </row>
    <row r="318" spans="25:29">
      <c r="Y318" s="25"/>
      <c r="Z318" s="25"/>
      <c r="AA318" s="25"/>
      <c r="AB318" s="25"/>
      <c r="AC318" s="25"/>
    </row>
    <row r="319" spans="29:29">
      <c r="AC319" s="2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C283" etc:filterBottomFollowUsedRange="0">
    <extLst/>
  </autoFilter>
  <mergeCells count="221">
    <mergeCell ref="C1:E1"/>
    <mergeCell ref="C8:D8"/>
    <mergeCell ref="C9:D9"/>
    <mergeCell ref="C10:D10"/>
    <mergeCell ref="C17:D17"/>
    <mergeCell ref="C18:D18"/>
    <mergeCell ref="C19:D19"/>
    <mergeCell ref="C26:D26"/>
    <mergeCell ref="C27:D27"/>
    <mergeCell ref="C28:D28"/>
    <mergeCell ref="C35:D35"/>
    <mergeCell ref="C36:D36"/>
    <mergeCell ref="C37:D37"/>
    <mergeCell ref="C44:D44"/>
    <mergeCell ref="C45:D45"/>
    <mergeCell ref="C46:D46"/>
    <mergeCell ref="C53:D53"/>
    <mergeCell ref="C54:D54"/>
    <mergeCell ref="C55:D55"/>
    <mergeCell ref="C62:D62"/>
    <mergeCell ref="C63:D63"/>
    <mergeCell ref="C64:D64"/>
    <mergeCell ref="C71:D71"/>
    <mergeCell ref="C72:D72"/>
    <mergeCell ref="C73:D73"/>
    <mergeCell ref="C80:D80"/>
    <mergeCell ref="C81:D81"/>
    <mergeCell ref="C82:D82"/>
    <mergeCell ref="C89:D89"/>
    <mergeCell ref="C90:D90"/>
    <mergeCell ref="C91:D91"/>
    <mergeCell ref="C98:D98"/>
    <mergeCell ref="C99:D99"/>
    <mergeCell ref="C100:D100"/>
    <mergeCell ref="C107:D107"/>
    <mergeCell ref="C108:D108"/>
    <mergeCell ref="C109:D109"/>
    <mergeCell ref="C116:D116"/>
    <mergeCell ref="C117:D117"/>
    <mergeCell ref="C118:D118"/>
    <mergeCell ref="C125:D125"/>
    <mergeCell ref="C126:D126"/>
    <mergeCell ref="C127:D127"/>
    <mergeCell ref="C134:D134"/>
    <mergeCell ref="C135:D135"/>
    <mergeCell ref="C136:D136"/>
    <mergeCell ref="C143:D143"/>
    <mergeCell ref="C144:D144"/>
    <mergeCell ref="C145:D145"/>
    <mergeCell ref="C152:D152"/>
    <mergeCell ref="C153:D153"/>
    <mergeCell ref="C154:D154"/>
    <mergeCell ref="C161:D161"/>
    <mergeCell ref="C162:D162"/>
    <mergeCell ref="C163:D163"/>
    <mergeCell ref="C170:D170"/>
    <mergeCell ref="C171:D171"/>
    <mergeCell ref="C172:D172"/>
    <mergeCell ref="C179:D179"/>
    <mergeCell ref="C180:D180"/>
    <mergeCell ref="C181:D181"/>
    <mergeCell ref="C188:D188"/>
    <mergeCell ref="C189:D189"/>
    <mergeCell ref="C190:D190"/>
    <mergeCell ref="C197:D197"/>
    <mergeCell ref="C198:D198"/>
    <mergeCell ref="C199:D199"/>
    <mergeCell ref="C206:D206"/>
    <mergeCell ref="C207:D207"/>
    <mergeCell ref="C208:D208"/>
    <mergeCell ref="C215:D215"/>
    <mergeCell ref="C216:D216"/>
    <mergeCell ref="C217:D217"/>
    <mergeCell ref="C224:D224"/>
    <mergeCell ref="C225:D225"/>
    <mergeCell ref="C226:D226"/>
    <mergeCell ref="C233:D233"/>
    <mergeCell ref="C234:D234"/>
    <mergeCell ref="C235:D235"/>
    <mergeCell ref="C242:D242"/>
    <mergeCell ref="C243:D243"/>
    <mergeCell ref="C244:D244"/>
    <mergeCell ref="C251:D251"/>
    <mergeCell ref="C252:D252"/>
    <mergeCell ref="C253:D253"/>
    <mergeCell ref="C260:D260"/>
    <mergeCell ref="C261:D261"/>
    <mergeCell ref="C262:D262"/>
    <mergeCell ref="C269:D269"/>
    <mergeCell ref="C270:D270"/>
    <mergeCell ref="C271:D271"/>
    <mergeCell ref="C278:D278"/>
    <mergeCell ref="C279:D279"/>
    <mergeCell ref="C280:D280"/>
    <mergeCell ref="C281:D281"/>
    <mergeCell ref="C282:D282"/>
    <mergeCell ref="A283:B283"/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B2:B10"/>
    <mergeCell ref="B11:B19"/>
    <mergeCell ref="B20:B28"/>
    <mergeCell ref="B29:B37"/>
    <mergeCell ref="B38:B46"/>
    <mergeCell ref="B47:B55"/>
    <mergeCell ref="B56:B64"/>
    <mergeCell ref="B65:B73"/>
    <mergeCell ref="B74:B82"/>
    <mergeCell ref="B83:B91"/>
    <mergeCell ref="B92:B100"/>
    <mergeCell ref="B101:B109"/>
    <mergeCell ref="B110:B118"/>
    <mergeCell ref="B119:B127"/>
    <mergeCell ref="B128:B136"/>
    <mergeCell ref="B137:B145"/>
    <mergeCell ref="B146:B154"/>
    <mergeCell ref="B155:B163"/>
    <mergeCell ref="B164:B172"/>
    <mergeCell ref="B173:B181"/>
    <mergeCell ref="B182:B190"/>
    <mergeCell ref="B191:B199"/>
    <mergeCell ref="B200:B208"/>
    <mergeCell ref="B209:B217"/>
    <mergeCell ref="B218:B226"/>
    <mergeCell ref="B227:B235"/>
    <mergeCell ref="B236:B244"/>
    <mergeCell ref="B245:B253"/>
    <mergeCell ref="B254:B262"/>
    <mergeCell ref="B263:B271"/>
    <mergeCell ref="B272:B280"/>
    <mergeCell ref="C2:C4"/>
    <mergeCell ref="C5:C7"/>
    <mergeCell ref="C11:C13"/>
    <mergeCell ref="C14:C16"/>
    <mergeCell ref="C20:C22"/>
    <mergeCell ref="C23:C25"/>
    <mergeCell ref="C29:C31"/>
    <mergeCell ref="C32:C34"/>
    <mergeCell ref="C38:C40"/>
    <mergeCell ref="C41:C43"/>
    <mergeCell ref="C47:C49"/>
    <mergeCell ref="C50:C52"/>
    <mergeCell ref="C56:C58"/>
    <mergeCell ref="C59:C61"/>
    <mergeCell ref="C65:C67"/>
    <mergeCell ref="C68:C70"/>
    <mergeCell ref="C74:C76"/>
    <mergeCell ref="C77:C79"/>
    <mergeCell ref="C83:C85"/>
    <mergeCell ref="C86:C88"/>
    <mergeCell ref="C92:C94"/>
    <mergeCell ref="C95:C97"/>
    <mergeCell ref="C101:C103"/>
    <mergeCell ref="C104:C106"/>
    <mergeCell ref="C110:C112"/>
    <mergeCell ref="C113:C115"/>
    <mergeCell ref="C119:C121"/>
    <mergeCell ref="C122:C124"/>
    <mergeCell ref="C128:C130"/>
    <mergeCell ref="C131:C133"/>
    <mergeCell ref="C137:C139"/>
    <mergeCell ref="C140:C142"/>
    <mergeCell ref="C146:C148"/>
    <mergeCell ref="C149:C151"/>
    <mergeCell ref="C155:C157"/>
    <mergeCell ref="C158:C160"/>
    <mergeCell ref="C164:C166"/>
    <mergeCell ref="C167:C169"/>
    <mergeCell ref="C173:C175"/>
    <mergeCell ref="C176:C178"/>
    <mergeCell ref="C182:C184"/>
    <mergeCell ref="C185:C187"/>
    <mergeCell ref="C191:C193"/>
    <mergeCell ref="C194:C196"/>
    <mergeCell ref="C200:C202"/>
    <mergeCell ref="C203:C205"/>
    <mergeCell ref="C209:C211"/>
    <mergeCell ref="C212:C214"/>
    <mergeCell ref="C218:C220"/>
    <mergeCell ref="C221:C223"/>
    <mergeCell ref="C227:C229"/>
    <mergeCell ref="C230:C232"/>
    <mergeCell ref="C236:C238"/>
    <mergeCell ref="C239:C241"/>
    <mergeCell ref="C245:C247"/>
    <mergeCell ref="C248:C250"/>
    <mergeCell ref="C254:C256"/>
    <mergeCell ref="C257:C259"/>
    <mergeCell ref="C263:C265"/>
    <mergeCell ref="C266:C268"/>
    <mergeCell ref="C272:C274"/>
    <mergeCell ref="C275:C277"/>
  </mergeCells>
  <conditionalFormatting sqref="E4">
    <cfRule type="cellIs" dxfId="1" priority="122" operator="lessThan">
      <formula>0</formula>
    </cfRule>
  </conditionalFormatting>
  <conditionalFormatting sqref="E7">
    <cfRule type="cellIs" dxfId="1" priority="130" operator="lessThan">
      <formula>0</formula>
    </cfRule>
  </conditionalFormatting>
  <conditionalFormatting sqref="E8">
    <cfRule type="cellIs" dxfId="1" priority="127" operator="lessThan">
      <formula>0</formula>
    </cfRule>
  </conditionalFormatting>
  <conditionalFormatting sqref="E9">
    <cfRule type="cellIs" dxfId="1" priority="126" operator="lessThan">
      <formula>0</formula>
    </cfRule>
  </conditionalFormatting>
  <conditionalFormatting sqref="C10:D10">
    <cfRule type="cellIs" dxfId="3" priority="132" operator="notEqual">
      <formula>0</formula>
    </cfRule>
    <cfRule type="cellIs" dxfId="2" priority="131" operator="notEqual">
      <formula>0</formula>
    </cfRule>
  </conditionalFormatting>
  <conditionalFormatting sqref="E10">
    <cfRule type="cellIs" dxfId="1" priority="125" operator="lessThan">
      <formula>0</formula>
    </cfRule>
    <cfRule type="cellIs" dxfId="3" priority="124" operator="notEqual">
      <formula>0</formula>
    </cfRule>
    <cfRule type="cellIs" dxfId="2" priority="123" operator="notEqual">
      <formula>0</formula>
    </cfRule>
  </conditionalFormatting>
  <conditionalFormatting sqref="E13">
    <cfRule type="cellIs" dxfId="1" priority="111" operator="lessThan">
      <formula>0</formula>
    </cfRule>
  </conditionalFormatting>
  <conditionalFormatting sqref="E16">
    <cfRule type="cellIs" dxfId="1" priority="119" operator="lessThan">
      <formula>0</formula>
    </cfRule>
  </conditionalFormatting>
  <conditionalFormatting sqref="E17">
    <cfRule type="cellIs" dxfId="1" priority="116" operator="lessThan">
      <formula>0</formula>
    </cfRule>
  </conditionalFormatting>
  <conditionalFormatting sqref="E18">
    <cfRule type="cellIs" dxfId="1" priority="115" operator="lessThan">
      <formula>0</formula>
    </cfRule>
  </conditionalFormatting>
  <conditionalFormatting sqref="C19:D19">
    <cfRule type="cellIs" dxfId="3" priority="121" operator="notEqual">
      <formula>0</formula>
    </cfRule>
    <cfRule type="cellIs" dxfId="2" priority="120" operator="notEqual">
      <formula>0</formula>
    </cfRule>
  </conditionalFormatting>
  <conditionalFormatting sqref="E19">
    <cfRule type="cellIs" dxfId="1" priority="114" operator="lessThan">
      <formula>0</formula>
    </cfRule>
    <cfRule type="cellIs" dxfId="3" priority="113" operator="notEqual">
      <formula>0</formula>
    </cfRule>
    <cfRule type="cellIs" dxfId="2" priority="112" operator="notEqual">
      <formula>0</formula>
    </cfRule>
  </conditionalFormatting>
  <conditionalFormatting sqref="E22">
    <cfRule type="cellIs" dxfId="1" priority="100" operator="lessThan">
      <formula>0</formula>
    </cfRule>
  </conditionalFormatting>
  <conditionalFormatting sqref="E25">
    <cfRule type="cellIs" dxfId="1" priority="108" operator="lessThan">
      <formula>0</formula>
    </cfRule>
  </conditionalFormatting>
  <conditionalFormatting sqref="E26">
    <cfRule type="cellIs" dxfId="1" priority="105" operator="lessThan">
      <formula>0</formula>
    </cfRule>
  </conditionalFormatting>
  <conditionalFormatting sqref="E27">
    <cfRule type="cellIs" dxfId="1" priority="104" operator="lessThan">
      <formula>0</formula>
    </cfRule>
  </conditionalFormatting>
  <conditionalFormatting sqref="C28:D28">
    <cfRule type="cellIs" dxfId="3" priority="110" operator="notEqual">
      <formula>0</formula>
    </cfRule>
    <cfRule type="cellIs" dxfId="2" priority="109" operator="notEqual">
      <formula>0</formula>
    </cfRule>
  </conditionalFormatting>
  <conditionalFormatting sqref="E28">
    <cfRule type="cellIs" dxfId="1" priority="103" operator="lessThan">
      <formula>0</formula>
    </cfRule>
    <cfRule type="cellIs" dxfId="3" priority="102" operator="notEqual">
      <formula>0</formula>
    </cfRule>
    <cfRule type="cellIs" dxfId="2" priority="101" operator="notEqual">
      <formula>0</formula>
    </cfRule>
  </conditionalFormatting>
  <conditionalFormatting sqref="E31">
    <cfRule type="cellIs" dxfId="1" priority="89" operator="lessThan">
      <formula>0</formula>
    </cfRule>
  </conditionalFormatting>
  <conditionalFormatting sqref="E34">
    <cfRule type="cellIs" dxfId="1" priority="97" operator="lessThan">
      <formula>0</formula>
    </cfRule>
  </conditionalFormatting>
  <conditionalFormatting sqref="E35">
    <cfRule type="cellIs" dxfId="1" priority="94" operator="lessThan">
      <formula>0</formula>
    </cfRule>
  </conditionalFormatting>
  <conditionalFormatting sqref="E36">
    <cfRule type="cellIs" dxfId="1" priority="93" operator="lessThan">
      <formula>0</formula>
    </cfRule>
  </conditionalFormatting>
  <conditionalFormatting sqref="C37:D37">
    <cfRule type="cellIs" dxfId="3" priority="99" operator="notEqual">
      <formula>0</formula>
    </cfRule>
    <cfRule type="cellIs" dxfId="2" priority="98" operator="notEqual">
      <formula>0</formula>
    </cfRule>
  </conditionalFormatting>
  <conditionalFormatting sqref="E37">
    <cfRule type="cellIs" dxfId="1" priority="92" operator="lessThan">
      <formula>0</formula>
    </cfRule>
    <cfRule type="cellIs" dxfId="3" priority="91" operator="notEqual">
      <formula>0</formula>
    </cfRule>
    <cfRule type="cellIs" dxfId="2" priority="90" operator="notEqual">
      <formula>0</formula>
    </cfRule>
  </conditionalFormatting>
  <conditionalFormatting sqref="E40">
    <cfRule type="cellIs" dxfId="1" priority="78" operator="lessThan">
      <formula>0</formula>
    </cfRule>
  </conditionalFormatting>
  <conditionalFormatting sqref="E43">
    <cfRule type="cellIs" dxfId="1" priority="86" operator="lessThan">
      <formula>0</formula>
    </cfRule>
  </conditionalFormatting>
  <conditionalFormatting sqref="E44">
    <cfRule type="cellIs" dxfId="1" priority="83" operator="lessThan">
      <formula>0</formula>
    </cfRule>
  </conditionalFormatting>
  <conditionalFormatting sqref="E45">
    <cfRule type="cellIs" dxfId="1" priority="82" operator="lessThan">
      <formula>0</formula>
    </cfRule>
  </conditionalFormatting>
  <conditionalFormatting sqref="C46:D46">
    <cfRule type="cellIs" dxfId="3" priority="88" operator="notEqual">
      <formula>0</formula>
    </cfRule>
    <cfRule type="cellIs" dxfId="2" priority="87" operator="notEqual">
      <formula>0</formula>
    </cfRule>
  </conditionalFormatting>
  <conditionalFormatting sqref="E46">
    <cfRule type="cellIs" dxfId="1" priority="81" operator="lessThan">
      <formula>0</formula>
    </cfRule>
    <cfRule type="cellIs" dxfId="3" priority="80" operator="notEqual">
      <formula>0</formula>
    </cfRule>
    <cfRule type="cellIs" dxfId="2" priority="79" operator="notEqual">
      <formula>0</formula>
    </cfRule>
  </conditionalFormatting>
  <conditionalFormatting sqref="E49">
    <cfRule type="cellIs" dxfId="1" priority="67" operator="lessThan">
      <formula>0</formula>
    </cfRule>
  </conditionalFormatting>
  <conditionalFormatting sqref="E52">
    <cfRule type="cellIs" dxfId="1" priority="75" operator="lessThan">
      <formula>0</formula>
    </cfRule>
  </conditionalFormatting>
  <conditionalFormatting sqref="E53">
    <cfRule type="cellIs" dxfId="1" priority="72" operator="lessThan">
      <formula>0</formula>
    </cfRule>
  </conditionalFormatting>
  <conditionalFormatting sqref="E54">
    <cfRule type="cellIs" dxfId="1" priority="71" operator="lessThan">
      <formula>0</formula>
    </cfRule>
  </conditionalFormatting>
  <conditionalFormatting sqref="C55:D55">
    <cfRule type="cellIs" dxfId="3" priority="77" operator="notEqual">
      <formula>0</formula>
    </cfRule>
    <cfRule type="cellIs" dxfId="2" priority="76" operator="notEqual">
      <formula>0</formula>
    </cfRule>
  </conditionalFormatting>
  <conditionalFormatting sqref="E55">
    <cfRule type="cellIs" dxfId="1" priority="70" operator="lessThan">
      <formula>0</formula>
    </cfRule>
    <cfRule type="cellIs" dxfId="3" priority="69" operator="notEqual">
      <formula>0</formula>
    </cfRule>
    <cfRule type="cellIs" dxfId="2" priority="68" operator="notEqual">
      <formula>0</formula>
    </cfRule>
  </conditionalFormatting>
  <conditionalFormatting sqref="E58">
    <cfRule type="cellIs" dxfId="1" priority="56" operator="lessThan">
      <formula>0</formula>
    </cfRule>
  </conditionalFormatting>
  <conditionalFormatting sqref="E61">
    <cfRule type="cellIs" dxfId="1" priority="64" operator="lessThan">
      <formula>0</formula>
    </cfRule>
  </conditionalFormatting>
  <conditionalFormatting sqref="E62">
    <cfRule type="cellIs" dxfId="1" priority="61" operator="lessThan">
      <formula>0</formula>
    </cfRule>
  </conditionalFormatting>
  <conditionalFormatting sqref="E63">
    <cfRule type="cellIs" dxfId="1" priority="60" operator="lessThan">
      <formula>0</formula>
    </cfRule>
  </conditionalFormatting>
  <conditionalFormatting sqref="C64:D64">
    <cfRule type="cellIs" dxfId="3" priority="66" operator="notEqual">
      <formula>0</formula>
    </cfRule>
    <cfRule type="cellIs" dxfId="2" priority="65" operator="notEqual">
      <formula>0</formula>
    </cfRule>
  </conditionalFormatting>
  <conditionalFormatting sqref="E64">
    <cfRule type="cellIs" dxfId="1" priority="59" operator="lessThan">
      <formula>0</formula>
    </cfRule>
    <cfRule type="cellIs" dxfId="3" priority="58" operator="notEqual">
      <formula>0</formula>
    </cfRule>
    <cfRule type="cellIs" dxfId="2" priority="57" operator="notEqual">
      <formula>0</formula>
    </cfRule>
  </conditionalFormatting>
  <conditionalFormatting sqref="E67">
    <cfRule type="cellIs" dxfId="1" priority="45" operator="lessThan">
      <formula>0</formula>
    </cfRule>
  </conditionalFormatting>
  <conditionalFormatting sqref="E70">
    <cfRule type="cellIs" dxfId="1" priority="53" operator="lessThan">
      <formula>0</formula>
    </cfRule>
  </conditionalFormatting>
  <conditionalFormatting sqref="E71">
    <cfRule type="cellIs" dxfId="1" priority="50" operator="lessThan">
      <formula>0</formula>
    </cfRule>
  </conditionalFormatting>
  <conditionalFormatting sqref="E72">
    <cfRule type="cellIs" dxfId="1" priority="49" operator="lessThan">
      <formula>0</formula>
    </cfRule>
  </conditionalFormatting>
  <conditionalFormatting sqref="C73:D73">
    <cfRule type="cellIs" dxfId="3" priority="55" operator="notEqual">
      <formula>0</formula>
    </cfRule>
    <cfRule type="cellIs" dxfId="2" priority="54" operator="notEqual">
      <formula>0</formula>
    </cfRule>
  </conditionalFormatting>
  <conditionalFormatting sqref="E73">
    <cfRule type="cellIs" dxfId="1" priority="48" operator="lessThan">
      <formula>0</formula>
    </cfRule>
    <cfRule type="cellIs" dxfId="3" priority="47" operator="notEqual">
      <formula>0</formula>
    </cfRule>
    <cfRule type="cellIs" dxfId="2" priority="46" operator="notEqual">
      <formula>0</formula>
    </cfRule>
  </conditionalFormatting>
  <conditionalFormatting sqref="E76">
    <cfRule type="cellIs" dxfId="1" priority="34" operator="lessThan">
      <formula>0</formula>
    </cfRule>
  </conditionalFormatting>
  <conditionalFormatting sqref="E79">
    <cfRule type="cellIs" dxfId="1" priority="42" operator="lessThan">
      <formula>0</formula>
    </cfRule>
  </conditionalFormatting>
  <conditionalFormatting sqref="E80">
    <cfRule type="cellIs" dxfId="1" priority="39" operator="lessThan">
      <formula>0</formula>
    </cfRule>
  </conditionalFormatting>
  <conditionalFormatting sqref="E81">
    <cfRule type="cellIs" dxfId="1" priority="38" operator="lessThan">
      <formula>0</formula>
    </cfRule>
  </conditionalFormatting>
  <conditionalFormatting sqref="C82:D82">
    <cfRule type="cellIs" dxfId="3" priority="44" operator="notEqual">
      <formula>0</formula>
    </cfRule>
    <cfRule type="cellIs" dxfId="2" priority="43" operator="notEqual">
      <formula>0</formula>
    </cfRule>
  </conditionalFormatting>
  <conditionalFormatting sqref="E82">
    <cfRule type="cellIs" dxfId="1" priority="37" operator="lessThan">
      <formula>0</formula>
    </cfRule>
    <cfRule type="cellIs" dxfId="3" priority="36" operator="notEqual">
      <formula>0</formula>
    </cfRule>
    <cfRule type="cellIs" dxfId="2" priority="35" operator="notEqual">
      <formula>0</formula>
    </cfRule>
  </conditionalFormatting>
  <conditionalFormatting sqref="E85">
    <cfRule type="cellIs" dxfId="1" priority="20" operator="lessThan">
      <formula>0</formula>
    </cfRule>
  </conditionalFormatting>
  <conditionalFormatting sqref="E88">
    <cfRule type="cellIs" dxfId="1" priority="31" operator="lessThan">
      <formula>0</formula>
    </cfRule>
  </conditionalFormatting>
  <conditionalFormatting sqref="E89">
    <cfRule type="cellIs" dxfId="1" priority="28" operator="lessThan">
      <formula>0</formula>
    </cfRule>
  </conditionalFormatting>
  <conditionalFormatting sqref="E90">
    <cfRule type="cellIs" dxfId="1" priority="27" operator="lessThan">
      <formula>0</formula>
    </cfRule>
  </conditionalFormatting>
  <conditionalFormatting sqref="C91:D91">
    <cfRule type="cellIs" dxfId="3" priority="33" operator="notEqual">
      <formula>0</formula>
    </cfRule>
    <cfRule type="cellIs" dxfId="2" priority="32" operator="notEqual">
      <formula>0</formula>
    </cfRule>
  </conditionalFormatting>
  <conditionalFormatting sqref="E91">
    <cfRule type="cellIs" dxfId="1" priority="26" operator="lessThan">
      <formula>0</formula>
    </cfRule>
    <cfRule type="cellIs" dxfId="3" priority="25" operator="notEqual">
      <formula>0</formula>
    </cfRule>
    <cfRule type="cellIs" dxfId="2" priority="24" operator="notEqual">
      <formula>0</formula>
    </cfRule>
  </conditionalFormatting>
  <conditionalFormatting sqref="F91:AC91">
    <cfRule type="cellIs" dxfId="1" priority="23" operator="lessThan">
      <formula>0</formula>
    </cfRule>
    <cfRule type="cellIs" dxfId="3" priority="22" operator="notEqual">
      <formula>0</formula>
    </cfRule>
    <cfRule type="cellIs" dxfId="2" priority="21" operator="notEqual">
      <formula>0</formula>
    </cfRule>
  </conditionalFormatting>
  <conditionalFormatting sqref="F92:AC92">
    <cfRule type="cellIs" dxfId="0" priority="137" operator="lessThan">
      <formula>0</formula>
    </cfRule>
  </conditionalFormatting>
  <conditionalFormatting sqref="F93:AC93">
    <cfRule type="cellIs" dxfId="1" priority="136" operator="lessThan">
      <formula>0</formula>
    </cfRule>
  </conditionalFormatting>
  <conditionalFormatting sqref="E94:AC94">
    <cfRule type="cellIs" dxfId="1" priority="420" operator="lessThan">
      <formula>0</formula>
    </cfRule>
  </conditionalFormatting>
  <conditionalFormatting sqref="E97">
    <cfRule type="cellIs" dxfId="1" priority="433" operator="lessThan">
      <formula>0</formula>
    </cfRule>
  </conditionalFormatting>
  <conditionalFormatting sqref="E98">
    <cfRule type="cellIs" dxfId="1" priority="430" operator="lessThan">
      <formula>0</formula>
    </cfRule>
  </conditionalFormatting>
  <conditionalFormatting sqref="F98:AC98">
    <cfRule type="cellIs" dxfId="1" priority="422" operator="lessThan">
      <formula>0</formula>
    </cfRule>
  </conditionalFormatting>
  <conditionalFormatting sqref="E99">
    <cfRule type="cellIs" dxfId="1" priority="429" operator="lessThan">
      <formula>0</formula>
    </cfRule>
  </conditionalFormatting>
  <conditionalFormatting sqref="F99:AC99">
    <cfRule type="cellIs" dxfId="1" priority="421" operator="lessThan">
      <formula>0</formula>
    </cfRule>
  </conditionalFormatting>
  <conditionalFormatting sqref="C100:D100">
    <cfRule type="cellIs" dxfId="3" priority="436" operator="notEqual">
      <formula>0</formula>
    </cfRule>
    <cfRule type="cellIs" dxfId="2" priority="435" operator="notEqual">
      <formula>0</formula>
    </cfRule>
  </conditionalFormatting>
  <conditionalFormatting sqref="E100">
    <cfRule type="cellIs" dxfId="1" priority="428" operator="lessThan">
      <formula>0</formula>
    </cfRule>
    <cfRule type="cellIs" dxfId="3" priority="427" operator="notEqual">
      <formula>0</formula>
    </cfRule>
    <cfRule type="cellIs" dxfId="2" priority="426" operator="notEqual">
      <formula>0</formula>
    </cfRule>
  </conditionalFormatting>
  <conditionalFormatting sqref="F100:AC100">
    <cfRule type="cellIs" dxfId="1" priority="425" operator="lessThan">
      <formula>0</formula>
    </cfRule>
    <cfRule type="cellIs" dxfId="3" priority="424" operator="notEqual">
      <formula>0</formula>
    </cfRule>
    <cfRule type="cellIs" dxfId="2" priority="423" operator="notEqual">
      <formula>0</formula>
    </cfRule>
  </conditionalFormatting>
  <conditionalFormatting sqref="E103">
    <cfRule type="cellIs" dxfId="1" priority="404" operator="lessThan">
      <formula>0</formula>
    </cfRule>
  </conditionalFormatting>
  <conditionalFormatting sqref="E106">
    <cfRule type="cellIs" dxfId="1" priority="417" operator="lessThan">
      <formula>0</formula>
    </cfRule>
  </conditionalFormatting>
  <conditionalFormatting sqref="E107">
    <cfRule type="cellIs" dxfId="1" priority="414" operator="lessThan">
      <formula>0</formula>
    </cfRule>
  </conditionalFormatting>
  <conditionalFormatting sqref="F107:AC107">
    <cfRule type="cellIs" dxfId="1" priority="406" operator="lessThan">
      <formula>0</formula>
    </cfRule>
  </conditionalFormatting>
  <conditionalFormatting sqref="E108">
    <cfRule type="cellIs" dxfId="1" priority="413" operator="lessThan">
      <formula>0</formula>
    </cfRule>
  </conditionalFormatting>
  <conditionalFormatting sqref="F108:AC108">
    <cfRule type="cellIs" dxfId="1" priority="405" operator="lessThan">
      <formula>0</formula>
    </cfRule>
  </conditionalFormatting>
  <conditionalFormatting sqref="C109:D109">
    <cfRule type="cellIs" dxfId="3" priority="419" operator="notEqual">
      <formula>0</formula>
    </cfRule>
    <cfRule type="cellIs" dxfId="2" priority="418" operator="notEqual">
      <formula>0</formula>
    </cfRule>
  </conditionalFormatting>
  <conditionalFormatting sqref="E109">
    <cfRule type="cellIs" dxfId="1" priority="412" operator="lessThan">
      <formula>0</formula>
    </cfRule>
    <cfRule type="cellIs" dxfId="3" priority="411" operator="notEqual">
      <formula>0</formula>
    </cfRule>
    <cfRule type="cellIs" dxfId="2" priority="410" operator="notEqual">
      <formula>0</formula>
    </cfRule>
  </conditionalFormatting>
  <conditionalFormatting sqref="F109:AC109">
    <cfRule type="cellIs" dxfId="1" priority="409" operator="lessThan">
      <formula>0</formula>
    </cfRule>
    <cfRule type="cellIs" dxfId="3" priority="408" operator="notEqual">
      <formula>0</formula>
    </cfRule>
    <cfRule type="cellIs" dxfId="2" priority="407" operator="notEqual">
      <formula>0</formula>
    </cfRule>
  </conditionalFormatting>
  <conditionalFormatting sqref="E112">
    <cfRule type="cellIs" dxfId="1" priority="388" operator="lessThan">
      <formula>0</formula>
    </cfRule>
  </conditionalFormatting>
  <conditionalFormatting sqref="E115">
    <cfRule type="cellIs" dxfId="1" priority="401" operator="lessThan">
      <formula>0</formula>
    </cfRule>
  </conditionalFormatting>
  <conditionalFormatting sqref="E116">
    <cfRule type="cellIs" dxfId="1" priority="398" operator="lessThan">
      <formula>0</formula>
    </cfRule>
  </conditionalFormatting>
  <conditionalFormatting sqref="F116:AC116">
    <cfRule type="cellIs" dxfId="1" priority="390" operator="lessThan">
      <formula>0</formula>
    </cfRule>
  </conditionalFormatting>
  <conditionalFormatting sqref="E117">
    <cfRule type="cellIs" dxfId="1" priority="397" operator="lessThan">
      <formula>0</formula>
    </cfRule>
  </conditionalFormatting>
  <conditionalFormatting sqref="F117:AC117">
    <cfRule type="cellIs" dxfId="1" priority="389" operator="lessThan">
      <formula>0</formula>
    </cfRule>
  </conditionalFormatting>
  <conditionalFormatting sqref="C118:D118">
    <cfRule type="cellIs" dxfId="3" priority="403" operator="notEqual">
      <formula>0</formula>
    </cfRule>
    <cfRule type="cellIs" dxfId="2" priority="402" operator="notEqual">
      <formula>0</formula>
    </cfRule>
  </conditionalFormatting>
  <conditionalFormatting sqref="E118">
    <cfRule type="cellIs" dxfId="1" priority="396" operator="lessThan">
      <formula>0</formula>
    </cfRule>
    <cfRule type="cellIs" dxfId="3" priority="395" operator="notEqual">
      <formula>0</formula>
    </cfRule>
    <cfRule type="cellIs" dxfId="2" priority="394" operator="notEqual">
      <formula>0</formula>
    </cfRule>
  </conditionalFormatting>
  <conditionalFormatting sqref="F118:AC118">
    <cfRule type="cellIs" dxfId="1" priority="393" operator="lessThan">
      <formula>0</formula>
    </cfRule>
    <cfRule type="cellIs" dxfId="3" priority="392" operator="notEqual">
      <formula>0</formula>
    </cfRule>
    <cfRule type="cellIs" dxfId="2" priority="391" operator="notEqual">
      <formula>0</formula>
    </cfRule>
  </conditionalFormatting>
  <conditionalFormatting sqref="E121">
    <cfRule type="cellIs" dxfId="1" priority="372" operator="lessThan">
      <formula>0</formula>
    </cfRule>
  </conditionalFormatting>
  <conditionalFormatting sqref="E124">
    <cfRule type="cellIs" dxfId="1" priority="385" operator="lessThan">
      <formula>0</formula>
    </cfRule>
  </conditionalFormatting>
  <conditionalFormatting sqref="E125">
    <cfRule type="cellIs" dxfId="1" priority="382" operator="lessThan">
      <formula>0</formula>
    </cfRule>
  </conditionalFormatting>
  <conditionalFormatting sqref="F125:AC125">
    <cfRule type="cellIs" dxfId="1" priority="374" operator="lessThan">
      <formula>0</formula>
    </cfRule>
  </conditionalFormatting>
  <conditionalFormatting sqref="E126">
    <cfRule type="cellIs" dxfId="1" priority="381" operator="lessThan">
      <formula>0</formula>
    </cfRule>
  </conditionalFormatting>
  <conditionalFormatting sqref="F126:AC126">
    <cfRule type="cellIs" dxfId="1" priority="373" operator="lessThan">
      <formula>0</formula>
    </cfRule>
  </conditionalFormatting>
  <conditionalFormatting sqref="C127:D127">
    <cfRule type="cellIs" dxfId="3" priority="387" operator="notEqual">
      <formula>0</formula>
    </cfRule>
    <cfRule type="cellIs" dxfId="2" priority="386" operator="notEqual">
      <formula>0</formula>
    </cfRule>
  </conditionalFormatting>
  <conditionalFormatting sqref="E127">
    <cfRule type="cellIs" dxfId="1" priority="380" operator="lessThan">
      <formula>0</formula>
    </cfRule>
    <cfRule type="cellIs" dxfId="3" priority="379" operator="notEqual">
      <formula>0</formula>
    </cfRule>
    <cfRule type="cellIs" dxfId="2" priority="378" operator="notEqual">
      <formula>0</formula>
    </cfRule>
  </conditionalFormatting>
  <conditionalFormatting sqref="F127:AC127">
    <cfRule type="cellIs" dxfId="1" priority="377" operator="lessThan">
      <formula>0</formula>
    </cfRule>
    <cfRule type="cellIs" dxfId="3" priority="376" operator="notEqual">
      <formula>0</formula>
    </cfRule>
    <cfRule type="cellIs" dxfId="2" priority="375" operator="notEqual">
      <formula>0</formula>
    </cfRule>
  </conditionalFormatting>
  <conditionalFormatting sqref="E130">
    <cfRule type="cellIs" dxfId="1" priority="356" operator="lessThan">
      <formula>0</formula>
    </cfRule>
  </conditionalFormatting>
  <conditionalFormatting sqref="E133">
    <cfRule type="cellIs" dxfId="1" priority="369" operator="lessThan">
      <formula>0</formula>
    </cfRule>
  </conditionalFormatting>
  <conditionalFormatting sqref="E134">
    <cfRule type="cellIs" dxfId="1" priority="366" operator="lessThan">
      <formula>0</formula>
    </cfRule>
  </conditionalFormatting>
  <conditionalFormatting sqref="F134:AC134">
    <cfRule type="cellIs" dxfId="1" priority="358" operator="lessThan">
      <formula>0</formula>
    </cfRule>
  </conditionalFormatting>
  <conditionalFormatting sqref="E135">
    <cfRule type="cellIs" dxfId="1" priority="365" operator="lessThan">
      <formula>0</formula>
    </cfRule>
  </conditionalFormatting>
  <conditionalFormatting sqref="F135:AC135">
    <cfRule type="cellIs" dxfId="1" priority="357" operator="lessThan">
      <formula>0</formula>
    </cfRule>
  </conditionalFormatting>
  <conditionalFormatting sqref="C136:D136">
    <cfRule type="cellIs" dxfId="3" priority="371" operator="notEqual">
      <formula>0</formula>
    </cfRule>
    <cfRule type="cellIs" dxfId="2" priority="370" operator="notEqual">
      <formula>0</formula>
    </cfRule>
  </conditionalFormatting>
  <conditionalFormatting sqref="E136">
    <cfRule type="cellIs" dxfId="1" priority="364" operator="lessThan">
      <formula>0</formula>
    </cfRule>
    <cfRule type="cellIs" dxfId="3" priority="363" operator="notEqual">
      <formula>0</formula>
    </cfRule>
    <cfRule type="cellIs" dxfId="2" priority="362" operator="notEqual">
      <formula>0</formula>
    </cfRule>
  </conditionalFormatting>
  <conditionalFormatting sqref="F136:AC136">
    <cfRule type="cellIs" dxfId="1" priority="361" operator="lessThan">
      <formula>0</formula>
    </cfRule>
    <cfRule type="cellIs" dxfId="3" priority="360" operator="notEqual">
      <formula>0</formula>
    </cfRule>
    <cfRule type="cellIs" dxfId="2" priority="359" operator="notEqual">
      <formula>0</formula>
    </cfRule>
  </conditionalFormatting>
  <conditionalFormatting sqref="E139">
    <cfRule type="cellIs" dxfId="1" priority="340" operator="lessThan">
      <formula>0</formula>
    </cfRule>
  </conditionalFormatting>
  <conditionalFormatting sqref="E142">
    <cfRule type="cellIs" dxfId="1" priority="353" operator="lessThan">
      <formula>0</formula>
    </cfRule>
  </conditionalFormatting>
  <conditionalFormatting sqref="E143">
    <cfRule type="cellIs" dxfId="1" priority="350" operator="lessThan">
      <formula>0</formula>
    </cfRule>
  </conditionalFormatting>
  <conditionalFormatting sqref="F143:AC143">
    <cfRule type="cellIs" dxfId="1" priority="342" operator="lessThan">
      <formula>0</formula>
    </cfRule>
  </conditionalFormatting>
  <conditionalFormatting sqref="E144">
    <cfRule type="cellIs" dxfId="1" priority="349" operator="lessThan">
      <formula>0</formula>
    </cfRule>
  </conditionalFormatting>
  <conditionalFormatting sqref="F144:AC144">
    <cfRule type="cellIs" dxfId="1" priority="341" operator="lessThan">
      <formula>0</formula>
    </cfRule>
  </conditionalFormatting>
  <conditionalFormatting sqref="C145:D145">
    <cfRule type="cellIs" dxfId="3" priority="355" operator="notEqual">
      <formula>0</formula>
    </cfRule>
    <cfRule type="cellIs" dxfId="2" priority="354" operator="notEqual">
      <formula>0</formula>
    </cfRule>
  </conditionalFormatting>
  <conditionalFormatting sqref="E145">
    <cfRule type="cellIs" dxfId="1" priority="348" operator="lessThan">
      <formula>0</formula>
    </cfRule>
    <cfRule type="cellIs" dxfId="3" priority="347" operator="notEqual">
      <formula>0</formula>
    </cfRule>
    <cfRule type="cellIs" dxfId="2" priority="346" operator="notEqual">
      <formula>0</formula>
    </cfRule>
  </conditionalFormatting>
  <conditionalFormatting sqref="F145:AC145">
    <cfRule type="cellIs" dxfId="1" priority="345" operator="lessThan">
      <formula>0</formula>
    </cfRule>
    <cfRule type="cellIs" dxfId="3" priority="344" operator="notEqual">
      <formula>0</formula>
    </cfRule>
    <cfRule type="cellIs" dxfId="2" priority="343" operator="notEqual">
      <formula>0</formula>
    </cfRule>
  </conditionalFormatting>
  <conditionalFormatting sqref="E148">
    <cfRule type="cellIs" dxfId="1" priority="324" operator="lessThan">
      <formula>0</formula>
    </cfRule>
  </conditionalFormatting>
  <conditionalFormatting sqref="E151">
    <cfRule type="cellIs" dxfId="1" priority="337" operator="lessThan">
      <formula>0</formula>
    </cfRule>
  </conditionalFormatting>
  <conditionalFormatting sqref="E152">
    <cfRule type="cellIs" dxfId="1" priority="334" operator="lessThan">
      <formula>0</formula>
    </cfRule>
  </conditionalFormatting>
  <conditionalFormatting sqref="F152:AC152">
    <cfRule type="cellIs" dxfId="1" priority="326" operator="lessThan">
      <formula>0</formula>
    </cfRule>
  </conditionalFormatting>
  <conditionalFormatting sqref="E153">
    <cfRule type="cellIs" dxfId="1" priority="333" operator="lessThan">
      <formula>0</formula>
    </cfRule>
  </conditionalFormatting>
  <conditionalFormatting sqref="F153:AC153">
    <cfRule type="cellIs" dxfId="1" priority="325" operator="lessThan">
      <formula>0</formula>
    </cfRule>
  </conditionalFormatting>
  <conditionalFormatting sqref="C154:D154">
    <cfRule type="cellIs" dxfId="3" priority="339" operator="notEqual">
      <formula>0</formula>
    </cfRule>
    <cfRule type="cellIs" dxfId="2" priority="338" operator="notEqual">
      <formula>0</formula>
    </cfRule>
  </conditionalFormatting>
  <conditionalFormatting sqref="E154">
    <cfRule type="cellIs" dxfId="1" priority="332" operator="lessThan">
      <formula>0</formula>
    </cfRule>
    <cfRule type="cellIs" dxfId="3" priority="331" operator="notEqual">
      <formula>0</formula>
    </cfRule>
    <cfRule type="cellIs" dxfId="2" priority="330" operator="notEqual">
      <formula>0</formula>
    </cfRule>
  </conditionalFormatting>
  <conditionalFormatting sqref="F154:AC154">
    <cfRule type="cellIs" dxfId="1" priority="329" operator="lessThan">
      <formula>0</formula>
    </cfRule>
    <cfRule type="cellIs" dxfId="3" priority="328" operator="notEqual">
      <formula>0</formula>
    </cfRule>
    <cfRule type="cellIs" dxfId="2" priority="327" operator="notEqual">
      <formula>0</formula>
    </cfRule>
  </conditionalFormatting>
  <conditionalFormatting sqref="E157">
    <cfRule type="cellIs" dxfId="1" priority="313" operator="lessThan">
      <formula>0</formula>
    </cfRule>
  </conditionalFormatting>
  <conditionalFormatting sqref="E160">
    <cfRule type="cellIs" dxfId="1" priority="321" operator="lessThan">
      <formula>0</formula>
    </cfRule>
  </conditionalFormatting>
  <conditionalFormatting sqref="E161">
    <cfRule type="cellIs" dxfId="1" priority="318" operator="lessThan">
      <formula>0</formula>
    </cfRule>
  </conditionalFormatting>
  <conditionalFormatting sqref="E162">
    <cfRule type="cellIs" dxfId="1" priority="317" operator="lessThan">
      <formula>0</formula>
    </cfRule>
  </conditionalFormatting>
  <conditionalFormatting sqref="C163:D163">
    <cfRule type="cellIs" dxfId="3" priority="323" operator="notEqual">
      <formula>0</formula>
    </cfRule>
    <cfRule type="cellIs" dxfId="2" priority="322" operator="notEqual">
      <formula>0</formula>
    </cfRule>
  </conditionalFormatting>
  <conditionalFormatting sqref="E163">
    <cfRule type="cellIs" dxfId="1" priority="316" operator="lessThan">
      <formula>0</formula>
    </cfRule>
    <cfRule type="cellIs" dxfId="3" priority="315" operator="notEqual">
      <formula>0</formula>
    </cfRule>
    <cfRule type="cellIs" dxfId="2" priority="314" operator="notEqual">
      <formula>0</formula>
    </cfRule>
  </conditionalFormatting>
  <conditionalFormatting sqref="E166">
    <cfRule type="cellIs" dxfId="1" priority="302" operator="lessThan">
      <formula>0</formula>
    </cfRule>
  </conditionalFormatting>
  <conditionalFormatting sqref="E169">
    <cfRule type="cellIs" dxfId="1" priority="310" operator="lessThan">
      <formula>0</formula>
    </cfRule>
  </conditionalFormatting>
  <conditionalFormatting sqref="E170">
    <cfRule type="cellIs" dxfId="1" priority="307" operator="lessThan">
      <formula>0</formula>
    </cfRule>
  </conditionalFormatting>
  <conditionalFormatting sqref="E171">
    <cfRule type="cellIs" dxfId="1" priority="306" operator="lessThan">
      <formula>0</formula>
    </cfRule>
  </conditionalFormatting>
  <conditionalFormatting sqref="C172:D172">
    <cfRule type="cellIs" dxfId="3" priority="312" operator="notEqual">
      <formula>0</formula>
    </cfRule>
    <cfRule type="cellIs" dxfId="2" priority="311" operator="notEqual">
      <formula>0</formula>
    </cfRule>
  </conditionalFormatting>
  <conditionalFormatting sqref="E172">
    <cfRule type="cellIs" dxfId="1" priority="305" operator="lessThan">
      <formula>0</formula>
    </cfRule>
    <cfRule type="cellIs" dxfId="3" priority="304" operator="notEqual">
      <formula>0</formula>
    </cfRule>
    <cfRule type="cellIs" dxfId="2" priority="303" operator="notEqual">
      <formula>0</formula>
    </cfRule>
  </conditionalFormatting>
  <conditionalFormatting sqref="E175">
    <cfRule type="cellIs" dxfId="1" priority="291" operator="lessThan">
      <formula>0</formula>
    </cfRule>
  </conditionalFormatting>
  <conditionalFormatting sqref="E178">
    <cfRule type="cellIs" dxfId="1" priority="299" operator="lessThan">
      <formula>0</formula>
    </cfRule>
  </conditionalFormatting>
  <conditionalFormatting sqref="E179">
    <cfRule type="cellIs" dxfId="1" priority="296" operator="lessThan">
      <formula>0</formula>
    </cfRule>
  </conditionalFormatting>
  <conditionalFormatting sqref="E180">
    <cfRule type="cellIs" dxfId="1" priority="295" operator="lessThan">
      <formula>0</formula>
    </cfRule>
  </conditionalFormatting>
  <conditionalFormatting sqref="C181:D181">
    <cfRule type="cellIs" dxfId="3" priority="301" operator="notEqual">
      <formula>0</formula>
    </cfRule>
    <cfRule type="cellIs" dxfId="2" priority="300" operator="notEqual">
      <formula>0</formula>
    </cfRule>
  </conditionalFormatting>
  <conditionalFormatting sqref="E181">
    <cfRule type="cellIs" dxfId="1" priority="294" operator="lessThan">
      <formula>0</formula>
    </cfRule>
    <cfRule type="cellIs" dxfId="3" priority="293" operator="notEqual">
      <formula>0</formula>
    </cfRule>
    <cfRule type="cellIs" dxfId="2" priority="292" operator="notEqual">
      <formula>0</formula>
    </cfRule>
  </conditionalFormatting>
  <conditionalFormatting sqref="E184">
    <cfRule type="cellIs" dxfId="1" priority="280" operator="lessThan">
      <formula>0</formula>
    </cfRule>
  </conditionalFormatting>
  <conditionalFormatting sqref="E187">
    <cfRule type="cellIs" dxfId="1" priority="288" operator="lessThan">
      <formula>0</formula>
    </cfRule>
  </conditionalFormatting>
  <conditionalFormatting sqref="E188">
    <cfRule type="cellIs" dxfId="1" priority="285" operator="lessThan">
      <formula>0</formula>
    </cfRule>
  </conditionalFormatting>
  <conditionalFormatting sqref="E189">
    <cfRule type="cellIs" dxfId="1" priority="284" operator="lessThan">
      <formula>0</formula>
    </cfRule>
  </conditionalFormatting>
  <conditionalFormatting sqref="C190:D190">
    <cfRule type="cellIs" dxfId="3" priority="290" operator="notEqual">
      <formula>0</formula>
    </cfRule>
    <cfRule type="cellIs" dxfId="2" priority="289" operator="notEqual">
      <formula>0</formula>
    </cfRule>
  </conditionalFormatting>
  <conditionalFormatting sqref="E190">
    <cfRule type="cellIs" dxfId="1" priority="283" operator="lessThan">
      <formula>0</formula>
    </cfRule>
    <cfRule type="cellIs" dxfId="3" priority="282" operator="notEqual">
      <formula>0</formula>
    </cfRule>
    <cfRule type="cellIs" dxfId="2" priority="281" operator="notEqual">
      <formula>0</formula>
    </cfRule>
  </conditionalFormatting>
  <conditionalFormatting sqref="E193">
    <cfRule type="cellIs" dxfId="1" priority="269" operator="lessThan">
      <formula>0</formula>
    </cfRule>
  </conditionalFormatting>
  <conditionalFormatting sqref="E196">
    <cfRule type="cellIs" dxfId="1" priority="277" operator="lessThan">
      <formula>0</formula>
    </cfRule>
  </conditionalFormatting>
  <conditionalFormatting sqref="E197">
    <cfRule type="cellIs" dxfId="1" priority="274" operator="lessThan">
      <formula>0</formula>
    </cfRule>
  </conditionalFormatting>
  <conditionalFormatting sqref="E198">
    <cfRule type="cellIs" dxfId="1" priority="273" operator="lessThan">
      <formula>0</formula>
    </cfRule>
  </conditionalFormatting>
  <conditionalFormatting sqref="C199:D199">
    <cfRule type="cellIs" dxfId="3" priority="279" operator="notEqual">
      <formula>0</formula>
    </cfRule>
    <cfRule type="cellIs" dxfId="2" priority="278" operator="notEqual">
      <formula>0</formula>
    </cfRule>
  </conditionalFormatting>
  <conditionalFormatting sqref="E199">
    <cfRule type="cellIs" dxfId="1" priority="272" operator="lessThan">
      <formula>0</formula>
    </cfRule>
    <cfRule type="cellIs" dxfId="3" priority="271" operator="notEqual">
      <formula>0</formula>
    </cfRule>
    <cfRule type="cellIs" dxfId="2" priority="270" operator="notEqual">
      <formula>0</formula>
    </cfRule>
  </conditionalFormatting>
  <conditionalFormatting sqref="F201:AC201">
    <cfRule type="cellIs" dxfId="0" priority="252" operator="lessThan">
      <formula>0</formula>
    </cfRule>
  </conditionalFormatting>
  <conditionalFormatting sqref="E202:AC202">
    <cfRule type="cellIs" dxfId="1" priority="251" operator="lessThan">
      <formula>0</formula>
    </cfRule>
  </conditionalFormatting>
  <conditionalFormatting sqref="E205">
    <cfRule type="cellIs" dxfId="1" priority="265" operator="lessThan">
      <formula>0</formula>
    </cfRule>
  </conditionalFormatting>
  <conditionalFormatting sqref="E206">
    <cfRule type="cellIs" dxfId="1" priority="262" operator="lessThan">
      <formula>0</formula>
    </cfRule>
  </conditionalFormatting>
  <conditionalFormatting sqref="F206:AC206">
    <cfRule type="cellIs" dxfId="1" priority="254" operator="lessThan">
      <formula>0</formula>
    </cfRule>
  </conditionalFormatting>
  <conditionalFormatting sqref="E207">
    <cfRule type="cellIs" dxfId="1" priority="261" operator="lessThan">
      <formula>0</formula>
    </cfRule>
  </conditionalFormatting>
  <conditionalFormatting sqref="F207:AC207">
    <cfRule type="cellIs" dxfId="1" priority="253" operator="lessThan">
      <formula>0</formula>
    </cfRule>
  </conditionalFormatting>
  <conditionalFormatting sqref="C208:D208">
    <cfRule type="cellIs" dxfId="3" priority="268" operator="notEqual">
      <formula>0</formula>
    </cfRule>
    <cfRule type="cellIs" dxfId="2" priority="267" operator="notEqual">
      <formula>0</formula>
    </cfRule>
  </conditionalFormatting>
  <conditionalFormatting sqref="E208">
    <cfRule type="cellIs" dxfId="1" priority="260" operator="lessThan">
      <formula>0</formula>
    </cfRule>
    <cfRule type="cellIs" dxfId="3" priority="259" operator="notEqual">
      <formula>0</formula>
    </cfRule>
    <cfRule type="cellIs" dxfId="2" priority="258" operator="notEqual">
      <formula>0</formula>
    </cfRule>
  </conditionalFormatting>
  <conditionalFormatting sqref="F208:AC208">
    <cfRule type="cellIs" dxfId="1" priority="257" operator="lessThan">
      <formula>0</formula>
    </cfRule>
    <cfRule type="cellIs" dxfId="3" priority="256" operator="notEqual">
      <formula>0</formula>
    </cfRule>
    <cfRule type="cellIs" dxfId="2" priority="255" operator="notEqual">
      <formula>0</formula>
    </cfRule>
  </conditionalFormatting>
  <conditionalFormatting sqref="F210:AC210">
    <cfRule type="cellIs" dxfId="0" priority="234" operator="lessThan">
      <formula>0</formula>
    </cfRule>
  </conditionalFormatting>
  <conditionalFormatting sqref="E211:AC211">
    <cfRule type="cellIs" dxfId="1" priority="233" operator="lessThan">
      <formula>0</formula>
    </cfRule>
  </conditionalFormatting>
  <conditionalFormatting sqref="E214">
    <cfRule type="cellIs" dxfId="1" priority="247" operator="lessThan">
      <formula>0</formula>
    </cfRule>
  </conditionalFormatting>
  <conditionalFormatting sqref="E215">
    <cfRule type="cellIs" dxfId="1" priority="244" operator="lessThan">
      <formula>0</formula>
    </cfRule>
  </conditionalFormatting>
  <conditionalFormatting sqref="F215:AC215">
    <cfRule type="cellIs" dxfId="1" priority="236" operator="lessThan">
      <formula>0</formula>
    </cfRule>
  </conditionalFormatting>
  <conditionalFormatting sqref="E216">
    <cfRule type="cellIs" dxfId="1" priority="243" operator="lessThan">
      <formula>0</formula>
    </cfRule>
  </conditionalFormatting>
  <conditionalFormatting sqref="F216:AC216">
    <cfRule type="cellIs" dxfId="1" priority="235" operator="lessThan">
      <formula>0</formula>
    </cfRule>
  </conditionalFormatting>
  <conditionalFormatting sqref="C217:D217">
    <cfRule type="cellIs" dxfId="3" priority="250" operator="notEqual">
      <formula>0</formula>
    </cfRule>
    <cfRule type="cellIs" dxfId="2" priority="249" operator="notEqual">
      <formula>0</formula>
    </cfRule>
  </conditionalFormatting>
  <conditionalFormatting sqref="E217">
    <cfRule type="cellIs" dxfId="1" priority="242" operator="lessThan">
      <formula>0</formula>
    </cfRule>
    <cfRule type="cellIs" dxfId="3" priority="241" operator="notEqual">
      <formula>0</formula>
    </cfRule>
    <cfRule type="cellIs" dxfId="2" priority="240" operator="notEqual">
      <formula>0</formula>
    </cfRule>
  </conditionalFormatting>
  <conditionalFormatting sqref="F217:AC217">
    <cfRule type="cellIs" dxfId="1" priority="239" operator="lessThan">
      <formula>0</formula>
    </cfRule>
    <cfRule type="cellIs" dxfId="3" priority="238" operator="notEqual">
      <formula>0</formula>
    </cfRule>
    <cfRule type="cellIs" dxfId="2" priority="237" operator="notEqual">
      <formula>0</formula>
    </cfRule>
  </conditionalFormatting>
  <conditionalFormatting sqref="F219:AC219">
    <cfRule type="cellIs" dxfId="0" priority="216" operator="lessThan">
      <formula>0</formula>
    </cfRule>
  </conditionalFormatting>
  <conditionalFormatting sqref="E220:AC220">
    <cfRule type="cellIs" dxfId="1" priority="215" operator="lessThan">
      <formula>0</formula>
    </cfRule>
  </conditionalFormatting>
  <conditionalFormatting sqref="E223">
    <cfRule type="cellIs" dxfId="1" priority="229" operator="lessThan">
      <formula>0</formula>
    </cfRule>
  </conditionalFormatting>
  <conditionalFormatting sqref="E224">
    <cfRule type="cellIs" dxfId="1" priority="226" operator="lessThan">
      <formula>0</formula>
    </cfRule>
  </conditionalFormatting>
  <conditionalFormatting sqref="F224:AC224">
    <cfRule type="cellIs" dxfId="1" priority="218" operator="lessThan">
      <formula>0</formula>
    </cfRule>
  </conditionalFormatting>
  <conditionalFormatting sqref="E225">
    <cfRule type="cellIs" dxfId="1" priority="225" operator="lessThan">
      <formula>0</formula>
    </cfRule>
  </conditionalFormatting>
  <conditionalFormatting sqref="F225:AC225">
    <cfRule type="cellIs" dxfId="1" priority="217" operator="lessThan">
      <formula>0</formula>
    </cfRule>
  </conditionalFormatting>
  <conditionalFormatting sqref="C226:D226">
    <cfRule type="cellIs" dxfId="3" priority="232" operator="notEqual">
      <formula>0</formula>
    </cfRule>
    <cfRule type="cellIs" dxfId="2" priority="231" operator="notEqual">
      <formula>0</formula>
    </cfRule>
  </conditionalFormatting>
  <conditionalFormatting sqref="E226">
    <cfRule type="cellIs" dxfId="1" priority="224" operator="lessThan">
      <formula>0</formula>
    </cfRule>
    <cfRule type="cellIs" dxfId="3" priority="223" operator="notEqual">
      <formula>0</formula>
    </cfRule>
    <cfRule type="cellIs" dxfId="2" priority="222" operator="notEqual">
      <formula>0</formula>
    </cfRule>
  </conditionalFormatting>
  <conditionalFormatting sqref="F226:AC226">
    <cfRule type="cellIs" dxfId="1" priority="221" operator="lessThan">
      <formula>0</formula>
    </cfRule>
    <cfRule type="cellIs" dxfId="3" priority="220" operator="notEqual">
      <formula>0</formula>
    </cfRule>
    <cfRule type="cellIs" dxfId="2" priority="219" operator="notEqual">
      <formula>0</formula>
    </cfRule>
  </conditionalFormatting>
  <conditionalFormatting sqref="F228:AC228">
    <cfRule type="cellIs" dxfId="0" priority="198" operator="lessThan">
      <formula>0</formula>
    </cfRule>
  </conditionalFormatting>
  <conditionalFormatting sqref="E229:AC229">
    <cfRule type="cellIs" dxfId="1" priority="197" operator="lessThan">
      <formula>0</formula>
    </cfRule>
  </conditionalFormatting>
  <conditionalFormatting sqref="E232">
    <cfRule type="cellIs" dxfId="1" priority="211" operator="lessThan">
      <formula>0</formula>
    </cfRule>
  </conditionalFormatting>
  <conditionalFormatting sqref="E233">
    <cfRule type="cellIs" dxfId="1" priority="208" operator="lessThan">
      <formula>0</formula>
    </cfRule>
  </conditionalFormatting>
  <conditionalFormatting sqref="F233:AC233">
    <cfRule type="cellIs" dxfId="1" priority="200" operator="lessThan">
      <formula>0</formula>
    </cfRule>
  </conditionalFormatting>
  <conditionalFormatting sqref="E234">
    <cfRule type="cellIs" dxfId="1" priority="207" operator="lessThan">
      <formula>0</formula>
    </cfRule>
  </conditionalFormatting>
  <conditionalFormatting sqref="F234:AC234">
    <cfRule type="cellIs" dxfId="1" priority="199" operator="lessThan">
      <formula>0</formula>
    </cfRule>
  </conditionalFormatting>
  <conditionalFormatting sqref="C235:D235">
    <cfRule type="cellIs" dxfId="3" priority="214" operator="notEqual">
      <formula>0</formula>
    </cfRule>
    <cfRule type="cellIs" dxfId="2" priority="213" operator="notEqual">
      <formula>0</formula>
    </cfRule>
  </conditionalFormatting>
  <conditionalFormatting sqref="E235">
    <cfRule type="cellIs" dxfId="1" priority="206" operator="lessThan">
      <formula>0</formula>
    </cfRule>
    <cfRule type="cellIs" dxfId="3" priority="205" operator="notEqual">
      <formula>0</formula>
    </cfRule>
    <cfRule type="cellIs" dxfId="2" priority="204" operator="notEqual">
      <formula>0</formula>
    </cfRule>
  </conditionalFormatting>
  <conditionalFormatting sqref="F235:AC235">
    <cfRule type="cellIs" dxfId="1" priority="203" operator="lessThan">
      <formula>0</formula>
    </cfRule>
    <cfRule type="cellIs" dxfId="3" priority="202" operator="notEqual">
      <formula>0</formula>
    </cfRule>
    <cfRule type="cellIs" dxfId="2" priority="201" operator="notEqual">
      <formula>0</formula>
    </cfRule>
  </conditionalFormatting>
  <conditionalFormatting sqref="F237:AC237">
    <cfRule type="cellIs" dxfId="0" priority="180" operator="lessThan">
      <formula>0</formula>
    </cfRule>
  </conditionalFormatting>
  <conditionalFormatting sqref="E238:AC238">
    <cfRule type="cellIs" dxfId="1" priority="179" operator="lessThan">
      <formula>0</formula>
    </cfRule>
  </conditionalFormatting>
  <conditionalFormatting sqref="E241">
    <cfRule type="cellIs" dxfId="1" priority="193" operator="lessThan">
      <formula>0</formula>
    </cfRule>
  </conditionalFormatting>
  <conditionalFormatting sqref="E242">
    <cfRule type="cellIs" dxfId="1" priority="190" operator="lessThan">
      <formula>0</formula>
    </cfRule>
  </conditionalFormatting>
  <conditionalFormatting sqref="F242:AC242">
    <cfRule type="cellIs" dxfId="1" priority="182" operator="lessThan">
      <formula>0</formula>
    </cfRule>
  </conditionalFormatting>
  <conditionalFormatting sqref="E243">
    <cfRule type="cellIs" dxfId="1" priority="189" operator="lessThan">
      <formula>0</formula>
    </cfRule>
  </conditionalFormatting>
  <conditionalFormatting sqref="F243:AC243">
    <cfRule type="cellIs" dxfId="1" priority="181" operator="lessThan">
      <formula>0</formula>
    </cfRule>
  </conditionalFormatting>
  <conditionalFormatting sqref="C244:D244">
    <cfRule type="cellIs" dxfId="3" priority="196" operator="notEqual">
      <formula>0</formula>
    </cfRule>
    <cfRule type="cellIs" dxfId="2" priority="195" operator="notEqual">
      <formula>0</formula>
    </cfRule>
  </conditionalFormatting>
  <conditionalFormatting sqref="E244">
    <cfRule type="cellIs" dxfId="1" priority="188" operator="lessThan">
      <formula>0</formula>
    </cfRule>
    <cfRule type="cellIs" dxfId="3" priority="187" operator="notEqual">
      <formula>0</formula>
    </cfRule>
    <cfRule type="cellIs" dxfId="2" priority="186" operator="notEqual">
      <formula>0</formula>
    </cfRule>
  </conditionalFormatting>
  <conditionalFormatting sqref="F244:AC244">
    <cfRule type="cellIs" dxfId="1" priority="185" operator="lessThan">
      <formula>0</formula>
    </cfRule>
    <cfRule type="cellIs" dxfId="3" priority="184" operator="notEqual">
      <formula>0</formula>
    </cfRule>
    <cfRule type="cellIs" dxfId="2" priority="183" operator="notEqual">
      <formula>0</formula>
    </cfRule>
  </conditionalFormatting>
  <conditionalFormatting sqref="F246:AC246">
    <cfRule type="cellIs" dxfId="0" priority="162" operator="lessThan">
      <formula>0</formula>
    </cfRule>
  </conditionalFormatting>
  <conditionalFormatting sqref="E247:AC247">
    <cfRule type="cellIs" dxfId="1" priority="161" operator="lessThan">
      <formula>0</formula>
    </cfRule>
  </conditionalFormatting>
  <conditionalFormatting sqref="E250">
    <cfRule type="cellIs" dxfId="1" priority="175" operator="lessThan">
      <formula>0</formula>
    </cfRule>
  </conditionalFormatting>
  <conditionalFormatting sqref="E251">
    <cfRule type="cellIs" dxfId="1" priority="172" operator="lessThan">
      <formula>0</formula>
    </cfRule>
  </conditionalFormatting>
  <conditionalFormatting sqref="F251:AC251">
    <cfRule type="cellIs" dxfId="1" priority="164" operator="lessThan">
      <formula>0</formula>
    </cfRule>
  </conditionalFormatting>
  <conditionalFormatting sqref="E252">
    <cfRule type="cellIs" dxfId="1" priority="171" operator="lessThan">
      <formula>0</formula>
    </cfRule>
  </conditionalFormatting>
  <conditionalFormatting sqref="F252:AC252">
    <cfRule type="cellIs" dxfId="1" priority="163" operator="lessThan">
      <formula>0</formula>
    </cfRule>
  </conditionalFormatting>
  <conditionalFormatting sqref="C253:D253">
    <cfRule type="cellIs" dxfId="3" priority="178" operator="notEqual">
      <formula>0</formula>
    </cfRule>
    <cfRule type="cellIs" dxfId="2" priority="177" operator="notEqual">
      <formula>0</formula>
    </cfRule>
  </conditionalFormatting>
  <conditionalFormatting sqref="E253">
    <cfRule type="cellIs" dxfId="1" priority="170" operator="lessThan">
      <formula>0</formula>
    </cfRule>
    <cfRule type="cellIs" dxfId="3" priority="169" operator="notEqual">
      <formula>0</formula>
    </cfRule>
    <cfRule type="cellIs" dxfId="2" priority="168" operator="notEqual">
      <formula>0</formula>
    </cfRule>
  </conditionalFormatting>
  <conditionalFormatting sqref="F253:AC253">
    <cfRule type="cellIs" dxfId="1" priority="167" operator="lessThan">
      <formula>0</formula>
    </cfRule>
    <cfRule type="cellIs" dxfId="3" priority="166" operator="notEqual">
      <formula>0</formula>
    </cfRule>
    <cfRule type="cellIs" dxfId="2" priority="165" operator="notEqual">
      <formula>0</formula>
    </cfRule>
  </conditionalFormatting>
  <conditionalFormatting sqref="F273:AC273">
    <cfRule type="cellIs" dxfId="0" priority="2" operator="lessThan">
      <formula>0</formula>
    </cfRule>
  </conditionalFormatting>
  <conditionalFormatting sqref="E274:AC274">
    <cfRule type="cellIs" dxfId="1" priority="1" operator="lessThan">
      <formula>0</formula>
    </cfRule>
  </conditionalFormatting>
  <conditionalFormatting sqref="E277">
    <cfRule type="cellIs" dxfId="1" priority="15" operator="lessThan">
      <formula>0</formula>
    </cfRule>
  </conditionalFormatting>
  <conditionalFormatting sqref="E278">
    <cfRule type="cellIs" dxfId="1" priority="12" operator="lessThan">
      <formula>0</formula>
    </cfRule>
  </conditionalFormatting>
  <conditionalFormatting sqref="F278:AC278">
    <cfRule type="cellIs" dxfId="1" priority="4" operator="lessThan">
      <formula>0</formula>
    </cfRule>
  </conditionalFormatting>
  <conditionalFormatting sqref="E279">
    <cfRule type="cellIs" dxfId="1" priority="11" operator="lessThan">
      <formula>0</formula>
    </cfRule>
  </conditionalFormatting>
  <conditionalFormatting sqref="F279:AC279">
    <cfRule type="cellIs" dxfId="1" priority="3" operator="lessThan">
      <formula>0</formula>
    </cfRule>
  </conditionalFormatting>
  <conditionalFormatting sqref="C280:D280">
    <cfRule type="cellIs" dxfId="3" priority="18" operator="notEqual">
      <formula>0</formula>
    </cfRule>
    <cfRule type="cellIs" dxfId="2" priority="17" operator="notEqual">
      <formula>0</formula>
    </cfRule>
  </conditionalFormatting>
  <conditionalFormatting sqref="E280">
    <cfRule type="cellIs" dxfId="1" priority="10" operator="lessThan">
      <formula>0</formula>
    </cfRule>
    <cfRule type="cellIs" dxfId="3" priority="9" operator="notEqual">
      <formula>0</formula>
    </cfRule>
    <cfRule type="cellIs" dxfId="2" priority="8" operator="notEqual">
      <formula>0</formula>
    </cfRule>
  </conditionalFormatting>
  <conditionalFormatting sqref="F280:AC280">
    <cfRule type="cellIs" dxfId="1" priority="7" operator="lessThan">
      <formula>0</formula>
    </cfRule>
    <cfRule type="cellIs" dxfId="3" priority="6" operator="notEqual">
      <formula>0</formula>
    </cfRule>
    <cfRule type="cellIs" dxfId="2" priority="5" operator="notEqual">
      <formula>0</formula>
    </cfRule>
  </conditionalFormatting>
  <conditionalFormatting sqref="E2:E3">
    <cfRule type="cellIs" dxfId="1" priority="129" operator="lessThan">
      <formula>0</formula>
    </cfRule>
  </conditionalFormatting>
  <conditionalFormatting sqref="E5:E6">
    <cfRule type="cellIs" dxfId="1" priority="128" operator="lessThan">
      <formula>0</formula>
    </cfRule>
  </conditionalFormatting>
  <conditionalFormatting sqref="E11:E12">
    <cfRule type="cellIs" dxfId="1" priority="118" operator="lessThan">
      <formula>0</formula>
    </cfRule>
  </conditionalFormatting>
  <conditionalFormatting sqref="E14:E15">
    <cfRule type="cellIs" dxfId="1" priority="117" operator="lessThan">
      <formula>0</formula>
    </cfRule>
  </conditionalFormatting>
  <conditionalFormatting sqref="E20:E21">
    <cfRule type="cellIs" dxfId="1" priority="107" operator="lessThan">
      <formula>0</formula>
    </cfRule>
  </conditionalFormatting>
  <conditionalFormatting sqref="E23:E24">
    <cfRule type="cellIs" dxfId="1" priority="106" operator="lessThan">
      <formula>0</formula>
    </cfRule>
  </conditionalFormatting>
  <conditionalFormatting sqref="E29:E30">
    <cfRule type="cellIs" dxfId="1" priority="96" operator="lessThan">
      <formula>0</formula>
    </cfRule>
  </conditionalFormatting>
  <conditionalFormatting sqref="E32:E33">
    <cfRule type="cellIs" dxfId="1" priority="95" operator="lessThan">
      <formula>0</formula>
    </cfRule>
  </conditionalFormatting>
  <conditionalFormatting sqref="E38:E39">
    <cfRule type="cellIs" dxfId="1" priority="85" operator="lessThan">
      <formula>0</formula>
    </cfRule>
  </conditionalFormatting>
  <conditionalFormatting sqref="E41:E42">
    <cfRule type="cellIs" dxfId="1" priority="84" operator="lessThan">
      <formula>0</formula>
    </cfRule>
  </conditionalFormatting>
  <conditionalFormatting sqref="E47:E48">
    <cfRule type="cellIs" dxfId="1" priority="74" operator="lessThan">
      <formula>0</formula>
    </cfRule>
  </conditionalFormatting>
  <conditionalFormatting sqref="E50:E51">
    <cfRule type="cellIs" dxfId="1" priority="73" operator="lessThan">
      <formula>0</formula>
    </cfRule>
  </conditionalFormatting>
  <conditionalFormatting sqref="E56:E57">
    <cfRule type="cellIs" dxfId="1" priority="63" operator="lessThan">
      <formula>0</formula>
    </cfRule>
  </conditionalFormatting>
  <conditionalFormatting sqref="E59:E60">
    <cfRule type="cellIs" dxfId="1" priority="62" operator="lessThan">
      <formula>0</formula>
    </cfRule>
  </conditionalFormatting>
  <conditionalFormatting sqref="E65:E66">
    <cfRule type="cellIs" dxfId="1" priority="52" operator="lessThan">
      <formula>0</formula>
    </cfRule>
  </conditionalFormatting>
  <conditionalFormatting sqref="E68:E69">
    <cfRule type="cellIs" dxfId="1" priority="51" operator="lessThan">
      <formula>0</formula>
    </cfRule>
  </conditionalFormatting>
  <conditionalFormatting sqref="E74:E75">
    <cfRule type="cellIs" dxfId="1" priority="41" operator="lessThan">
      <formula>0</formula>
    </cfRule>
  </conditionalFormatting>
  <conditionalFormatting sqref="E77:E78">
    <cfRule type="cellIs" dxfId="1" priority="40" operator="lessThan">
      <formula>0</formula>
    </cfRule>
  </conditionalFormatting>
  <conditionalFormatting sqref="E83:E84">
    <cfRule type="cellIs" dxfId="1" priority="30" operator="lessThan">
      <formula>0</formula>
    </cfRule>
  </conditionalFormatting>
  <conditionalFormatting sqref="E86:E87">
    <cfRule type="cellIs" dxfId="1" priority="29" operator="lessThan">
      <formula>0</formula>
    </cfRule>
  </conditionalFormatting>
  <conditionalFormatting sqref="E92:E93">
    <cfRule type="cellIs" dxfId="1" priority="432" operator="lessThan">
      <formula>0</formula>
    </cfRule>
  </conditionalFormatting>
  <conditionalFormatting sqref="E95:E96">
    <cfRule type="cellIs" dxfId="1" priority="431" operator="lessThan">
      <formula>0</formula>
    </cfRule>
  </conditionalFormatting>
  <conditionalFormatting sqref="E101:E102">
    <cfRule type="cellIs" dxfId="1" priority="416" operator="lessThan">
      <formula>0</formula>
    </cfRule>
  </conditionalFormatting>
  <conditionalFormatting sqref="E104:E105">
    <cfRule type="cellIs" dxfId="1" priority="415" operator="lessThan">
      <formula>0</formula>
    </cfRule>
  </conditionalFormatting>
  <conditionalFormatting sqref="E110:E111">
    <cfRule type="cellIs" dxfId="1" priority="400" operator="lessThan">
      <formula>0</formula>
    </cfRule>
  </conditionalFormatting>
  <conditionalFormatting sqref="E113:E114">
    <cfRule type="cellIs" dxfId="1" priority="399" operator="lessThan">
      <formula>0</formula>
    </cfRule>
  </conditionalFormatting>
  <conditionalFormatting sqref="E119:E120">
    <cfRule type="cellIs" dxfId="1" priority="384" operator="lessThan">
      <formula>0</formula>
    </cfRule>
  </conditionalFormatting>
  <conditionalFormatting sqref="E122:E123">
    <cfRule type="cellIs" dxfId="1" priority="383" operator="lessThan">
      <formula>0</formula>
    </cfRule>
  </conditionalFormatting>
  <conditionalFormatting sqref="E128:E129">
    <cfRule type="cellIs" dxfId="1" priority="368" operator="lessThan">
      <formula>0</formula>
    </cfRule>
  </conditionalFormatting>
  <conditionalFormatting sqref="E131:E132">
    <cfRule type="cellIs" dxfId="1" priority="367" operator="lessThan">
      <formula>0</formula>
    </cfRule>
  </conditionalFormatting>
  <conditionalFormatting sqref="E137:E138">
    <cfRule type="cellIs" dxfId="1" priority="352" operator="lessThan">
      <formula>0</formula>
    </cfRule>
  </conditionalFormatting>
  <conditionalFormatting sqref="E140:E141">
    <cfRule type="cellIs" dxfId="1" priority="351" operator="lessThan">
      <formula>0</formula>
    </cfRule>
  </conditionalFormatting>
  <conditionalFormatting sqref="E146:E147">
    <cfRule type="cellIs" dxfId="1" priority="336" operator="lessThan">
      <formula>0</formula>
    </cfRule>
  </conditionalFormatting>
  <conditionalFormatting sqref="E149:E150">
    <cfRule type="cellIs" dxfId="1" priority="335" operator="lessThan">
      <formula>0</formula>
    </cfRule>
  </conditionalFormatting>
  <conditionalFormatting sqref="E155:E156">
    <cfRule type="cellIs" dxfId="1" priority="320" operator="lessThan">
      <formula>0</formula>
    </cfRule>
  </conditionalFormatting>
  <conditionalFormatting sqref="E158:E159">
    <cfRule type="cellIs" dxfId="1" priority="319" operator="lessThan">
      <formula>0</formula>
    </cfRule>
  </conditionalFormatting>
  <conditionalFormatting sqref="E164:E165">
    <cfRule type="cellIs" dxfId="1" priority="309" operator="lessThan">
      <formula>0</formula>
    </cfRule>
  </conditionalFormatting>
  <conditionalFormatting sqref="E167:E168">
    <cfRule type="cellIs" dxfId="1" priority="308" operator="lessThan">
      <formula>0</formula>
    </cfRule>
  </conditionalFormatting>
  <conditionalFormatting sqref="E173:E174">
    <cfRule type="cellIs" dxfId="1" priority="298" operator="lessThan">
      <formula>0</formula>
    </cfRule>
  </conditionalFormatting>
  <conditionalFormatting sqref="E176:E177">
    <cfRule type="cellIs" dxfId="1" priority="297" operator="lessThan">
      <formula>0</formula>
    </cfRule>
  </conditionalFormatting>
  <conditionalFormatting sqref="E182:E183">
    <cfRule type="cellIs" dxfId="1" priority="287" operator="lessThan">
      <formula>0</formula>
    </cfRule>
  </conditionalFormatting>
  <conditionalFormatting sqref="E185:E186">
    <cfRule type="cellIs" dxfId="1" priority="286" operator="lessThan">
      <formula>0</formula>
    </cfRule>
  </conditionalFormatting>
  <conditionalFormatting sqref="E191:E192">
    <cfRule type="cellIs" dxfId="1" priority="276" operator="lessThan">
      <formula>0</formula>
    </cfRule>
  </conditionalFormatting>
  <conditionalFormatting sqref="E194:E195">
    <cfRule type="cellIs" dxfId="1" priority="275" operator="lessThan">
      <formula>0</formula>
    </cfRule>
  </conditionalFormatting>
  <conditionalFormatting sqref="E200:E201">
    <cfRule type="cellIs" dxfId="1" priority="264" operator="lessThan">
      <formula>0</formula>
    </cfRule>
  </conditionalFormatting>
  <conditionalFormatting sqref="E203:E204">
    <cfRule type="cellIs" dxfId="1" priority="263" operator="lessThan">
      <formula>0</formula>
    </cfRule>
  </conditionalFormatting>
  <conditionalFormatting sqref="E209:E210">
    <cfRule type="cellIs" dxfId="1" priority="246" operator="lessThan">
      <formula>0</formula>
    </cfRule>
  </conditionalFormatting>
  <conditionalFormatting sqref="E212:E213">
    <cfRule type="cellIs" dxfId="1" priority="245" operator="lessThan">
      <formula>0</formula>
    </cfRule>
  </conditionalFormatting>
  <conditionalFormatting sqref="E218:E219">
    <cfRule type="cellIs" dxfId="1" priority="228" operator="lessThan">
      <formula>0</formula>
    </cfRule>
  </conditionalFormatting>
  <conditionalFormatting sqref="E221:E222">
    <cfRule type="cellIs" dxfId="1" priority="227" operator="lessThan">
      <formula>0</formula>
    </cfRule>
  </conditionalFormatting>
  <conditionalFormatting sqref="E227:E228">
    <cfRule type="cellIs" dxfId="1" priority="210" operator="lessThan">
      <formula>0</formula>
    </cfRule>
  </conditionalFormatting>
  <conditionalFormatting sqref="E230:E231">
    <cfRule type="cellIs" dxfId="1" priority="209" operator="lessThan">
      <formula>0</formula>
    </cfRule>
  </conditionalFormatting>
  <conditionalFormatting sqref="E236:E237">
    <cfRule type="cellIs" dxfId="1" priority="192" operator="lessThan">
      <formula>0</formula>
    </cfRule>
  </conditionalFormatting>
  <conditionalFormatting sqref="E239:E240">
    <cfRule type="cellIs" dxfId="1" priority="191" operator="lessThan">
      <formula>0</formula>
    </cfRule>
  </conditionalFormatting>
  <conditionalFormatting sqref="E245:E246">
    <cfRule type="cellIs" dxfId="1" priority="174" operator="lessThan">
      <formula>0</formula>
    </cfRule>
  </conditionalFormatting>
  <conditionalFormatting sqref="E248:E249">
    <cfRule type="cellIs" dxfId="1" priority="173" operator="lessThan">
      <formula>0</formula>
    </cfRule>
  </conditionalFormatting>
  <conditionalFormatting sqref="E272:E273">
    <cfRule type="cellIs" dxfId="1" priority="14" operator="lessThan">
      <formula>0</formula>
    </cfRule>
  </conditionalFormatting>
  <conditionalFormatting sqref="E275:E276">
    <cfRule type="cellIs" dxfId="1" priority="13" operator="lessThan">
      <formula>0</formula>
    </cfRule>
  </conditionalFormatting>
  <conditionalFormatting sqref="F2:AC90">
    <cfRule type="cellIs" dxfId="1" priority="19" operator="lessThan">
      <formula>0</formula>
    </cfRule>
  </conditionalFormatting>
  <conditionalFormatting sqref="F95:AC97">
    <cfRule type="cellIs" dxfId="1" priority="434" operator="lessThan">
      <formula>0</formula>
    </cfRule>
  </conditionalFormatting>
  <conditionalFormatting sqref="F101:AC106">
    <cfRule type="cellIs" dxfId="1" priority="142" operator="lessThan">
      <formula>0</formula>
    </cfRule>
  </conditionalFormatting>
  <conditionalFormatting sqref="F110:AC115">
    <cfRule type="cellIs" dxfId="1" priority="141" operator="lessThan">
      <formula>0</formula>
    </cfRule>
  </conditionalFormatting>
  <conditionalFormatting sqref="F119:AC124">
    <cfRule type="cellIs" dxfId="1" priority="140" operator="lessThan">
      <formula>0</formula>
    </cfRule>
  </conditionalFormatting>
  <conditionalFormatting sqref="F128:AC133">
    <cfRule type="cellIs" dxfId="1" priority="139" operator="lessThan">
      <formula>0</formula>
    </cfRule>
  </conditionalFormatting>
  <conditionalFormatting sqref="F137:AC142">
    <cfRule type="cellIs" dxfId="1" priority="138" operator="lessThan">
      <formula>0</formula>
    </cfRule>
  </conditionalFormatting>
  <conditionalFormatting sqref="F146:AC151">
    <cfRule type="cellIs" dxfId="1" priority="135" operator="lessThan">
      <formula>0</formula>
    </cfRule>
  </conditionalFormatting>
  <conditionalFormatting sqref="F155:AC181">
    <cfRule type="cellIs" dxfId="1" priority="134" operator="lessThan">
      <formula>0</formula>
    </cfRule>
  </conditionalFormatting>
  <conditionalFormatting sqref="F182:AC199">
    <cfRule type="cellIs" dxfId="1" priority="133" operator="lessThan">
      <formula>0</formula>
    </cfRule>
  </conditionalFormatting>
  <conditionalFormatting sqref="F200:AC200 F203:AC205">
    <cfRule type="cellIs" dxfId="1" priority="266" operator="lessThan">
      <formula>0</formula>
    </cfRule>
  </conditionalFormatting>
  <conditionalFormatting sqref="F209:AC209 F212:AC214">
    <cfRule type="cellIs" dxfId="1" priority="248" operator="lessThan">
      <formula>0</formula>
    </cfRule>
  </conditionalFormatting>
  <conditionalFormatting sqref="F218:AC218 F221:AC223">
    <cfRule type="cellIs" dxfId="1" priority="230" operator="lessThan">
      <formula>0</formula>
    </cfRule>
  </conditionalFormatting>
  <conditionalFormatting sqref="F227:AC227 F230:AC232">
    <cfRule type="cellIs" dxfId="1" priority="212" operator="lessThan">
      <formula>0</formula>
    </cfRule>
  </conditionalFormatting>
  <conditionalFormatting sqref="F236:AC236 F239:AC241">
    <cfRule type="cellIs" dxfId="1" priority="194" operator="lessThan">
      <formula>0</formula>
    </cfRule>
  </conditionalFormatting>
  <conditionalFormatting sqref="F245:AC245 F248:AC250">
    <cfRule type="cellIs" dxfId="1" priority="176" operator="lessThan">
      <formula>0</formula>
    </cfRule>
  </conditionalFormatting>
  <conditionalFormatting sqref="E254:E255 E263:E264">
    <cfRule type="cellIs" dxfId="1" priority="156" operator="lessThan">
      <formula>0</formula>
    </cfRule>
  </conditionalFormatting>
  <conditionalFormatting sqref="F254:AC254 F257:AC259 F263:AC263 F266:AC268">
    <cfRule type="cellIs" dxfId="1" priority="158" operator="lessThan">
      <formula>0</formula>
    </cfRule>
  </conditionalFormatting>
  <conditionalFormatting sqref="F255:AC255 F264:AC264">
    <cfRule type="cellIs" dxfId="0" priority="144" operator="lessThan">
      <formula>0</formula>
    </cfRule>
  </conditionalFormatting>
  <conditionalFormatting sqref="E256:AC256 E265:AC265">
    <cfRule type="cellIs" dxfId="1" priority="143" operator="lessThan">
      <formula>0</formula>
    </cfRule>
  </conditionalFormatting>
  <conditionalFormatting sqref="E257:E258 E266:E267">
    <cfRule type="cellIs" dxfId="1" priority="155" operator="lessThan">
      <formula>0</formula>
    </cfRule>
  </conditionalFormatting>
  <conditionalFormatting sqref="E259 E268">
    <cfRule type="cellIs" dxfId="1" priority="157" operator="lessThan">
      <formula>0</formula>
    </cfRule>
  </conditionalFormatting>
  <conditionalFormatting sqref="E260 E269">
    <cfRule type="cellIs" dxfId="1" priority="154" operator="lessThan">
      <formula>0</formula>
    </cfRule>
  </conditionalFormatting>
  <conditionalFormatting sqref="F260:AC260 F269:AC269">
    <cfRule type="cellIs" dxfId="1" priority="146" operator="lessThan">
      <formula>0</formula>
    </cfRule>
  </conditionalFormatting>
  <conditionalFormatting sqref="E261 E270">
    <cfRule type="cellIs" dxfId="1" priority="153" operator="lessThan">
      <formula>0</formula>
    </cfRule>
  </conditionalFormatting>
  <conditionalFormatting sqref="F261:AC261 F270:AC270">
    <cfRule type="cellIs" dxfId="1" priority="145" operator="lessThan">
      <formula>0</formula>
    </cfRule>
  </conditionalFormatting>
  <conditionalFormatting sqref="C262:D262 C271:D271">
    <cfRule type="cellIs" dxfId="3" priority="160" operator="notEqual">
      <formula>0</formula>
    </cfRule>
    <cfRule type="cellIs" dxfId="2" priority="159" operator="notEqual">
      <formula>0</formula>
    </cfRule>
  </conditionalFormatting>
  <conditionalFormatting sqref="E262 E271">
    <cfRule type="cellIs" dxfId="1" priority="152" operator="lessThan">
      <formula>0</formula>
    </cfRule>
    <cfRule type="cellIs" dxfId="3" priority="151" operator="notEqual">
      <formula>0</formula>
    </cfRule>
    <cfRule type="cellIs" dxfId="2" priority="150" operator="notEqual">
      <formula>0</formula>
    </cfRule>
  </conditionalFormatting>
  <conditionalFormatting sqref="F262:AC262 F271:AC271">
    <cfRule type="cellIs" dxfId="1" priority="149" operator="lessThan">
      <formula>0</formula>
    </cfRule>
    <cfRule type="cellIs" dxfId="3" priority="148" operator="notEqual">
      <formula>0</formula>
    </cfRule>
    <cfRule type="cellIs" dxfId="2" priority="147" operator="notEqual">
      <formula>0</formula>
    </cfRule>
  </conditionalFormatting>
  <conditionalFormatting sqref="F272:AC272 F275:AC277">
    <cfRule type="cellIs" dxfId="1" priority="16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4"/>
  <sheetViews>
    <sheetView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C23" sqref="C23:T25"/>
    </sheetView>
  </sheetViews>
  <sheetFormatPr defaultColWidth="8.88461538461539" defaultRowHeight="20" customHeight="1"/>
  <cols>
    <col min="1" max="1" width="27.6442307692308" style="15" customWidth="1"/>
    <col min="2" max="2" width="8.88461538461539" style="15"/>
    <col min="3" max="3" width="13" style="15" customWidth="1"/>
    <col min="4" max="4" width="15.1826923076923" style="14" customWidth="1"/>
    <col min="5" max="5" width="13.75" style="14" customWidth="1"/>
    <col min="6" max="6" width="14.6346153846154" style="14" customWidth="1"/>
    <col min="7" max="7" width="14" style="14" customWidth="1"/>
    <col min="8" max="13" width="15.1826923076923" style="15" customWidth="1"/>
    <col min="14" max="16" width="15.1826923076923" style="15"/>
    <col min="17" max="18" width="14" style="15"/>
    <col min="19" max="19" width="15.1826923076923" style="15"/>
    <col min="20" max="21" width="14" style="15"/>
    <col min="22" max="22" width="15.1826923076923" style="15"/>
    <col min="23" max="24" width="16" style="15" customWidth="1"/>
    <col min="25" max="25" width="13.75" style="15" customWidth="1"/>
    <col min="26" max="27" width="16.2692307692308" style="15" customWidth="1"/>
    <col min="28" max="28" width="14" style="15"/>
    <col min="29" max="29" width="14" style="14"/>
    <col min="30" max="30" width="15.1826923076923" style="14" customWidth="1"/>
    <col min="31" max="31" width="14" style="14"/>
    <col min="32" max="33" width="15.1826923076923" style="14" customWidth="1"/>
    <col min="34" max="34" width="13.75" style="15" customWidth="1"/>
    <col min="35" max="16384" width="8.88461538461539" style="15"/>
  </cols>
  <sheetData>
    <row r="1" s="14" customFormat="1" customHeight="1" spans="1:34">
      <c r="A1" s="16" t="s">
        <v>60</v>
      </c>
      <c r="B1" s="16" t="s">
        <v>61</v>
      </c>
      <c r="C1" s="16" t="s">
        <v>62</v>
      </c>
      <c r="D1" s="17">
        <v>45992</v>
      </c>
      <c r="E1" s="17">
        <v>45993</v>
      </c>
      <c r="F1" s="17">
        <v>45994</v>
      </c>
      <c r="G1" s="17">
        <v>45995</v>
      </c>
      <c r="H1" s="17">
        <v>45996</v>
      </c>
      <c r="I1" s="17">
        <v>45997</v>
      </c>
      <c r="J1" s="17">
        <v>45998</v>
      </c>
      <c r="K1" s="17">
        <v>45999</v>
      </c>
      <c r="L1" s="17">
        <v>46000</v>
      </c>
      <c r="M1" s="17">
        <v>46001</v>
      </c>
      <c r="N1" s="17">
        <v>46002</v>
      </c>
      <c r="O1" s="17">
        <v>46003</v>
      </c>
      <c r="P1" s="17">
        <v>46004</v>
      </c>
      <c r="Q1" s="17">
        <v>46005</v>
      </c>
      <c r="R1" s="17">
        <v>46006</v>
      </c>
      <c r="S1" s="17">
        <v>46007</v>
      </c>
      <c r="T1" s="17">
        <v>46008</v>
      </c>
      <c r="U1" s="17">
        <v>46009</v>
      </c>
      <c r="V1" s="17">
        <v>46010</v>
      </c>
      <c r="W1" s="17">
        <v>46011</v>
      </c>
      <c r="X1" s="17">
        <v>46012</v>
      </c>
      <c r="Y1" s="17">
        <v>46013</v>
      </c>
      <c r="Z1" s="17">
        <v>46014</v>
      </c>
      <c r="AA1" s="17">
        <v>46015</v>
      </c>
      <c r="AB1" s="17">
        <v>46016</v>
      </c>
      <c r="AC1" s="17">
        <v>46017</v>
      </c>
      <c r="AD1" s="17">
        <v>46018</v>
      </c>
      <c r="AE1" s="17">
        <v>46019</v>
      </c>
      <c r="AF1" s="17">
        <v>46020</v>
      </c>
      <c r="AG1" s="17">
        <v>46021</v>
      </c>
      <c r="AH1" s="17">
        <v>46022</v>
      </c>
    </row>
    <row r="2" s="14" customFormat="1" customHeight="1" spans="1:34">
      <c r="A2" s="16"/>
      <c r="B2" s="16"/>
      <c r="C2" s="16"/>
      <c r="D2" s="18">
        <f t="shared" ref="D2:AH2" si="0">D1</f>
        <v>45992</v>
      </c>
      <c r="E2" s="18">
        <f t="shared" si="0"/>
        <v>45993</v>
      </c>
      <c r="F2" s="18">
        <f t="shared" si="0"/>
        <v>45994</v>
      </c>
      <c r="G2" s="18">
        <f t="shared" si="0"/>
        <v>45995</v>
      </c>
      <c r="H2" s="18">
        <f t="shared" si="0"/>
        <v>45996</v>
      </c>
      <c r="I2" s="18">
        <f t="shared" si="0"/>
        <v>45997</v>
      </c>
      <c r="J2" s="18">
        <f t="shared" si="0"/>
        <v>45998</v>
      </c>
      <c r="K2" s="18">
        <f t="shared" si="0"/>
        <v>45999</v>
      </c>
      <c r="L2" s="18">
        <f t="shared" si="0"/>
        <v>46000</v>
      </c>
      <c r="M2" s="18">
        <f t="shared" si="0"/>
        <v>46001</v>
      </c>
      <c r="N2" s="18">
        <f t="shared" si="0"/>
        <v>46002</v>
      </c>
      <c r="O2" s="18">
        <f t="shared" si="0"/>
        <v>46003</v>
      </c>
      <c r="P2" s="18">
        <f t="shared" si="0"/>
        <v>46004</v>
      </c>
      <c r="Q2" s="18">
        <f t="shared" si="0"/>
        <v>46005</v>
      </c>
      <c r="R2" s="18">
        <f t="shared" si="0"/>
        <v>46006</v>
      </c>
      <c r="S2" s="18">
        <f t="shared" si="0"/>
        <v>46007</v>
      </c>
      <c r="T2" s="18">
        <f t="shared" si="0"/>
        <v>46008</v>
      </c>
      <c r="U2" s="18">
        <f t="shared" si="0"/>
        <v>46009</v>
      </c>
      <c r="V2" s="18">
        <f t="shared" si="0"/>
        <v>46010</v>
      </c>
      <c r="W2" s="18">
        <f t="shared" si="0"/>
        <v>46011</v>
      </c>
      <c r="X2" s="18">
        <f t="shared" si="0"/>
        <v>46012</v>
      </c>
      <c r="Y2" s="18">
        <f t="shared" si="0"/>
        <v>46013</v>
      </c>
      <c r="Z2" s="18">
        <f t="shared" si="0"/>
        <v>46014</v>
      </c>
      <c r="AA2" s="18">
        <f t="shared" si="0"/>
        <v>46015</v>
      </c>
      <c r="AB2" s="18">
        <f t="shared" si="0"/>
        <v>46016</v>
      </c>
      <c r="AC2" s="18">
        <f t="shared" si="0"/>
        <v>46017</v>
      </c>
      <c r="AD2" s="18">
        <f t="shared" si="0"/>
        <v>46018</v>
      </c>
      <c r="AE2" s="18">
        <f t="shared" si="0"/>
        <v>46019</v>
      </c>
      <c r="AF2" s="18">
        <f t="shared" si="0"/>
        <v>46020</v>
      </c>
      <c r="AG2" s="18">
        <f t="shared" si="0"/>
        <v>46021</v>
      </c>
      <c r="AH2" s="18">
        <f t="shared" si="0"/>
        <v>46022</v>
      </c>
    </row>
    <row r="3" customHeight="1" spans="1:34">
      <c r="A3" s="19" t="s">
        <v>63</v>
      </c>
      <c r="B3" s="19" t="s">
        <v>47</v>
      </c>
      <c r="C3" s="19">
        <f t="shared" ref="C3:C7" si="1">SUM(D3:AG3)</f>
        <v>1744.51654</v>
      </c>
      <c r="D3" s="20">
        <v>46.39367</v>
      </c>
      <c r="E3" s="20">
        <v>43.08684</v>
      </c>
      <c r="F3" s="20">
        <v>60.26687</v>
      </c>
      <c r="G3" s="20">
        <v>64.54133</v>
      </c>
      <c r="H3" s="20">
        <v>62.14036</v>
      </c>
      <c r="I3" s="20">
        <v>63.22992</v>
      </c>
      <c r="J3" s="20">
        <v>66.35954</v>
      </c>
      <c r="K3" s="20">
        <v>62.58897</v>
      </c>
      <c r="L3" s="20">
        <v>47.85861</v>
      </c>
      <c r="M3" s="20">
        <v>62.15805</v>
      </c>
      <c r="N3" s="20">
        <v>62.48411</v>
      </c>
      <c r="O3" s="23">
        <v>60.47645</v>
      </c>
      <c r="P3" s="20">
        <v>61.09199</v>
      </c>
      <c r="Q3" s="20">
        <v>60.1662</v>
      </c>
      <c r="R3" s="20">
        <v>58.50812</v>
      </c>
      <c r="S3" s="20">
        <v>38.21934</v>
      </c>
      <c r="T3" s="20">
        <v>60.69131</v>
      </c>
      <c r="U3" s="20">
        <v>63.36929</v>
      </c>
      <c r="V3" s="20">
        <v>62.85289</v>
      </c>
      <c r="W3" s="20">
        <v>62.52546</v>
      </c>
      <c r="X3" s="20">
        <v>59.23126</v>
      </c>
      <c r="Y3" s="20">
        <v>58.92686</v>
      </c>
      <c r="Z3" s="20">
        <v>41.31298</v>
      </c>
      <c r="AA3" s="20">
        <v>59.35971</v>
      </c>
      <c r="AB3" s="20">
        <v>60.11331</v>
      </c>
      <c r="AC3" s="20">
        <v>61.93875</v>
      </c>
      <c r="AD3" s="20">
        <v>62.01734</v>
      </c>
      <c r="AE3" s="20">
        <v>61.87421</v>
      </c>
      <c r="AF3" s="20">
        <v>60.11529</v>
      </c>
      <c r="AG3" s="20">
        <v>50.61751</v>
      </c>
      <c r="AH3" s="20">
        <v>50.61751</v>
      </c>
    </row>
    <row r="4" customHeight="1" spans="1:34">
      <c r="A4" s="19" t="s">
        <v>64</v>
      </c>
      <c r="B4" s="19" t="s">
        <v>47</v>
      </c>
      <c r="C4" s="19">
        <f t="shared" si="1"/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3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</row>
    <row r="5" customHeight="1" spans="1:34">
      <c r="A5" s="19" t="s">
        <v>65</v>
      </c>
      <c r="B5" s="19" t="s">
        <v>51</v>
      </c>
      <c r="C5" s="21">
        <f>C6/C7</f>
        <v>364.042457910729</v>
      </c>
      <c r="D5" s="20">
        <v>392.47915455</v>
      </c>
      <c r="E5" s="20">
        <v>380.04475377</v>
      </c>
      <c r="F5" s="20">
        <v>373.70940053</v>
      </c>
      <c r="G5" s="20">
        <v>366.4654988</v>
      </c>
      <c r="H5" s="20">
        <v>366.96303873</v>
      </c>
      <c r="I5" s="20">
        <v>364.2213328</v>
      </c>
      <c r="J5" s="20">
        <v>354.18290448</v>
      </c>
      <c r="K5" s="20">
        <v>368.97294521</v>
      </c>
      <c r="L5" s="20">
        <v>371.17026089</v>
      </c>
      <c r="M5" s="20">
        <v>354.87174875</v>
      </c>
      <c r="N5" s="20">
        <v>354.9999793</v>
      </c>
      <c r="O5" s="23">
        <v>354.94679228</v>
      </c>
      <c r="P5" s="20">
        <v>357.18617934</v>
      </c>
      <c r="Q5" s="20">
        <v>358.07222584</v>
      </c>
      <c r="R5" s="20">
        <v>354.92758892</v>
      </c>
      <c r="S5" s="20">
        <v>443.06632075</v>
      </c>
      <c r="T5" s="20">
        <v>360.63088904</v>
      </c>
      <c r="U5" s="20">
        <v>345.71879267</v>
      </c>
      <c r="V5" s="20">
        <v>355.37040728</v>
      </c>
      <c r="W5" s="20">
        <v>355.15553617</v>
      </c>
      <c r="X5" s="20">
        <v>369.82619972</v>
      </c>
      <c r="Y5" s="20">
        <v>358.80940676</v>
      </c>
      <c r="Z5" s="20">
        <v>405.96894857</v>
      </c>
      <c r="AA5" s="20">
        <v>362.78467982</v>
      </c>
      <c r="AB5" s="20">
        <v>364.9346877</v>
      </c>
      <c r="AC5" s="20">
        <v>354.45808117</v>
      </c>
      <c r="AD5" s="20">
        <v>352.44809893</v>
      </c>
      <c r="AE5" s="20">
        <v>358.95080291</v>
      </c>
      <c r="AF5" s="20">
        <v>356.01282511</v>
      </c>
      <c r="AG5" s="20">
        <v>361.55967739</v>
      </c>
      <c r="AH5" s="20">
        <v>361.55967739</v>
      </c>
    </row>
    <row r="6" customHeight="1" spans="1:34">
      <c r="A6" s="19" t="s">
        <v>65</v>
      </c>
      <c r="B6" s="19" t="s">
        <v>66</v>
      </c>
      <c r="C6" s="19">
        <f t="shared" si="1"/>
        <v>635078.08908752</v>
      </c>
      <c r="D6" s="20">
        <v>18208.54837808</v>
      </c>
      <c r="E6" s="20">
        <v>16374.92749836</v>
      </c>
      <c r="F6" s="20">
        <v>22522.29585933</v>
      </c>
      <c r="G6" s="20">
        <v>23652.17069195</v>
      </c>
      <c r="H6" s="20">
        <v>22803.21533333</v>
      </c>
      <c r="I6" s="20">
        <v>23029.68573521</v>
      </c>
      <c r="J6" s="20">
        <v>23503.41461733</v>
      </c>
      <c r="K6" s="20">
        <v>23093.63659851</v>
      </c>
      <c r="L6" s="20">
        <v>17763.69275976</v>
      </c>
      <c r="M6" s="20">
        <v>22058.13590214</v>
      </c>
      <c r="N6" s="20">
        <v>22181.85775629</v>
      </c>
      <c r="O6" s="23">
        <v>21465.92193602</v>
      </c>
      <c r="P6" s="20">
        <v>21821.21449611</v>
      </c>
      <c r="Q6" s="20">
        <v>21543.84515451</v>
      </c>
      <c r="R6" s="20">
        <v>20766.14596408</v>
      </c>
      <c r="S6" s="20">
        <v>16933.70235546</v>
      </c>
      <c r="T6" s="20">
        <v>21887.16108244</v>
      </c>
      <c r="U6" s="20">
        <v>21907.95443102</v>
      </c>
      <c r="V6" s="20">
        <v>22336.05711813</v>
      </c>
      <c r="W6" s="20">
        <v>22206.26327045</v>
      </c>
      <c r="X6" s="20">
        <v>21905.27179043</v>
      </c>
      <c r="Y6" s="20">
        <v>21143.51167866</v>
      </c>
      <c r="Z6" s="20">
        <v>16771.7870529</v>
      </c>
      <c r="AA6" s="20">
        <v>21534.79338647</v>
      </c>
      <c r="AB6" s="20">
        <v>21937.43201162</v>
      </c>
      <c r="AC6" s="20">
        <v>21954.69047479</v>
      </c>
      <c r="AD6" s="20">
        <v>21857.89358395</v>
      </c>
      <c r="AE6" s="20">
        <v>22209.79735908</v>
      </c>
      <c r="AF6" s="20">
        <v>21401.81422527</v>
      </c>
      <c r="AG6" s="20">
        <v>18301.25058584</v>
      </c>
      <c r="AH6" s="20">
        <v>18301.25058584</v>
      </c>
    </row>
    <row r="7" customHeight="1" spans="1:34">
      <c r="A7" s="19" t="s">
        <v>65</v>
      </c>
      <c r="B7" s="19" t="s">
        <v>47</v>
      </c>
      <c r="C7" s="19">
        <f t="shared" si="1"/>
        <v>1744.51654</v>
      </c>
      <c r="D7" s="20">
        <v>46.39367</v>
      </c>
      <c r="E7" s="20">
        <v>43.08684</v>
      </c>
      <c r="F7" s="20">
        <v>60.26687</v>
      </c>
      <c r="G7" s="20">
        <v>64.54133</v>
      </c>
      <c r="H7" s="20">
        <v>62.14036</v>
      </c>
      <c r="I7" s="20">
        <v>63.22992</v>
      </c>
      <c r="J7" s="20">
        <v>66.35954</v>
      </c>
      <c r="K7" s="20">
        <v>62.58897</v>
      </c>
      <c r="L7" s="20">
        <v>47.85861</v>
      </c>
      <c r="M7" s="20">
        <v>62.15805</v>
      </c>
      <c r="N7" s="20">
        <v>62.48411</v>
      </c>
      <c r="O7" s="23">
        <v>60.47645</v>
      </c>
      <c r="P7" s="20">
        <v>61.09199</v>
      </c>
      <c r="Q7" s="20">
        <v>60.1662</v>
      </c>
      <c r="R7" s="20">
        <v>58.50812</v>
      </c>
      <c r="S7" s="20">
        <v>38.21934</v>
      </c>
      <c r="T7" s="20">
        <v>60.69131</v>
      </c>
      <c r="U7" s="20">
        <v>63.36929</v>
      </c>
      <c r="V7" s="20">
        <v>62.85289</v>
      </c>
      <c r="W7" s="20">
        <v>62.52546</v>
      </c>
      <c r="X7" s="20">
        <v>59.23126</v>
      </c>
      <c r="Y7" s="20">
        <v>58.92686</v>
      </c>
      <c r="Z7" s="20">
        <v>41.31298</v>
      </c>
      <c r="AA7" s="20">
        <v>59.35971</v>
      </c>
      <c r="AB7" s="20">
        <v>60.11331</v>
      </c>
      <c r="AC7" s="20">
        <v>61.93875</v>
      </c>
      <c r="AD7" s="20">
        <v>62.01734</v>
      </c>
      <c r="AE7" s="20">
        <v>61.87421</v>
      </c>
      <c r="AF7" s="20">
        <v>60.11529</v>
      </c>
      <c r="AG7" s="20">
        <v>50.61751</v>
      </c>
      <c r="AH7" s="20">
        <v>50.61751</v>
      </c>
    </row>
    <row r="8" customHeight="1" spans="1:34">
      <c r="A8" s="19" t="s">
        <v>67</v>
      </c>
      <c r="B8" s="19" t="s">
        <v>51</v>
      </c>
      <c r="C8" s="21">
        <f>C9/C10</f>
        <v>366.942073439339</v>
      </c>
      <c r="D8" s="22">
        <v>366.94520404</v>
      </c>
      <c r="E8" s="22">
        <v>366.93687052</v>
      </c>
      <c r="F8" s="22">
        <v>366.94200666</v>
      </c>
      <c r="G8" s="22">
        <v>366.94176468</v>
      </c>
      <c r="H8" s="22">
        <v>366.94241254</v>
      </c>
      <c r="I8" s="22">
        <v>366.94222179</v>
      </c>
      <c r="J8" s="22">
        <v>366.943492</v>
      </c>
      <c r="K8" s="22">
        <v>366.94520404</v>
      </c>
      <c r="L8" s="22">
        <v>366.93687052</v>
      </c>
      <c r="M8" s="22">
        <v>366.94302153</v>
      </c>
      <c r="N8" s="22">
        <v>366.94326372</v>
      </c>
      <c r="O8" s="22">
        <v>366.94205225</v>
      </c>
      <c r="P8" s="22">
        <v>366.93925188</v>
      </c>
      <c r="Q8" s="22">
        <v>366.94201765</v>
      </c>
      <c r="R8" s="22">
        <v>366.94520404</v>
      </c>
      <c r="S8" s="22">
        <v>366.93687052</v>
      </c>
      <c r="T8" s="22">
        <v>366.94099759</v>
      </c>
      <c r="U8" s="22">
        <v>366.9431012</v>
      </c>
      <c r="V8" s="22">
        <v>366.94424637</v>
      </c>
      <c r="W8" s="22">
        <v>366.94299601</v>
      </c>
      <c r="X8" s="22">
        <v>366.94232577</v>
      </c>
      <c r="Y8" s="22">
        <v>366.94520404</v>
      </c>
      <c r="Z8" s="22">
        <v>366.93687052</v>
      </c>
      <c r="AA8" s="22">
        <v>366.94238698</v>
      </c>
      <c r="AB8" s="22">
        <v>366.94472091</v>
      </c>
      <c r="AC8" s="22">
        <v>366.94403839</v>
      </c>
      <c r="AD8" s="22">
        <v>366.94119029</v>
      </c>
      <c r="AE8" s="22">
        <v>366.94166069</v>
      </c>
      <c r="AF8" s="22">
        <v>366.94520404</v>
      </c>
      <c r="AG8" s="22">
        <v>366.93687052</v>
      </c>
      <c r="AH8" s="22">
        <v>366.93687052</v>
      </c>
    </row>
    <row r="9" customHeight="1" spans="1:34">
      <c r="A9" s="19" t="s">
        <v>67</v>
      </c>
      <c r="B9" s="19" t="s">
        <v>66</v>
      </c>
      <c r="C9" s="19">
        <f t="shared" ref="C9:C13" si="2">SUM(D9:AG9)</f>
        <v>583754.93472</v>
      </c>
      <c r="D9" s="20">
        <v>19359.66202</v>
      </c>
      <c r="E9" s="20">
        <v>17556.09457</v>
      </c>
      <c r="F9" s="20">
        <v>19959.44351</v>
      </c>
      <c r="G9" s="20">
        <v>19959.79729</v>
      </c>
      <c r="H9" s="20">
        <v>19959.83253</v>
      </c>
      <c r="I9" s="20">
        <v>19959.08827</v>
      </c>
      <c r="J9" s="20">
        <v>19958.05653</v>
      </c>
      <c r="K9" s="20">
        <v>19359.66202</v>
      </c>
      <c r="L9" s="20">
        <v>17556.09457</v>
      </c>
      <c r="M9" s="20">
        <v>19959.13177</v>
      </c>
      <c r="N9" s="20">
        <v>19958.778</v>
      </c>
      <c r="O9" s="20">
        <v>19959.44599</v>
      </c>
      <c r="P9" s="20">
        <v>19957.82591</v>
      </c>
      <c r="Q9" s="20">
        <v>19959.81105</v>
      </c>
      <c r="R9" s="20">
        <v>19359.66202</v>
      </c>
      <c r="S9" s="20">
        <v>17556.09457</v>
      </c>
      <c r="T9" s="20">
        <v>19958.2878</v>
      </c>
      <c r="U9" s="20">
        <v>19959.86999</v>
      </c>
      <c r="V9" s="20">
        <v>19958.09756</v>
      </c>
      <c r="W9" s="20">
        <v>19957.66261</v>
      </c>
      <c r="X9" s="20">
        <v>19959.82781</v>
      </c>
      <c r="Y9" s="20">
        <v>19359.66202</v>
      </c>
      <c r="Z9" s="20">
        <v>17556.09457</v>
      </c>
      <c r="AA9" s="20">
        <v>19958.36337</v>
      </c>
      <c r="AB9" s="20">
        <v>19958.85726</v>
      </c>
      <c r="AC9" s="20">
        <v>19959.18708</v>
      </c>
      <c r="AD9" s="20">
        <v>19957.93134</v>
      </c>
      <c r="AE9" s="20">
        <v>19956.8561</v>
      </c>
      <c r="AF9" s="20">
        <v>19359.66202</v>
      </c>
      <c r="AG9" s="20">
        <v>17556.09457</v>
      </c>
      <c r="AH9" s="20">
        <v>17556.09457</v>
      </c>
    </row>
    <row r="10" customHeight="1" spans="1:34">
      <c r="A10" s="19" t="s">
        <v>67</v>
      </c>
      <c r="B10" s="19" t="s">
        <v>47</v>
      </c>
      <c r="C10" s="19">
        <f t="shared" si="2"/>
        <v>1590.864</v>
      </c>
      <c r="D10" s="20">
        <v>52.759</v>
      </c>
      <c r="E10" s="20">
        <v>47.845</v>
      </c>
      <c r="F10" s="20">
        <v>54.394</v>
      </c>
      <c r="G10" s="20">
        <v>54.395</v>
      </c>
      <c r="H10" s="20">
        <v>54.395</v>
      </c>
      <c r="I10" s="20">
        <v>54.393</v>
      </c>
      <c r="J10" s="20">
        <v>54.39</v>
      </c>
      <c r="K10" s="20">
        <v>52.759</v>
      </c>
      <c r="L10" s="20">
        <v>47.845</v>
      </c>
      <c r="M10" s="20">
        <v>54.393</v>
      </c>
      <c r="N10" s="20">
        <v>54.392</v>
      </c>
      <c r="O10" s="20">
        <v>54.394</v>
      </c>
      <c r="P10" s="20">
        <v>54.39</v>
      </c>
      <c r="Q10" s="20">
        <v>54.395</v>
      </c>
      <c r="R10" s="20">
        <v>52.759</v>
      </c>
      <c r="S10" s="20">
        <v>47.845</v>
      </c>
      <c r="T10" s="20">
        <v>54.391</v>
      </c>
      <c r="U10" s="20">
        <v>54.395</v>
      </c>
      <c r="V10" s="20">
        <v>54.39</v>
      </c>
      <c r="W10" s="20">
        <v>54.389</v>
      </c>
      <c r="X10" s="20">
        <v>54.395</v>
      </c>
      <c r="Y10" s="20">
        <v>52.759</v>
      </c>
      <c r="Z10" s="20">
        <v>47.845</v>
      </c>
      <c r="AA10" s="20">
        <v>54.391</v>
      </c>
      <c r="AB10" s="20">
        <v>54.392</v>
      </c>
      <c r="AC10" s="20">
        <v>54.393</v>
      </c>
      <c r="AD10" s="20">
        <v>54.39</v>
      </c>
      <c r="AE10" s="20">
        <v>54.387</v>
      </c>
      <c r="AF10" s="20">
        <v>52.759</v>
      </c>
      <c r="AG10" s="20">
        <v>47.845</v>
      </c>
      <c r="AH10" s="20">
        <v>47.845</v>
      </c>
    </row>
    <row r="11" customHeight="1" spans="1:34">
      <c r="A11" s="19" t="s">
        <v>68</v>
      </c>
      <c r="B11" s="19" t="s">
        <v>51</v>
      </c>
      <c r="C11" s="19" t="e">
        <f>C12/C13</f>
        <v>#DIV/0!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</row>
    <row r="12" customHeight="1" spans="1:34">
      <c r="A12" s="19" t="s">
        <v>68</v>
      </c>
      <c r="B12" s="19" t="s">
        <v>66</v>
      </c>
      <c r="C12" s="19">
        <f t="shared" si="2"/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</row>
    <row r="13" customHeight="1" spans="1:34">
      <c r="A13" s="19" t="s">
        <v>68</v>
      </c>
      <c r="B13" s="19" t="s">
        <v>47</v>
      </c>
      <c r="C13" s="19">
        <f t="shared" si="2"/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3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</row>
    <row r="14" customHeight="1" spans="1:34">
      <c r="A14" s="19" t="s">
        <v>69</v>
      </c>
      <c r="B14" s="19" t="s">
        <v>51</v>
      </c>
      <c r="C14" s="19">
        <f>C15/C16</f>
        <v>366.942073439339</v>
      </c>
      <c r="D14" s="20">
        <v>366.94520404</v>
      </c>
      <c r="E14" s="20">
        <v>366.93687052</v>
      </c>
      <c r="F14" s="20">
        <v>366.94200666</v>
      </c>
      <c r="G14" s="20">
        <v>366.94176468</v>
      </c>
      <c r="H14" s="20">
        <v>366.94241254</v>
      </c>
      <c r="I14" s="20">
        <v>366.94222179</v>
      </c>
      <c r="J14" s="20">
        <v>366.943492</v>
      </c>
      <c r="K14" s="20">
        <v>366.94520404</v>
      </c>
      <c r="L14" s="20">
        <v>366.93687052</v>
      </c>
      <c r="M14" s="20">
        <v>366.94302153</v>
      </c>
      <c r="N14" s="20">
        <v>366.94326372</v>
      </c>
      <c r="O14" s="20">
        <v>366.94205225</v>
      </c>
      <c r="P14" s="20">
        <v>366.93925188</v>
      </c>
      <c r="Q14" s="20">
        <v>366.94201765</v>
      </c>
      <c r="R14" s="20">
        <v>366.94520404</v>
      </c>
      <c r="S14" s="20">
        <v>366.93687052</v>
      </c>
      <c r="T14" s="20">
        <v>366.94099759</v>
      </c>
      <c r="U14" s="20">
        <v>366.9431012</v>
      </c>
      <c r="V14" s="20">
        <v>366.94424637</v>
      </c>
      <c r="W14" s="20">
        <v>366.94299601</v>
      </c>
      <c r="X14" s="20">
        <v>366.94232577</v>
      </c>
      <c r="Y14" s="20">
        <v>366.94520404</v>
      </c>
      <c r="Z14" s="20">
        <v>366.93687052</v>
      </c>
      <c r="AA14" s="20">
        <v>366.94238698</v>
      </c>
      <c r="AB14" s="20">
        <v>366.94472091</v>
      </c>
      <c r="AC14" s="20">
        <v>366.94403839</v>
      </c>
      <c r="AD14" s="20">
        <v>366.94119029</v>
      </c>
      <c r="AE14" s="20">
        <v>366.94166069</v>
      </c>
      <c r="AF14" s="20">
        <v>366.94520404</v>
      </c>
      <c r="AG14" s="20">
        <v>366.93687052</v>
      </c>
      <c r="AH14" s="20">
        <v>366.93687052</v>
      </c>
    </row>
    <row r="15" customHeight="1" spans="1:34">
      <c r="A15" s="19" t="s">
        <v>69</v>
      </c>
      <c r="B15" s="19" t="s">
        <v>66</v>
      </c>
      <c r="C15" s="19">
        <f t="shared" ref="C15:C19" si="3">SUM(D15:AG15)</f>
        <v>583754.93472</v>
      </c>
      <c r="D15" s="20">
        <v>19359.66202</v>
      </c>
      <c r="E15" s="20">
        <v>17556.09457</v>
      </c>
      <c r="F15" s="20">
        <v>19959.44351</v>
      </c>
      <c r="G15" s="20">
        <v>19959.79729</v>
      </c>
      <c r="H15" s="20">
        <v>19959.83253</v>
      </c>
      <c r="I15" s="20">
        <v>19959.08827</v>
      </c>
      <c r="J15" s="20">
        <v>19958.05653</v>
      </c>
      <c r="K15" s="20">
        <v>19359.66202</v>
      </c>
      <c r="L15" s="20">
        <v>17556.09457</v>
      </c>
      <c r="M15" s="20">
        <v>19959.13177</v>
      </c>
      <c r="N15" s="20">
        <v>19958.778</v>
      </c>
      <c r="O15" s="20">
        <v>19959.44599</v>
      </c>
      <c r="P15" s="20">
        <v>19957.82591</v>
      </c>
      <c r="Q15" s="20">
        <v>19959.81105</v>
      </c>
      <c r="R15" s="20">
        <v>19359.66202</v>
      </c>
      <c r="S15" s="20">
        <v>17556.09457</v>
      </c>
      <c r="T15" s="20">
        <v>19958.2878</v>
      </c>
      <c r="U15" s="20">
        <v>19959.86999</v>
      </c>
      <c r="V15" s="20">
        <v>19958.09756</v>
      </c>
      <c r="W15" s="20">
        <v>19957.66261</v>
      </c>
      <c r="X15" s="20">
        <v>19959.82781</v>
      </c>
      <c r="Y15" s="20">
        <v>19359.66202</v>
      </c>
      <c r="Z15" s="20">
        <v>17556.09457</v>
      </c>
      <c r="AA15" s="20">
        <v>19958.36337</v>
      </c>
      <c r="AB15" s="20">
        <v>19958.85726</v>
      </c>
      <c r="AC15" s="20">
        <v>19959.18708</v>
      </c>
      <c r="AD15" s="20">
        <v>19957.93134</v>
      </c>
      <c r="AE15" s="20">
        <v>19956.8561</v>
      </c>
      <c r="AF15" s="20">
        <v>19359.66202</v>
      </c>
      <c r="AG15" s="20">
        <v>17556.09457</v>
      </c>
      <c r="AH15" s="20">
        <v>17556.09457</v>
      </c>
    </row>
    <row r="16" customHeight="1" spans="1:34">
      <c r="A16" s="19" t="s">
        <v>69</v>
      </c>
      <c r="B16" s="19" t="s">
        <v>47</v>
      </c>
      <c r="C16" s="19">
        <f t="shared" si="3"/>
        <v>1590.864</v>
      </c>
      <c r="D16" s="20">
        <v>52.759</v>
      </c>
      <c r="E16" s="20">
        <v>47.845</v>
      </c>
      <c r="F16" s="20">
        <v>54.394</v>
      </c>
      <c r="G16" s="20">
        <v>54.395</v>
      </c>
      <c r="H16" s="20">
        <v>54.395</v>
      </c>
      <c r="I16" s="20">
        <v>54.393</v>
      </c>
      <c r="J16" s="20">
        <v>54.39</v>
      </c>
      <c r="K16" s="20">
        <v>52.759</v>
      </c>
      <c r="L16" s="20">
        <v>47.845</v>
      </c>
      <c r="M16" s="20">
        <v>54.393</v>
      </c>
      <c r="N16" s="20">
        <v>54.392</v>
      </c>
      <c r="O16" s="23">
        <v>54.394</v>
      </c>
      <c r="P16" s="20">
        <v>54.39</v>
      </c>
      <c r="Q16" s="20">
        <v>54.395</v>
      </c>
      <c r="R16" s="20">
        <v>52.759</v>
      </c>
      <c r="S16" s="20">
        <v>47.845</v>
      </c>
      <c r="T16" s="20">
        <v>54.391</v>
      </c>
      <c r="U16" s="20">
        <v>54.395</v>
      </c>
      <c r="V16" s="20">
        <v>54.39</v>
      </c>
      <c r="W16" s="20">
        <v>54.389</v>
      </c>
      <c r="X16" s="20">
        <v>54.395</v>
      </c>
      <c r="Y16" s="20">
        <v>52.759</v>
      </c>
      <c r="Z16" s="20">
        <v>47.845</v>
      </c>
      <c r="AA16" s="20">
        <v>54.391</v>
      </c>
      <c r="AB16" s="20">
        <v>54.392</v>
      </c>
      <c r="AC16" s="20">
        <v>54.393</v>
      </c>
      <c r="AD16" s="20">
        <v>54.39</v>
      </c>
      <c r="AE16" s="20">
        <v>54.387</v>
      </c>
      <c r="AF16" s="20">
        <v>52.759</v>
      </c>
      <c r="AG16" s="20">
        <v>47.845</v>
      </c>
      <c r="AH16" s="20">
        <v>47.845</v>
      </c>
    </row>
    <row r="17" customHeight="1" spans="1:34">
      <c r="A17" s="19" t="s">
        <v>70</v>
      </c>
      <c r="B17" s="19" t="s">
        <v>51</v>
      </c>
      <c r="C17" s="19" t="e">
        <f>C18/C19</f>
        <v>#DIV/0!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</row>
    <row r="18" customHeight="1" spans="1:34">
      <c r="A18" s="19" t="s">
        <v>70</v>
      </c>
      <c r="B18" s="19" t="s">
        <v>66</v>
      </c>
      <c r="C18" s="19">
        <f t="shared" si="3"/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3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</row>
    <row r="19" customHeight="1" spans="1:34">
      <c r="A19" s="19" t="s">
        <v>70</v>
      </c>
      <c r="B19" s="19" t="s">
        <v>47</v>
      </c>
      <c r="C19" s="19">
        <f t="shared" si="3"/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3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</row>
    <row r="20" customHeight="1" spans="1:34">
      <c r="A20" s="19" t="s">
        <v>71</v>
      </c>
      <c r="B20" s="19" t="s">
        <v>51</v>
      </c>
      <c r="C20" s="19" t="e">
        <f>C21/C22</f>
        <v>#DIV/0!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3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</row>
    <row r="21" customHeight="1" spans="1:34">
      <c r="A21" s="19" t="s">
        <v>71</v>
      </c>
      <c r="B21" s="19" t="s">
        <v>66</v>
      </c>
      <c r="C21" s="19">
        <f t="shared" ref="C21:C25" si="4">SUM(D21:AG21)</f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3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</row>
    <row r="22" customHeight="1" spans="1:34">
      <c r="A22" s="19" t="s">
        <v>71</v>
      </c>
      <c r="B22" s="19" t="s">
        <v>47</v>
      </c>
      <c r="C22" s="19">
        <f t="shared" si="4"/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3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</row>
    <row r="23" customHeight="1" spans="1:34">
      <c r="A23" s="19" t="s">
        <v>72</v>
      </c>
      <c r="B23" s="19" t="s">
        <v>51</v>
      </c>
      <c r="C23" s="19">
        <f>C24/C25</f>
        <v>-209.478117785672</v>
      </c>
      <c r="D23" s="20">
        <v>55.46337556</v>
      </c>
      <c r="E23" s="20">
        <v>224.24598254</v>
      </c>
      <c r="F23" s="20">
        <v>1133.02231828</v>
      </c>
      <c r="G23" s="20">
        <v>168.19714037</v>
      </c>
      <c r="H23" s="20">
        <v>19.8369729</v>
      </c>
      <c r="I23" s="20">
        <v>-1562.01085042</v>
      </c>
      <c r="J23" s="20">
        <v>273.91762458</v>
      </c>
      <c r="K23" s="20">
        <v>280.59182951</v>
      </c>
      <c r="L23" s="20">
        <v>317.40458359</v>
      </c>
      <c r="M23" s="20">
        <v>-1804.37228214</v>
      </c>
      <c r="N23" s="20">
        <v>315.12557589</v>
      </c>
      <c r="O23" s="23">
        <v>334.15245257</v>
      </c>
      <c r="P23" s="20">
        <v>254.42209516</v>
      </c>
      <c r="Q23" s="20">
        <v>292.93390055</v>
      </c>
      <c r="R23" s="20">
        <v>481.98961542</v>
      </c>
      <c r="S23" s="20">
        <v>73.11129218</v>
      </c>
      <c r="T23" s="20">
        <v>292.53590963</v>
      </c>
      <c r="U23" s="20">
        <v>225.90528308</v>
      </c>
      <c r="V23" s="20">
        <v>591.68430514</v>
      </c>
      <c r="W23" s="20">
        <v>347.70975461</v>
      </c>
      <c r="X23" s="20">
        <v>368.62704318</v>
      </c>
      <c r="Y23" s="20">
        <v>732.35191447</v>
      </c>
      <c r="Z23" s="20">
        <v>126.58836513</v>
      </c>
      <c r="AA23" s="20">
        <v>572.55482912</v>
      </c>
      <c r="AB23" s="20">
        <v>756.10718409</v>
      </c>
      <c r="AC23" s="20">
        <v>-99.13849855</v>
      </c>
      <c r="AD23" s="20">
        <v>826.3252542</v>
      </c>
      <c r="AE23" s="20">
        <v>-621.01088727</v>
      </c>
      <c r="AF23" s="20">
        <v>1012.31158118</v>
      </c>
      <c r="AG23" s="20">
        <v>206.36646628</v>
      </c>
      <c r="AH23" s="20">
        <v>206.36646628</v>
      </c>
    </row>
    <row r="24" customHeight="1" spans="1:34">
      <c r="A24" s="19" t="s">
        <v>72</v>
      </c>
      <c r="B24" s="19" t="s">
        <v>66</v>
      </c>
      <c r="C24" s="19">
        <f t="shared" si="4"/>
        <v>8196.2503146</v>
      </c>
      <c r="D24" s="20">
        <v>-119.5790377</v>
      </c>
      <c r="E24" s="20">
        <v>-2189.5377735</v>
      </c>
      <c r="F24" s="20">
        <v>1066.1740015</v>
      </c>
      <c r="G24" s="20">
        <v>-837.4535619</v>
      </c>
      <c r="H24" s="20">
        <v>-66.7514138</v>
      </c>
      <c r="I24" s="20">
        <v>746.6411865</v>
      </c>
      <c r="J24" s="20">
        <v>-8172.8801646</v>
      </c>
      <c r="K24" s="20">
        <v>-8061.9644456</v>
      </c>
      <c r="L24" s="20">
        <v>1061.7183321</v>
      </c>
      <c r="M24" s="20">
        <v>505.224239</v>
      </c>
      <c r="N24" s="20">
        <v>2532.979379</v>
      </c>
      <c r="O24" s="23">
        <v>2376.4922427</v>
      </c>
      <c r="P24" s="20">
        <v>1885.2677251</v>
      </c>
      <c r="Q24" s="20">
        <v>2617.6573353</v>
      </c>
      <c r="R24" s="20">
        <v>1422.3513551</v>
      </c>
      <c r="S24" s="20">
        <v>-335.5808311</v>
      </c>
      <c r="T24" s="20">
        <v>2093.9720411</v>
      </c>
      <c r="U24" s="20">
        <v>-2516.5848535</v>
      </c>
      <c r="V24" s="20">
        <v>1552.5796167</v>
      </c>
      <c r="W24" s="20">
        <v>2664.4998496</v>
      </c>
      <c r="X24" s="20">
        <v>3470.9922386</v>
      </c>
      <c r="Y24" s="20">
        <v>1998.5883746</v>
      </c>
      <c r="Z24" s="20">
        <v>-728.6426297</v>
      </c>
      <c r="AA24" s="20">
        <v>1346.6489581</v>
      </c>
      <c r="AB24" s="20">
        <v>1853.2187082</v>
      </c>
      <c r="AC24" s="20">
        <v>307.626761</v>
      </c>
      <c r="AD24" s="20">
        <v>1427.063714</v>
      </c>
      <c r="AE24" s="20">
        <v>888.0455688</v>
      </c>
      <c r="AF24" s="20">
        <v>1425.3347063</v>
      </c>
      <c r="AG24" s="20">
        <v>-2017.8513073</v>
      </c>
      <c r="AH24" s="20">
        <v>-2017.8513073</v>
      </c>
    </row>
    <row r="25" customHeight="1" spans="1:34">
      <c r="A25" s="19" t="s">
        <v>72</v>
      </c>
      <c r="B25" s="19" t="s">
        <v>47</v>
      </c>
      <c r="C25" s="19">
        <f t="shared" si="4"/>
        <v>-39.127</v>
      </c>
      <c r="D25" s="20">
        <v>-2.156</v>
      </c>
      <c r="E25" s="20">
        <v>-9.764</v>
      </c>
      <c r="F25" s="20">
        <v>0.941</v>
      </c>
      <c r="G25" s="20">
        <v>-4.979</v>
      </c>
      <c r="H25" s="20">
        <v>-3.365</v>
      </c>
      <c r="I25" s="20">
        <v>-0.478</v>
      </c>
      <c r="J25" s="20">
        <v>-29.837</v>
      </c>
      <c r="K25" s="20">
        <v>-28.732</v>
      </c>
      <c r="L25" s="20">
        <v>3.345</v>
      </c>
      <c r="M25" s="20">
        <v>-0.28</v>
      </c>
      <c r="N25" s="20">
        <v>8.038</v>
      </c>
      <c r="O25" s="23">
        <v>7.112</v>
      </c>
      <c r="P25" s="20">
        <v>7.41</v>
      </c>
      <c r="Q25" s="20">
        <v>8.936</v>
      </c>
      <c r="R25" s="20">
        <v>2.951</v>
      </c>
      <c r="S25" s="20">
        <v>-4.59</v>
      </c>
      <c r="T25" s="20">
        <v>7.158</v>
      </c>
      <c r="U25" s="20">
        <v>-11.14</v>
      </c>
      <c r="V25" s="20">
        <v>2.624</v>
      </c>
      <c r="W25" s="20">
        <v>7.663</v>
      </c>
      <c r="X25" s="20">
        <v>9.416</v>
      </c>
      <c r="Y25" s="20">
        <v>2.729</v>
      </c>
      <c r="Z25" s="20">
        <v>-5.756</v>
      </c>
      <c r="AA25" s="20">
        <v>2.352</v>
      </c>
      <c r="AB25" s="20">
        <v>2.451</v>
      </c>
      <c r="AC25" s="20">
        <v>-3.103</v>
      </c>
      <c r="AD25" s="20">
        <v>1.727</v>
      </c>
      <c r="AE25" s="20">
        <v>-1.43</v>
      </c>
      <c r="AF25" s="20">
        <v>1.408</v>
      </c>
      <c r="AG25" s="20">
        <v>-9.778</v>
      </c>
      <c r="AH25" s="20">
        <v>-9.778</v>
      </c>
    </row>
    <row r="26" customHeight="1" spans="1:34">
      <c r="A26" s="19" t="s">
        <v>73</v>
      </c>
      <c r="B26" s="19" t="s">
        <v>51</v>
      </c>
      <c r="C26" s="19">
        <f>C27/C28</f>
        <v>214.264948085258</v>
      </c>
      <c r="D26" s="20">
        <v>245.05909592</v>
      </c>
      <c r="E26" s="20">
        <v>185.82112975</v>
      </c>
      <c r="F26" s="20">
        <v>302.89431002</v>
      </c>
      <c r="G26" s="20">
        <v>297.30839741</v>
      </c>
      <c r="H26" s="20">
        <v>261.1401772</v>
      </c>
      <c r="I26" s="20">
        <v>246.87525777</v>
      </c>
      <c r="J26" s="20">
        <v>257.50104791</v>
      </c>
      <c r="K26" s="20">
        <v>304.30050828</v>
      </c>
      <c r="L26" s="20">
        <v>256.38551546</v>
      </c>
      <c r="M26" s="20">
        <v>194.29839402</v>
      </c>
      <c r="N26" s="20">
        <v>-5812.61540806</v>
      </c>
      <c r="O26" s="23">
        <v>865.48576759</v>
      </c>
      <c r="P26" s="20">
        <v>30.90230221</v>
      </c>
      <c r="Q26" s="20">
        <v>327.80447465</v>
      </c>
      <c r="R26" s="20">
        <v>-11.42206254</v>
      </c>
      <c r="S26" s="20">
        <v>58.01699355</v>
      </c>
      <c r="T26" s="20">
        <v>194.98653719</v>
      </c>
      <c r="U26" s="20">
        <v>209.74340256</v>
      </c>
      <c r="V26" s="20">
        <v>139.65521696</v>
      </c>
      <c r="W26" s="20">
        <v>-909.74584425</v>
      </c>
      <c r="X26" s="20">
        <v>333.1080494</v>
      </c>
      <c r="Y26" s="20">
        <v>-74.68386753</v>
      </c>
      <c r="Z26" s="20">
        <v>71.73125358</v>
      </c>
      <c r="AA26" s="20">
        <v>87.81222724</v>
      </c>
      <c r="AB26" s="20">
        <v>31.48191233</v>
      </c>
      <c r="AC26" s="20">
        <v>156.4249802</v>
      </c>
      <c r="AD26" s="20">
        <v>78.63031988</v>
      </c>
      <c r="AE26" s="20">
        <v>151.54192307</v>
      </c>
      <c r="AF26" s="20">
        <v>101.04900399</v>
      </c>
      <c r="AG26" s="20">
        <v>205.7919921</v>
      </c>
      <c r="AH26" s="20">
        <v>205.7919921</v>
      </c>
    </row>
    <row r="27" customHeight="1" spans="1:34">
      <c r="A27" s="19" t="s">
        <v>73</v>
      </c>
      <c r="B27" s="19" t="s">
        <v>66</v>
      </c>
      <c r="C27" s="19">
        <f t="shared" ref="C27:C30" si="5">SUM(D27:AG27)</f>
        <v>41305.89813</v>
      </c>
      <c r="D27" s="20">
        <v>-1031.53460422</v>
      </c>
      <c r="E27" s="20">
        <v>930.19084416</v>
      </c>
      <c r="F27" s="20">
        <v>1493.83536078</v>
      </c>
      <c r="G27" s="20">
        <v>4496.88762265</v>
      </c>
      <c r="H27" s="20">
        <v>2901.36137916</v>
      </c>
      <c r="I27" s="20">
        <v>2299.62327607</v>
      </c>
      <c r="J27" s="20">
        <v>10765.22785949</v>
      </c>
      <c r="K27" s="20">
        <v>11734.42707128</v>
      </c>
      <c r="L27" s="20">
        <v>-854.12014234</v>
      </c>
      <c r="M27" s="20">
        <v>1563.14029485</v>
      </c>
      <c r="N27" s="20">
        <v>-314.52061973</v>
      </c>
      <c r="O27" s="23">
        <v>-891.06087202</v>
      </c>
      <c r="P27" s="20">
        <v>-21.87913899</v>
      </c>
      <c r="Q27" s="20">
        <v>-1037.43560136</v>
      </c>
      <c r="R27" s="20">
        <v>-31.96030163</v>
      </c>
      <c r="S27" s="20">
        <v>-292.15385376</v>
      </c>
      <c r="T27" s="20">
        <v>-167.23800308</v>
      </c>
      <c r="U27" s="20">
        <v>4218.83962461</v>
      </c>
      <c r="V27" s="20">
        <v>815.43144976</v>
      </c>
      <c r="W27" s="20">
        <v>-430.72826742</v>
      </c>
      <c r="X27" s="20">
        <v>-1525.54825817</v>
      </c>
      <c r="Y27" s="20">
        <v>-256.82736468</v>
      </c>
      <c r="Z27" s="20">
        <v>-55.6648874</v>
      </c>
      <c r="AA27" s="20">
        <v>229.77913314</v>
      </c>
      <c r="AB27" s="20">
        <v>102.95561272</v>
      </c>
      <c r="AC27" s="20">
        <v>1665.73050793</v>
      </c>
      <c r="AD27" s="20">
        <v>463.94562161</v>
      </c>
      <c r="AE27" s="20">
        <v>1351.3311518</v>
      </c>
      <c r="AF27" s="20">
        <v>601.06877996</v>
      </c>
      <c r="AG27" s="20">
        <v>2582.79445483</v>
      </c>
      <c r="AH27" s="20">
        <v>2582.79445483</v>
      </c>
    </row>
    <row r="28" customHeight="1" spans="1:34">
      <c r="A28" s="19" t="s">
        <v>73</v>
      </c>
      <c r="B28" s="19" t="s">
        <v>47</v>
      </c>
      <c r="C28" s="19">
        <f t="shared" si="5"/>
        <v>192.77954</v>
      </c>
      <c r="D28" s="20">
        <v>-4.20933</v>
      </c>
      <c r="E28" s="20">
        <v>5.00584</v>
      </c>
      <c r="F28" s="20">
        <v>4.93187</v>
      </c>
      <c r="G28" s="20">
        <v>15.12533</v>
      </c>
      <c r="H28" s="20">
        <v>11.11036</v>
      </c>
      <c r="I28" s="20">
        <v>9.31492</v>
      </c>
      <c r="J28" s="20">
        <v>41.80654</v>
      </c>
      <c r="K28" s="20">
        <v>38.56197</v>
      </c>
      <c r="L28" s="20">
        <v>-3.33139</v>
      </c>
      <c r="M28" s="20">
        <v>8.04505</v>
      </c>
      <c r="N28" s="20">
        <v>0.05411</v>
      </c>
      <c r="O28" s="23">
        <v>-1.02955</v>
      </c>
      <c r="P28" s="20">
        <v>-0.70801</v>
      </c>
      <c r="Q28" s="20">
        <v>-3.1648</v>
      </c>
      <c r="R28" s="20">
        <v>2.79812</v>
      </c>
      <c r="S28" s="20">
        <v>-5.03566</v>
      </c>
      <c r="T28" s="20">
        <v>-0.85769</v>
      </c>
      <c r="U28" s="20">
        <v>20.11429</v>
      </c>
      <c r="V28" s="20">
        <v>5.83889</v>
      </c>
      <c r="W28" s="20">
        <v>0.47346</v>
      </c>
      <c r="X28" s="20">
        <v>-4.57974</v>
      </c>
      <c r="Y28" s="20">
        <v>3.43886</v>
      </c>
      <c r="Z28" s="20">
        <v>-0.77602</v>
      </c>
      <c r="AA28" s="20">
        <v>2.61671</v>
      </c>
      <c r="AB28" s="20">
        <v>3.27031</v>
      </c>
      <c r="AC28" s="20">
        <v>10.64875</v>
      </c>
      <c r="AD28" s="20">
        <v>5.90034</v>
      </c>
      <c r="AE28" s="20">
        <v>8.91721</v>
      </c>
      <c r="AF28" s="20">
        <v>5.94829</v>
      </c>
      <c r="AG28" s="20">
        <v>12.55051</v>
      </c>
      <c r="AH28" s="20">
        <v>12.55051</v>
      </c>
    </row>
    <row r="29" customHeight="1" spans="1:34">
      <c r="A29" s="19" t="s">
        <v>57</v>
      </c>
      <c r="B29" s="19" t="s">
        <v>51</v>
      </c>
      <c r="C29" s="19"/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</row>
    <row r="30" customHeight="1" spans="1:34">
      <c r="A30" s="19" t="s">
        <v>57</v>
      </c>
      <c r="B30" s="19" t="s">
        <v>66</v>
      </c>
      <c r="C30" s="19">
        <f t="shared" si="5"/>
        <v>1821.00592292</v>
      </c>
      <c r="D30" s="20">
        <v>0</v>
      </c>
      <c r="E30" s="20">
        <v>78.1798577</v>
      </c>
      <c r="F30" s="20">
        <v>2.84298705</v>
      </c>
      <c r="G30" s="20">
        <v>32.9393412</v>
      </c>
      <c r="H30" s="20">
        <v>8.77283797</v>
      </c>
      <c r="I30" s="20">
        <v>24.33300264</v>
      </c>
      <c r="J30" s="20">
        <v>953.01039244</v>
      </c>
      <c r="K30" s="20">
        <v>61.51195283</v>
      </c>
      <c r="L30" s="20">
        <v>0</v>
      </c>
      <c r="M30" s="20">
        <v>30.63959829</v>
      </c>
      <c r="N30" s="20">
        <v>4.62099702</v>
      </c>
      <c r="O30" s="20">
        <v>21.04457534</v>
      </c>
      <c r="P30" s="20">
        <v>0</v>
      </c>
      <c r="Q30" s="20">
        <v>3.81237057</v>
      </c>
      <c r="R30" s="20">
        <v>16.09289061</v>
      </c>
      <c r="S30" s="20">
        <v>5.34247032</v>
      </c>
      <c r="T30" s="20">
        <v>2.13924442</v>
      </c>
      <c r="U30" s="20">
        <v>245.82966991</v>
      </c>
      <c r="V30" s="20">
        <v>9.94849167</v>
      </c>
      <c r="W30" s="20">
        <v>14.82907827</v>
      </c>
      <c r="X30" s="20">
        <v>0</v>
      </c>
      <c r="Y30" s="20">
        <v>42.08864874</v>
      </c>
      <c r="Z30" s="20">
        <v>0</v>
      </c>
      <c r="AA30" s="20">
        <v>0.00192523</v>
      </c>
      <c r="AB30" s="20">
        <v>22.4004307</v>
      </c>
      <c r="AC30" s="20">
        <v>22.14612586</v>
      </c>
      <c r="AD30" s="20">
        <v>8.95290834</v>
      </c>
      <c r="AE30" s="20">
        <v>13.56453848</v>
      </c>
      <c r="AF30" s="20">
        <v>15.74871901</v>
      </c>
      <c r="AG30" s="20">
        <v>180.21286831</v>
      </c>
      <c r="AH30" s="20">
        <v>180.21286831</v>
      </c>
    </row>
    <row r="32" customHeight="1" spans="3:3">
      <c r="C32" s="15">
        <f>C25+C28</f>
        <v>153.65254</v>
      </c>
    </row>
    <row r="33" customHeight="1" spans="3:3">
      <c r="C33" s="15">
        <f>C24+C27</f>
        <v>49502.1484446</v>
      </c>
    </row>
    <row r="34" customHeight="1" spans="3:3">
      <c r="C34" s="15">
        <f>C33/C32</f>
        <v>322.169411873048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G34" etc:filterBottomFollowUsedRange="0"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ns0:worksheet xmlns:ns0="http://schemas.openxmlformats.org/spreadsheetml/2006/main">
  <ns0:sheetPr/>
  <ns0:dimension ref="A1:AB94"/>
  <ns0:sheetViews>
    <ns0:sheetView topLeftCell="A11" workbookViewId="0">
      <ns0:selection activeCell="G24" sqref="G24"/>
    </ns0:sheetView>
  </ns0:sheetViews>
  <ns0:sheetFormatPr defaultColWidth="9.23076923076923" defaultRowHeight="16.8"/>
  <ns0:cols>
    <ns0:col min="1" max="1" width="17.4615384615385" customWidth="1"/>
    <ns0:col min="2" max="2" width="16.6634615384615" customWidth="1"/>
    <ns0:col min="3" max="3" width="14.5769230769231" customWidth="1"/>
  </ns0:cols>
  <ns0:sheetData>
    <ns0:row r="1" ht="17" spans="1:28">
      <ns0:c r="A1" s="1" t="s">
        <ns0:v>2</ns0:v>
      </ns0:c>
      <ns0:c r="B1" s="1" t="s">
        <ns0:v>74</ns0:v>
      </ns0:c>
      <ns0:c r="C1" s="2" t="s">
        <ns0:v>75</ns0:v>
      </ns0:c>
      <ns0:c r="D1" s="3" t="s">
        <ns0:v>3</ns0:v>
      </ns0:c>
      <ns0:c r="E1" s="8">
        <ns0:v>0</ns0:v>
      </ns0:c>
      <ns0:c r="F1" s="9" t="s">
        <ns0:v>5</ns0:v>
      </ns0:c>
      <ns0:c r="G1" s="10" t="s">
        <ns0:v>6</ns0:v>
      </ns0:c>
      <ns0:c r="H1" s="9" t="s">
        <ns0:v>7</ns0:v>
      </ns0:c>
      <ns0:c r="I1" s="9" t="s">
        <ns0:v>8</ns0:v>
      </ns0:c>
      <ns0:c r="J1" s="9" t="s">
        <ns0:v>9</ns0:v>
      </ns0:c>
      <ns0:c r="K1" s="9" t="s">
        <ns0:v>10</ns0:v>
      </ns0:c>
      <ns0:c r="L1" s="9" t="s">
        <ns0:v>11</ns0:v>
      </ns0:c>
      <ns0:c r="M1" s="9" t="s">
        <ns0:v>12</ns0:v>
      </ns0:c>
      <ns0:c r="N1" s="9" t="s">
        <ns0:v>13</ns0:v>
      </ns0:c>
      <ns0:c r="O1" s="9" t="s">
        <ns0:v>14</ns0:v>
      </ns0:c>
      <ns0:c r="P1" s="9" t="s">
        <ns0:v>15</ns0:v>
      </ns0:c>
      <ns0:c r="Q1" s="9" t="s">
        <ns0:v>16</ns0:v>
      </ns0:c>
      <ns0:c r="R1" s="9" t="s">
        <ns0:v>17</ns0:v>
      </ns0:c>
      <ns0:c r="S1" s="9" t="s">
        <ns0:v>18</ns0:v>
      </ns0:c>
      <ns0:c r="T1" s="9" t="s">
        <ns0:v>19</ns0:v>
      </ns0:c>
      <ns0:c r="U1" s="9" t="s">
        <ns0:v>20</ns0:v>
      </ns0:c>
      <ns0:c r="V1" s="9" t="s">
        <ns0:v>21</ns0:v>
      </ns0:c>
      <ns0:c r="W1" s="9" t="s">
        <ns0:v>22</ns0:v>
      </ns0:c>
      <ns0:c r="X1" s="9" t="s">
        <ns0:v>23</ns0:v>
      </ns0:c>
      <ns0:c r="Y1" s="9" t="s">
        <ns0:v>24</ns0:v>
      </ns0:c>
      <ns0:c r="Z1" s="9" t="s">
        <ns0:v>25</ns0:v>
      </ns0:c>
      <ns0:c r="AA1" s="9" t="s">
        <ns0:v>26</ns0:v>
      </ns0:c>
      <ns0:c r="AB1" s="9" t="s">
        <ns0:v>27</ns0:v>
      </ns0:c>
    </ns0:row>
    <ns0:row r="2" spans="1:28">
      <ns0:c r="A2" s="4">
        <ns0:v>45992</ns0:v>
      </ns0:c>
      <ns0:c r="B2" s="5">
        <ns0:v>-2257.473794</ns0:v>
      </ns0:c>
      <ns0:c r="C2" s="2" t="s">
        <ns0:v>33</ns0:v>
      </ns0:c>
      <ns0:c r="D2" s="3">
        <ns0:v>60.308264</ns0:v>
      </ns0:c>
      <ns0:c r="E2" s="11">
        <ns0:v>1.280795</ns0:v>
      </ns0:c>
      <ns0:c r="F2" s="12">
        <ns0:v>1.29726</ns0:v>
      </ns0:c>
      <ns0:c r="G2" s="12">
        <ns0:v>1.27868</ns0:v>
      </ns0:c>
      <ns0:c r="H2" s="12">
        <ns0:v>1.206897</ns0:v>
      </ns0:c>
      <ns0:c r="I2" s="12">
        <ns0:v>1.245865</ns0:v>
      </ns0:c>
      <ns0:c r="J2" s="12">
        <ns0:v>1.24115</ns0:v>
      </ns0:c>
      <ns0:c r="K2" s="12">
        <ns0:v>1.20989</ns0:v>
      </ns0:c>
      <ns0:c r="L2" s="12">
        <ns0:v>1.645532</ns0:v>
      </ns0:c>
      <ns0:c r="M2" s="12">
        <ns0:v>3.470289</ns0:v>
      </ns0:c>
      <ns0:c r="N2" s="12">
        <ns0:v>3.873756</ns0:v>
      </ns0:c>
      <ns0:c r="O2" s="12">
        <ns0:v>3.316415</ns0:v>
      </ns0:c>
      <ns0:c r="P2" s="12">
        <ns0:v>3.286468</ns0:v>
      </ns0:c>
      <ns0:c r="Q2" s="12">
        <ns0:v>2.628076</ns0:v>
      </ns0:c>
      <ns0:c r="R2" s="12">
        <ns0:v>3.087604</ns0:v>
      </ns0:c>
      <ns0:c r="S2" s="12">
        <ns0:v>3.736916</ns0:v>
      </ns0:c>
      <ns0:c r="T2" s="12">
        <ns0:v>3.610097</ns0:v>
      </ns0:c>
      <ns0:c r="U2" s="12">
        <ns0:v>3.869157</ns0:v>
      </ns0:c>
      <ns0:c r="V2" s="12">
        <ns0:v>3.648103</ns0:v>
      </ns0:c>
      <ns0:c r="W2" s="12">
        <ns0:v>3.316104</ns0:v>
      </ns0:c>
      <ns0:c r="X2" s="12">
        <ns0:v>3.421685</ns0:v>
      </ns0:c>
      <ns0:c r="Y2" s="12">
        <ns0:v>2.88989</ns0:v>
      </ns0:c>
      <ns0:c r="Z2" s="12">
        <ns0:v>2.35654</ns0:v>
      </ns0:c>
      <ns0:c r="AA2" s="12">
        <ns0:v>1.848535</ns0:v>
      </ns0:c>
      <ns0:c r="AB2" s="12">
        <ns0:v>1.54256</ns0:v>
      </ns0:c>
    </ns0:row>
    <ns0:row r="3" spans="1:28">
      <ns0:c r="A3" s="4">
        <ns0:v>45992</ns0:v>
      </ns0:c>
      <ns0:c r="B3" s="5"/>
      <ns0:c r="C3" s="6" t="s">
        <ns0:v>49</ns0:v>
      </ns0:c>
      <ns0:c r="D3" s="3">
        <ns0:v>44.4764</ns0:v>
      </ns0:c>
      <ns0:c r="E3" s="3">
        <ns0:v>0.9755</ns0:v>
      </ns0:c>
      <ns0:c r="F3" s="3">
        <ns0:v>0.9683</ns0:v>
      </ns0:c>
      <ns0:c r="G3" s="3">
        <ns0:v>0.9103</ns0:v>
      </ns0:c>
      <ns0:c r="H3" s="3">
        <ns0:v>0.7648</ns0:v>
      </ns0:c>
      <ns0:c r="I3" s="3">
        <ns0:v>0.7345</ns0:v>
      </ns0:c>
      <ns0:c r="J3" s="3">
        <ns0:v>0.7851</ns0:v>
      </ns0:c>
      <ns0:c r="K3" s="3">
        <ns0:v>0.9163</ns0:v>
      </ns0:c>
      <ns0:c r="L3" s="3">
        <ns0:v>1.2499</ns0:v>
      </ns0:c>
      <ns0:c r="M3" s="3">
        <ns0:v>2.5941</ns0:v>
      </ns0:c>
      <ns0:c r="N3" s="3">
        <ns0:v>3.0418</ns0:v>
      </ns0:c>
      <ns0:c r="O3" s="3">
        <ns0:v>2.3309</ns0:v>
      </ns0:c>
      <ns0:c r="P3" s="3">
        <ns0:v>2.1625</ns0:v>
      </ns0:c>
      <ns0:c r="Q3" s="3">
        <ns0:v>2.0026</ns0:v>
      </ns0:c>
      <ns0:c r="R3" s="3">
        <ns0:v>2.3623</ns0:v>
      </ns0:c>
      <ns0:c r="S3" s="3">
        <ns0:v>2.6797</ns0:v>
      </ns0:c>
      <ns0:c r="T3" s="3">
        <ns0:v>2.5526</ns0:v>
      </ns0:c>
      <ns0:c r="U3" s="3">
        <ns0:v>2.6743</ns0:v>
      </ns0:c>
      <ns0:c r="V3" s="3">
        <ns0:v>2.7308</ns0:v>
      </ns0:c>
      <ns0:c r="W3" s="3">
        <ns0:v>2.5227</ns0:v>
      </ns0:c>
      <ns0:c r="X3" s="3">
        <ns0:v>2.5735</ns0:v>
      </ns0:c>
      <ns0:c r="Y3" s="3">
        <ns0:v>2.2502</ns0:v>
      </ns0:c>
      <ns0:c r="Z3" s="3">
        <ns0:v>1.9423</ns0:v>
      </ns0:c>
      <ns0:c r="AA3" s="3">
        <ns0:v>1.4737</ns0:v>
      </ns0:c>
      <ns0:c r="AB3" s="3">
        <ns0:v>1.2777</ns0:v>
      </ns0:c>
    </ns0:row>
    <ns0:row r="4" spans="1:28">
      <ns0:c r="A4" s="4">
        <ns0:v>45992</ns0:v>
      </ns0:c>
      <ns0:c r="B4" s="7"/>
      <ns0:c r="C4" s="2" t="s">
        <ns0:v>36</ns0:v>
      </ns0:c>
      <ns0:c r="D4" s="3">
        <ns0:v>56.707</ns0:v>
      </ns0:c>
      <ns0:c r="E4" s="13">
        <ns0:v>1.409</ns0:v>
      </ns0:c>
      <ns0:c r="F4" s="13">
        <ns0:v>1.297</ns0:v>
      </ns0:c>
      <ns0:c r="G4" s="13">
        <ns0:v>1.023</ns0:v>
      </ns0:c>
      <ns0:c r="H4" s="13">
        <ns0:v>0.966</ns0:v>
      </ns0:c>
      <ns0:c r="I4" s="13">
        <ns0:v>0.997</ns0:v>
      </ns0:c>
      <ns0:c r="J4" s="13">
        <ns0:v>0.993</ns0:v>
      </ns0:c>
      <ns0:c r="K4" s="13">
        <ns0:v>0.968</ns0:v>
      </ns0:c>
      <ns0:c r="L4" s="13">
        <ns0:v>1.646</ns0:v>
      </ns0:c>
      <ns0:c r="M4" s="13">
        <ns0:v>3.47</ns0:v>
      </ns0:c>
      <ns0:c r="N4" s="13">
        <ns0:v>3.874</ns0:v>
      </ns0:c>
      <ns0:c r="O4" s="13">
        <ns0:v>2.653</ns0:v>
      </ns0:c>
      <ns0:c r="P4" s="13">
        <ns0:v>2.629</ns0:v>
      </ns0:c>
      <ns0:c r="Q4" s="13">
        <ns0:v>2.102</ns0:v>
      </ns0:c>
      <ns0:c r="R4" s="13">
        <ns0:v>2.47</ns0:v>
      </ns0:c>
      <ns0:c r="S4" s="13">
        <ns0:v>2.99</ns0:v>
      </ns0:c>
      <ns0:c r="T4" s="13">
        <ns0:v>3.61</ns0:v>
      </ns0:c>
      <ns0:c r="U4" s="13">
        <ns0:v>4.256</ns0:v>
      </ns0:c>
      <ns0:c r="V4" s="13">
        <ns0:v>4.013</ns0:v>
      </ns0:c>
      <ns0:c r="W4" s="13">
        <ns0:v>3.648</ns0:v>
      </ns0:c>
      <ns0:c r="X4" s="13">
        <ns0:v>3.764</ns0:v>
      </ns0:c>
      <ns0:c r="Y4" s="13">
        <ns0:v>2.601</ns0:v>
      </ns0:c>
      <ns0:c r="Z4" s="13">
        <ns0:v>2.121</ns0:v>
      </ns0:c>
      <ns0:c r="AA4" s="13">
        <ns0:v>1.664</ns0:v>
      </ns0:c>
      <ns0:c r="AB4" s="13">
        <ns0:v>1.543</ns0:v>
      </ns0:c>
    </ns0:row>
    <ns0:row r="5" spans="1:28">
      <ns0:c r="A5" s="4">
        <ns0:v>45993</ns0:v>
      </ns0:c>
      <ns0:c r="B5" s="5">
        <ns0:v>-209.140509</ns0:v>
      </ns0:c>
      <ns0:c r="C5" s="2" t="s">
        <ns0:v>33</ns0:v>
      </ns0:c>
      <ns0:c r="D5" s="3">
        <ns0:v>61.560199</ns0:v>
      </ns0:c>
      <ns0:c r="E5" s="3">
        <ns0:v>1.504975</ns0:v>
      </ns0:c>
      <ns0:c r="F5" s="3">
        <ns0:v>1.51727</ns0:v>
      </ns0:c>
      <ns0:c r="G5" s="3">
        <ns0:v>1.53219</ns0:v>
      </ns0:c>
      <ns0:c r="H5" s="3">
        <ns0:v>1.4888</ns0:v>
      </ns0:c>
      <ns0:c r="I5" s="3">
        <ns0:v>1.484597</ns0:v>
      </ns0:c>
      <ns0:c r="J5" s="3">
        <ns0:v>1.48436</ns0:v>
      </ns0:c>
      <ns0:c r="K5" s="3">
        <ns0:v>1.443032</ns0:v>
      </ns0:c>
      <ns0:c r="L5" s="3">
        <ns0:v>1.76186</ns0:v>
      </ns0:c>
      <ns0:c r="M5" s="3">
        <ns0:v>3.623511</ns0:v>
      </ns0:c>
      <ns0:c r="N5" s="3">
        <ns0:v>3.905341</ns0:v>
      </ns0:c>
      <ns0:c r="O5" s="3">
        <ns0:v>3.416131</ns0:v>
      </ns0:c>
      <ns0:c r="P5" s="3">
        <ns0:v>3.299858</ns0:v>
      </ns0:c>
      <ns0:c r="Q5" s="3">
        <ns0:v>2.626914</ns0:v>
      </ns0:c>
      <ns0:c r="R5" s="3">
        <ns0:v>3.115833</ns0:v>
      </ns0:c>
      <ns0:c r="S5" s="3">
        <ns0:v>3.663581</ns0:v>
      </ns0:c>
      <ns0:c r="T5" s="3">
        <ns0:v>3.485675</ns0:v>
      </ns0:c>
      <ns0:c r="U5" s="3">
        <ns0:v>3.606425</ns0:v>
      </ns0:c>
      <ns0:c r="V5" s="3">
        <ns0:v>3.480532</ns0:v>
      </ns0:c>
      <ns0:c r="W5" s="3">
        <ns0:v>3.207799</ns0:v>
      </ns0:c>
      <ns0:c r="X5" s="3">
        <ns0:v>3.321935</ns0:v>
      </ns0:c>
      <ns0:c r="Y5" s="3">
        <ns0:v>2.938634</ns0:v>
      </ns0:c>
      <ns0:c r="Z5" s="3">
        <ns0:v>2.298062</ns0:v>
      </ns0:c>
      <ns0:c r="AA5" s="3">
        <ns0:v>1.857722</ns0:v>
      </ns0:c>
      <ns0:c r="AB5" s="3">
        <ns0:v>1.495162</ns0:v>
      </ns0:c>
    </ns0:row>
    <ns0:row r="6" spans="1:28">
      <ns0:c r="A6" s="4">
        <ns0:v>45993</ns0:v>
      </ns0:c>
      <ns0:c r="B6" s="5"/>
      <ns0:c r="C6" s="6" t="s">
        <ns0:v>49</ns0:v>
      </ns0:c>
      <ns0:c r="D6" s="3">
        <ns0:v>64.1441</ns0:v>
      </ns0:c>
      <ns0:c r="E6" s="3">
        <ns0:v>1.3738</ns0:v>
      </ns0:c>
      <ns0:c r="F6" s="3">
        <ns0:v>1.3887</ns0:v>
      </ns0:c>
      <ns0:c r="G6" s="3">
        <ns0:v>1.3377</ns0:v>
      </ns0:c>
      <ns0:c r="H6" s="3">
        <ns0:v>1.2493</ns0:v>
      </ns0:c>
      <ns0:c r="I6" s="3">
        <ns0:v>1.2389</ns0:v>
      </ns0:c>
      <ns0:c r="J6" s="3">
        <ns0:v>1.242</ns0:v>
      </ns0:c>
      <ns0:c r="K6" s="3">
        <ns0:v>1.2403</ns0:v>
      </ns0:c>
      <ns0:c r="L6" s="3">
        <ns0:v>1.7035</ns0:v>
      </ns0:c>
      <ns0:c r="M6" s="3">
        <ns0:v>3.8685</ns0:v>
      </ns0:c>
      <ns0:c r="N6" s="3">
        <ns0:v>4.1165</ns0:v>
      </ns0:c>
      <ns0:c r="O6" s="3">
        <ns0:v>3.6086</ns0:v>
      </ns0:c>
      <ns0:c r="P6" s="3">
        <ns0:v>3.4586</ns0:v>
      </ns0:c>
      <ns0:c r="Q6" s="3">
        <ns0:v>2.8528</ns0:v>
      </ns0:c>
      <ns0:c r="R6" s="3">
        <ns0:v>3.5267</ns0:v>
      </ns0:c>
      <ns0:c r="S6" s="3">
        <ns0:v>4.0565</ns0:v>
      </ns0:c>
      <ns0:c r="T6" s="3">
        <ns0:v>3.882</ns0:v>
      </ns0:c>
      <ns0:c r="U6" s="3">
        <ns0:v>3.9285</ns0:v>
      </ns0:c>
      <ns0:c r="V6" s="3">
        <ns0:v>3.8313</ns0:v>
      </ns0:c>
      <ns0:c r="W6" s="3">
        <ns0:v>3.4441</ns0:v>
      </ns0:c>
      <ns0:c r="X6" s="3">
        <ns0:v>3.4902</ns0:v>
      </ns0:c>
      <ns0:c r="Y6" s="3">
        <ns0:v>3.0839</ns0:v>
      </ns0:c>
      <ns0:c r="Z6" s="3">
        <ns0:v>2.5905</ns0:v>
      </ns0:c>
      <ns0:c r="AA6" s="3">
        <ns0:v>2.0101</ns0:v>
      </ns0:c>
      <ns0:c r="AB6" s="3">
        <ns0:v>1.6211</ns0:v>
      </ns0:c>
    </ns0:row>
    <ns0:row r="7" spans="1:28">
      <ns0:c r="A7" s="4">
        <ns0:v>45993</ns0:v>
      </ns0:c>
      <ns0:c r="B7" s="7"/>
      <ns0:c r="C7" s="2" t="s">
        <ns0:v>36</ns0:v>
      </ns0:c>
      <ns0:c r="D7" s="3">
        <ns0:v>55.059</ns0:v>
      </ns0:c>
      <ns0:c r="E7" s="13">
        <ns0:v>1.655</ns0:v>
      </ns0:c>
      <ns0:c r="F7" s="13">
        <ns0:v>1.517</ns0:v>
      </ns0:c>
      <ns0:c r="G7" s="13">
        <ns0:v>1.379</ns0:v>
      </ns0:c>
      <ns0:c r="H7" s="13">
        <ns0:v>1.34</ns0:v>
      </ns0:c>
      <ns0:c r="I7" s="13">
        <ns0:v>1.336</ns0:v>
      </ns0:c>
      <ns0:c r="J7" s="13">
        <ns0:v>1.187</ns0:v>
      </ns0:c>
      <ns0:c r="K7" s="13">
        <ns0:v>1.154</ns0:v>
      </ns0:c>
      <ns0:c r="L7" s="13">
        <ns0:v>1.938</ns0:v>
      </ns0:c>
      <ns0:c r="M7" s="13">
        <ns0:v>3.986</ns0:v>
      </ns0:c>
      <ns0:c r="N7" s="13">
        <ns0:v>3.905</ns0:v>
      </ns0:c>
      <ns0:c r="O7" s="13">
        <ns0:v>2.733</ns0:v>
      </ns0:c>
      <ns0:c r="P7" s="13">
        <ns0:v>2.64</ns0:v>
      </ns0:c>
      <ns0:c r="Q7" s="13">
        <ns0:v>2.102</ns0:v>
      </ns0:c>
      <ns0:c r="R7" s="13">
        <ns0:v>2.493</ns0:v>
      </ns0:c>
      <ns0:c r="S7" s="13">
        <ns0:v>2.931</ns0:v>
      </ns0:c>
      <ns0:c r="T7" s="13">
        <ns0:v>2.789</ns0:v>
      </ns0:c>
      <ns0:c r="U7" s="13">
        <ns0:v>2.885</ns0:v>
      </ns0:c>
      <ns0:c r="V7" s="13">
        <ns0:v>3.481</ns0:v>
      </ns0:c>
      <ns0:c r="W7" s="13">
        <ns0:v>2.887</ns0:v>
      </ns0:c>
      <ns0:c r="X7" s="13">
        <ns0:v>2.99</ns0:v>
      </ns0:c>
      <ns0:c r="Y7" s="13">
        <ns0:v>2.645</ns0:v>
      </ns0:c>
      <ns0:c r="Z7" s="13">
        <ns0:v>2.068</ns0:v>
      </ns0:c>
      <ns0:c r="AA7" s="13">
        <ns0:v>1.672</ns0:v>
      </ns0:c>
      <ns0:c r="AB7" s="13">
        <ns0:v>1.346</ns0:v>
      </ns0:c>
    </ns0:row>
    <ns0:row r="8" spans="1:28">
      <ns0:c r="A8" s="4">
        <ns0:v>45994</ns0:v>
      </ns0:c>
      <ns0:c r="B8" s="5">
        <ns0:v>-1967.9439858</ns0:v>
      </ns0:c>
      <ns0:c r="C8" s="2" t="s">
        <ns0:v>33</ns0:v>
      </ns0:c>
      <ns0:c r="D8" s="3">
        <ns0:v>61.919217</ns0:v>
      </ns0:c>
      <ns0:c r="E8" s="3">
        <ns0:v>1.537627</ns0:v>
      </ns0:c>
      <ns0:c r="F8" s="3">
        <ns0:v>1.591435</ns0:v>
      </ns0:c>
      <ns0:c r="G8" s="3">
        <ns0:v>1.521045</ns0:v>
      </ns0:c>
      <ns0:c r="H8" s="3">
        <ns0:v>1.482342</ns0:v>
      </ns0:c>
      <ns0:c r="I8" s="3">
        <ns0:v>1.444725</ns0:v>
      </ns0:c>
      <ns0:c r="J8" s="3">
        <ns0:v>1.451675</ns0:v>
      </ns0:c>
      <ns0:c r="K8" s="3">
        <ns0:v>1.397227</ns0:v>
      </ns0:c>
      <ns0:c r="L8" s="3">
        <ns0:v>1.851085</ns0:v>
      </ns0:c>
      <ns0:c r="M8" s="3">
        <ns0:v>3.683251</ns0:v>
      </ns0:c>
      <ns0:c r="N8" s="3">
        <ns0:v>3.89884</ns0:v>
      </ns0:c>
      <ns0:c r="O8" s="3">
        <ns0:v>3.306564</ns0:v>
      </ns0:c>
      <ns0:c r="P8" s="3">
        <ns0:v>3.178406</ns0:v>
      </ns0:c>
      <ns0:c r="Q8" s="3">
        <ns0:v>2.70748</ns0:v>
      </ns0:c>
      <ns0:c r="R8" s="3">
        <ns0:v>3.193833</ns0:v>
      </ns0:c>
      <ns0:c r="S8" s="3">
        <ns0:v>3.677989</ns0:v>
      </ns0:c>
      <ns0:c r="T8" s="3">
        <ns0:v>3.495149</ns0:v>
      </ns0:c>
      <ns0:c r="U8" s="3">
        <ns0:v>3.658158</ns0:v>
      </ns0:c>
      <ns0:c r="V8" s="3">
        <ns0:v>3.517254</ns0:v>
      </ns0:c>
      <ns0:c r="W8" s="3">
        <ns0:v>3.246346</ns0:v>
      </ns0:c>
      <ns0:c r="X8" s="3">
        <ns0:v>3.328198</ns0:v>
      </ns0:c>
      <ns0:c r="Y8" s="3">
        <ns0:v>2.889327</ns0:v>
      </ns0:c>
      <ns0:c r="Z8" s="3">
        <ns0:v>2.417158</ns0:v>
      </ns0:c>
      <ns0:c r="AA8" s="3">
        <ns0:v>1.857293</ns0:v>
      </ns0:c>
      <ns0:c r="AB8" s="3">
        <ns0:v>1.58681</ns0:v>
      </ns0:c>
    </ns0:row>
    <ns0:row r="9" spans="1:28">
      <ns0:c r="A9" s="4">
        <ns0:v>45994</ns0:v>
      </ns0:c>
      <ns0:c r="B9" s="5"/>
      <ns0:c r="C9" s="6" t="s">
        <ns0:v>49</ns0:v>
      </ns0:c>
      <ns0:c r="D9" s="3">
        <ns0:v>67.00684</ns0:v>
      </ns0:c>
      <ns0:c r="E9" s="3">
        <ns0:v>1.6391</ns0:v>
      </ns0:c>
      <ns0:c r="F9" s="3">
        <ns0:v>1.66307</ns0:v>
      </ns0:c>
      <ns0:c r="G9" s="3">
        <ns0:v>1.65322</ns0:v>
      </ns0:c>
      <ns0:c r="H9" s="3">
        <ns0:v>1.70349</ns0:v>
      </ns0:c>
      <ns0:c r="I9" s="3">
        <ns0:v>1.66121</ns0:v>
      </ns0:c>
      <ns0:c r="J9" s="3">
        <ns0:v>1.75384</ns0:v>
      </ns0:c>
      <ns0:c r="K9" s="3">
        <ns0:v>1.6611</ns0:v>
      </ns0:c>
      <ns0:c r="L9" s="3">
        <ns0:v>2.09351</ns0:v>
      </ns0:c>
      <ns0:c r="M9" s="3">
        <ns0:v>4.0232</ns0:v>
      </ns0:c>
      <ns0:c r="N9" s="3">
        <ns0:v>4.19339</ns0:v>
      </ns0:c>
      <ns0:c r="O9" s="3">
        <ns0:v>3.60673</ns0:v>
      </ns0:c>
      <ns0:c r="P9" s="3">
        <ns0:v>3.58261</ns0:v>
      </ns0:c>
      <ns0:c r="Q9" s="3">
        <ns0:v>2.91108</ns0:v>
      </ns0:c>
      <ns0:c r="R9" s="3">
        <ns0:v>3.26399</ns0:v>
      </ns0:c>
      <ns0:c r="S9" s="3">
        <ns0:v>3.87847</ns0:v>
      </ns0:c>
      <ns0:c r="T9" s="3">
        <ns0:v>3.69217</ns0:v>
      </ns0:c>
      <ns0:c r="U9" s="3">
        <ns0:v>4.02322</ns0:v>
      </ns0:c>
      <ns0:c r="V9" s="3">
        <ns0:v>3.69832</ns0:v>
      </ns0:c>
      <ns0:c r="W9" s="3">
        <ns0:v>3.28261</ns0:v>
      </ns0:c>
      <ns0:c r="X9" s="3">
        <ns0:v>3.48528</ns0:v>
      </ns0:c>
      <ns0:c r="Y9" s="3">
        <ns0:v>3.10678</ns0:v>
      </ns0:c>
      <ns0:c r="Z9" s="3">
        <ns0:v>2.51995</ns0:v>
      </ns0:c>
      <ns0:c r="AA9" s="3">
        <ns0:v>2.16188</ns0:v>
      </ns0:c>
      <ns0:c r="AB9" s="3">
        <ns0:v>1.74862</ns0:v>
      </ns0:c>
    </ns0:row>
    <ns0:row r="10" spans="1:28">
      <ns0:c r="A10" s="4">
        <ns0:v>45994</ns0:v>
      </ns0:c>
      <ns0:c r="B10" s="7"/>
      <ns0:c r="C10" s="2" t="s">
        <ns0:v>36</ns0:v>
      </ns0:c>
      <ns0:c r="D10" s="3">
        <ns0:v>52.244</ns0:v>
      </ns0:c>
      <ns0:c r="E10" s="13">
        <ns0:v>1.538</ns0:v>
      </ns0:c>
      <ns0:c r="F10" s="13">
        <ns0:v>1.432</ns0:v>
      </ns0:c>
      <ns0:c r="G10" s="13">
        <ns0:v>1.217</ns0:v>
      </ns0:c>
      <ns0:c r="H10" s="13">
        <ns0:v>1.186</ns0:v>
      </ns0:c>
      <ns0:c r="I10" s="13">
        <ns0:v>1.156</ns0:v>
      </ns0:c>
      <ns0:c r="J10" s="13">
        <ns0:v>1.161</ns0:v>
      </ns0:c>
      <ns0:c r="K10" s="13">
        <ns0:v>1.118</ns0:v>
      </ns0:c>
      <ns0:c r="L10" s="13">
        <ns0:v>1.666</ns0:v>
      </ns0:c>
      <ns0:c r="M10" s="13">
        <ns0:v>3.315</ns0:v>
      </ns0:c>
      <ns0:c r="N10" s="13">
        <ns0:v>3.509</ns0:v>
      </ns0:c>
      <ns0:c r="O10" s="13">
        <ns0:v>2.645</ns0:v>
      </ns0:c>
      <ns0:c r="P10" s="13">
        <ns0:v>2.543</ns0:v>
      </ns0:c>
      <ns0:c r="Q10" s="13">
        <ns0:v>2.166</ns0:v>
      </ns0:c>
      <ns0:c r="R10" s="13">
        <ns0:v>2.555</ns0:v>
      </ns0:c>
      <ns0:c r="S10" s="13">
        <ns0:v>2.942</ns0:v>
      </ns0:c>
      <ns0:c r="T10" s="13">
        <ns0:v>2.796</ns0:v>
      </ns0:c>
      <ns0:c r="U10" s="13">
        <ns0:v>2.927</ns0:v>
      </ns0:c>
      <ns0:c r="V10" s="13">
        <ns0:v>3.166</ns0:v>
      </ns0:c>
      <ns0:c r="W10" s="13">
        <ns0:v>2.922</ns0:v>
      </ns0:c>
      <ns0:c r="X10" s="13">
        <ns0:v>2.995</ns0:v>
      </ns0:c>
      <ns0:c r="Y10" s="13">
        <ns0:v>2.6</ns0:v>
      </ns0:c>
      <ns0:c r="Z10" s="13">
        <ns0:v>1.934</ns0:v>
      </ns0:c>
      <ns0:c r="AA10" s="13">
        <ns0:v>1.486</ns0:v>
      </ns0:c>
      <ns0:c r="AB10" s="13">
        <ns0:v>1.269</ns0:v>
      </ns0:c>
    </ns0:row>
    <ns0:row r="11" spans="1:28">
      <ns0:c r="A11" s="4">
        <ns0:v>45995</ns0:v>
      </ns0:c>
      <ns0:c r="B11" s="5">
        <ns0:v>437.611726</ns0:v>
      </ns0:c>
      <ns0:c r="C11" s="2" t="s">
        <ns0:v>33</ns0:v>
      </ns0:c>
      <ns0:c r="D11" s="3">
        <ns0:v>61.982941</ns0:v>
      </ns0:c>
      <ns0:c r="E11" s="3">
        <ns0:v>1.533745</ns0:v>
      </ns0:c>
      <ns0:c r="F11" s="3">
        <ns0:v>1.58163</ns0:v>
      </ns0:c>
      <ns0:c r="G11" s="3">
        <ns0:v>1.518568</ns0:v>
      </ns0:c>
      <ns0:c r="H11" s="3">
        <ns0:v>1.523908</ns0:v>
      </ns0:c>
      <ns0:c r="I11" s="3">
        <ns0:v>1.524023</ns0:v>
      </ns0:c>
      <ns0:c r="J11" s="3">
        <ns0:v>1.508328</ns0:v>
      </ns0:c>
      <ns0:c r="K11" s="3">
        <ns0:v>1.454603</ns0:v>
      </ns0:c>
      <ns0:c r="L11" s="3">
        <ns0:v>1.847278</ns0:v>
      </ns0:c>
      <ns0:c r="M11" s="3">
        <ns0:v>3.695627</ns0:v>
      </ns0:c>
      <ns0:c r="N11" s="3">
        <ns0:v>3.933855</ns0:v>
      </ns0:c>
      <ns0:c r="O11" s="3">
        <ns0:v>3.394458</ns0:v>
      </ns0:c>
      <ns0:c r="P11" s="3">
        <ns0:v>3.23064</ns0:v>
      </ns0:c>
      <ns0:c r="Q11" s="3">
        <ns0:v>2.715764</ns0:v>
      </ns0:c>
      <ns0:c r="R11" s="3">
        <ns0:v>3.152887</ns0:v>
      </ns0:c>
      <ns0:c r="S11" s="3">
        <ns0:v>3.749326</ns0:v>
      </ns0:c>
      <ns0:c r="T11" s="3">
        <ns0:v>3.600339</ns0:v>
      </ns0:c>
      <ns0:c r="U11" s="3">
        <ns0:v>3.673205</ns0:v>
      </ns0:c>
      <ns0:c r="V11" s="3">
        <ns0:v>3.509917</ns0:v>
      </ns0:c>
      <ns0:c r="W11" s="3">
        <ns0:v>3.177308</ns0:v>
      </ns0:c>
      <ns0:c r="X11" s="3">
        <ns0:v>3.216763</ns0:v>
      </ns0:c>
      <ns0:c r="Y11" s="3">
        <ns0:v>2.718158</ns0:v>
      </ns0:c>
      <ns0:c r="Z11" s="3">
        <ns0:v>2.201198</ns0:v>
      </ns0:c>
      <ns0:c r="AA11" s="3">
        <ns0:v>1.852295</ns0:v>
      </ns0:c>
      <ns0:c r="AB11" s="3">
        <ns0:v>1.669118</ns0:v>
      </ns0:c>
    </ns0:row>
    <ns0:row r="12" spans="1:28">
      <ns0:c r="A12" s="4">
        <ns0:v>45995</ns0:v>
      </ns0:c>
      <ns0:c r="B12" s="5"/>
      <ns0:c r="C12" s="6" t="s">
        <ns0:v>49</ns0:v>
      </ns0:c>
      <ns0:c r="D12" s="3">
        <ns0:v>67.6184</ns0:v>
      </ns0:c>
      <ns0:c r="E12" s="3">
        <ns0:v>1.6721</ns0:v>
      </ns0:c>
      <ns0:c r="F12" s="3">
        <ns0:v>1.6827</ns0:v>
      </ns0:c>
      <ns0:c r="G12" s="3">
        <ns0:v>1.6365</ns0:v>
      </ns0:c>
      <ns0:c r="H12" s="3">
        <ns0:v>1.6578</ns0:v>
      </ns0:c>
      <ns0:c r="I12" s="3">
        <ns0:v>1.6379</ns0:v>
      </ns0:c>
      <ns0:c r="J12" s="3">
        <ns0:v>1.6435</ns0:v>
      </ns0:c>
      <ns0:c r="K12" s="3">
        <ns0:v>1.5995</ns0:v>
      </ns0:c>
      <ns0:c r="L12" s="3">
        <ns0:v>2.0526</ns0:v>
      </ns0:c>
      <ns0:c r="M12" s="3">
        <ns0:v>4.1684</ns0:v>
      </ns0:c>
      <ns0:c r="N12" s="3">
        <ns0:v>4.461</ns0:v>
      </ns0:c>
      <ns0:c r="O12" s="3">
        <ns0:v>3.8993</ns0:v>
      </ns0:c>
      <ns0:c r="P12" s="3">
        <ns0:v>3.5093</ns0:v>
      </ns0:c>
      <ns0:c r="Q12" s="3">
        <ns0:v>2.9045</ns0:v>
      </ns0:c>
      <ns0:c r="R12" s="3">
        <ns0:v>3.3602</ns0:v>
      </ns0:c>
      <ns0:c r="S12" s="3">
        <ns0:v>3.967</ns0:v>
      </ns0:c>
      <ns0:c r="T12" s="3">
        <ns0:v>3.6719</ns0:v>
      </ns0:c>
      <ns0:c r="U12" s="3">
        <ns0:v>3.9185</ns0:v>
      </ns0:c>
      <ns0:c r="V12" s="3">
        <ns0:v>3.7977</ns0:v>
      </ns0:c>
      <ns0:c r="W12" s="3">
        <ns0:v>3.4588</ns0:v>
      </ns0:c>
      <ns0:c r="X12" s="3">
        <ns0:v>3.4779</ns0:v>
      </ns0:c>
      <ns0:c r="Y12" s="3">
        <ns0:v>3.0514</ns0:v>
      </ns0:c>
      <ns0:c r="Z12" s="3">
        <ns0:v>2.5353</ns0:v>
      </ns0:c>
      <ns0:c r="AA12" s="3">
        <ns0:v>2.0749</ns0:v>
      </ns0:c>
      <ns0:c r="AB12" s="3">
        <ns0:v>1.7797</ns0:v>
      </ns0:c>
    </ns0:row>
    <ns0:row r="13" spans="1:28">
      <ns0:c r="A13" s="4">
        <ns0:v>45995</ns0:v>
      </ns0:c>
      <ns0:c r="B13" s="7"/>
      <ns0:c r="C13" s="2" t="s">
        <ns0:v>36</ns0:v>
      </ns0:c>
      <ns0:c r="D13" s="3">
        <ns0:v>55.492</ns0:v>
      </ns0:c>
      <ns0:c r="E13" s="13">
        <ns0:v>1.534</ns0:v>
      </ns0:c>
      <ns0:c r="F13" s="13">
        <ns0:v>1.423</ns0:v>
      </ns0:c>
      <ns0:c r="G13" s="13">
        <ns0:v>1.215</ns0:v>
      </ns0:c>
      <ns0:c r="H13" s="13">
        <ns0:v>1.219</ns0:v>
      </ns0:c>
      <ns0:c r="I13" s="13">
        <ns0:v>1.219</ns0:v>
      </ns0:c>
      <ns0:c r="J13" s="13">
        <ns0:v>1.207</ns0:v>
      </ns0:c>
      <ns0:c r="K13" s="13">
        <ns0:v>1.164</ns0:v>
      </ns0:c>
      <ns0:c r="L13" s="13">
        <ns0:v>1.663</ns0:v>
      </ns0:c>
      <ns0:c r="M13" s="13">
        <ns0:v>3.326</ns0:v>
      </ns0:c>
      <ns0:c r="N13" s="13">
        <ns0:v>3.54</ns0:v>
      </ns0:c>
      <ns0:c r="O13" s="13">
        <ns0:v>3.055</ns0:v>
      </ns0:c>
      <ns0:c r="P13" s="13">
        <ns0:v>2.908</ns0:v>
      </ns0:c>
      <ns0:c r="Q13" s="13">
        <ns0:v>2.444</ns0:v>
      </ns0:c>
      <ns0:c r="R13" s="13">
        <ns0:v>2.838</ns0:v>
      </ns0:c>
      <ns0:c r="S13" s="13">
        <ns0:v>3.374</ns0:v>
      </ns0:c>
      <ns0:c r="T13" s="13">
        <ns0:v>2.88</ns0:v>
      </ns0:c>
      <ns0:c r="U13" s="13">
        <ns0:v>3.306</ns0:v>
      </ns0:c>
      <ns0:c r="V13" s="13">
        <ns0:v>3.861</ns0:v>
      </ns0:c>
      <ns0:c r="W13" s="13">
        <ns0:v>3.177</ns0:v>
      </ns0:c>
      <ns0:c r="X13" s="13">
        <ns0:v>2.895</ns0:v>
      </ns0:c>
      <ns0:c r="Y13" s="13">
        <ns0:v>2.446</ns0:v>
      </ns0:c>
      <ns0:c r="Z13" s="13">
        <ns0:v>1.981</ns0:v>
      </ns0:c>
      <ns0:c r="AA13" s="13">
        <ns0:v>1.482</ns0:v>
      </ns0:c>
      <ns0:c r="AB13" s="13">
        <ns0:v>1.335</ns0:v>
      </ns0:c>
    </ns0:row>
    <ns0:row r="14" spans="1:28">
      <ns0:c r="A14" s="4">
        <ns0:v>45996</ns0:v>
      </ns0:c>
      <ns0:c r="B14" s="5">
        <ns0:v>-1702.075244</ns0:v>
      </ns0:c>
      <ns0:c r="C14" s="2" t="s">
        <ns0:v>33</ns0:v>
      </ns0:c>
      <ns0:c r="D14" s="3">
        <ns0:v>60.738753</ns0:v>
      </ns0:c>
      <ns0:c r="E14" s="3">
        <ns0:v>1.544763</ns0:v>
      </ns0:c>
      <ns0:c r="F14" s="3">
        <ns0:v>1.585528</ns0:v>
      </ns0:c>
      <ns0:c r="G14" s="3">
        <ns0:v>1.565338</ns0:v>
      </ns0:c>
      <ns0:c r="H14" s="3">
        <ns0:v>1.539915</ns0:v>
      </ns0:c>
      <ns0:c r="I14" s="3">
        <ns0:v>1.511368</ns0:v>
      </ns0:c>
      <ns0:c r="J14" s="3">
        <ns0:v>1.467958</ns0:v>
      </ns0:c>
      <ns0:c r="K14" s="3">
        <ns0:v>1.392483</ns0:v>
      </ns0:c>
      <ns0:c r="L14" s="3">
        <ns0:v>1.799638</ns0:v>
      </ns0:c>
      <ns0:c r="M14" s="3">
        <ns0:v>3.587894</ns0:v>
      </ns0:c>
      <ns0:c r="N14" s="3">
        <ns0:v>3.846441</ns0:v>
      </ns0:c>
      <ns0:c r="O14" s="3">
        <ns0:v>3.194</ns0:v>
      </ns0:c>
      <ns0:c r="P14" s="3">
        <ns0:v>3.069424</ns0:v>
      </ns0:c>
      <ns0:c r="Q14" s="3">
        <ns0:v>2.597804</ns0:v>
      </ns0:c>
      <ns0:c r="R14" s="3">
        <ns0:v>3.022917</ns0:v>
      </ns0:c>
      <ns0:c r="S14" s="3">
        <ns0:v>3.57443</ns0:v>
      </ns0:c>
      <ns0:c r="T14" s="3">
        <ns0:v>3.475605</ns0:v>
      </ns0:c>
      <ns0:c r="U14" s="3">
        <ns0:v>3.630273</ns0:v>
      </ns0:c>
      <ns0:c r="V14" s="3">
        <ns0:v>3.456371</ns0:v>
      </ns0:c>
      <ns0:c r="W14" s="3">
        <ns0:v>3.138068</ns0:v>
      </ns0:c>
      <ns0:c r="X14" s="3">
        <ns0:v>3.28332</ns0:v>
      </ns0:c>
      <ns0:c r="Y14" s="3">
        <ns0:v>2.72947</ns0:v>
      </ns0:c>
      <ns0:c r="Z14" s="3">
        <ns0:v>2.221975</ns0:v>
      </ns0:c>
      <ns0:c r="AA14" s="3">
        <ns0:v>1.89296</ns0:v>
      </ns0:c>
      <ns0:c r="AB14" s="3">
        <ns0:v>1.61081</ns0:v>
      </ns0:c>
    </ns0:row>
    <ns0:row r="15" spans="1:28">
      <ns0:c r="A15" s="4">
        <ns0:v>45996</ns0:v>
      </ns0:c>
      <ns0:c r="B15" s="5"/>
      <ns0:c r="C15" s="6" t="s">
        <ns0:v>49</ns0:v>
      </ns0:c>
      <ns0:c r="D15" s="3">
        <ns0:v>63.92626</ns0:v>
      </ns0:c>
      <ns0:c r="E15" s="3">
        <ns0:v>1.65806</ns0:v>
      </ns0:c>
      <ns0:c r="F15" s="3">
        <ns0:v>1.56499</ns0:v>
      </ns0:c>
      <ns0:c r="G15" s="3">
        <ns0:v>1.55165</ns0:v>
      </ns0:c>
      <ns0:c r="H15" s="3">
        <ns0:v>1.5242</ns0:v>
      </ns0:c>
      <ns0:c r="I15" s="3">
        <ns0:v>1.53312</ns0:v>
      </ns0:c>
      <ns0:c r="J15" s="3">
        <ns0:v>1.51813</ns0:v>
      </ns0:c>
      <ns0:c r="K15" s="3">
        <ns0:v>1.45021</ns0:v>
      </ns0:c>
      <ns0:c r="L15" s="3">
        <ns0:v>1.89835</ns0:v>
      </ns0:c>
      <ns0:c r="M15" s="3">
        <ns0:v>3.78701</ns0:v>
      </ns0:c>
      <ns0:c r="N15" s="3">
        <ns0:v>3.97938</ns0:v>
      </ns0:c>
      <ns0:c r="O15" s="3">
        <ns0:v>3.29429</ns0:v>
      </ns0:c>
      <ns0:c r="P15" s="3">
        <ns0:v>3.2182</ns0:v>
      </ns0:c>
      <ns0:c r="Q15" s="3">
        <ns0:v>2.72274</ns0:v>
      </ns0:c>
      <ns0:c r="R15" s="3">
        <ns0:v>3.20122</ns0:v>
      </ns0:c>
      <ns0:c r="S15" s="3">
        <ns0:v>3.70795</ns0:v>
      </ns0:c>
      <ns0:c r="T15" s="3">
        <ns0:v>3.64728</ns0:v>
      </ns0:c>
      <ns0:c r="U15" s="3">
        <ns0:v>3.71306</ns0:v>
      </ns0:c>
      <ns0:c r="V15" s="3">
        <ns0:v>3.71186</ns0:v>
      </ns0:c>
      <ns0:c r="W15" s="3">
        <ns0:v>3.35102</ns0:v>
      </ns0:c>
      <ns0:c r="X15" s="3">
        <ns0:v>3.42924</ns0:v>
      </ns0:c>
      <ns0:c r="Y15" s="3">
        <ns0:v>3.11611</ns0:v>
      </ns0:c>
      <ns0:c r="Z15" s="3">
        <ns0:v>2.59556</ns0:v>
      </ns0:c>
      <ns0:c r="AA15" s="3">
        <ns0:v>2.00454</ns0:v>
      </ns0:c>
      <ns0:c r="AB15" s="3">
        <ns0:v>1.74809</ns0:v>
      </ns0:c>
    </ns0:row>
    <ns0:row r="16" spans="1:28">
      <ns0:c r="A16" s="4">
        <ns0:v>45996</ns0:v>
      </ns0:c>
      <ns0:c r="B16" s="7"/>
      <ns0:c r="C16" s="2" t="s">
        <ns0:v>36</ns0:v>
      </ns0:c>
      <ns0:c r="D16" s="3">
        <ns0:v>58.12</ns0:v>
      </ns0:c>
      <ns0:c r="E16" s="13">
        <ns0:v>1.545</ns0:v>
      </ns0:c>
      <ns0:c r="F16" s="13">
        <ns0:v>1.427</ns0:v>
      </ns0:c>
      <ns0:c r="G16" s="13">
        <ns0:v>1.252</ns0:v>
      </ns0:c>
      <ns0:c r="H16" s="13">
        <ns0:v>1.232</ns0:v>
      </ns0:c>
      <ns0:c r="I16" s="13">
        <ns0:v>1.209</ns0:v>
      </ns0:c>
      <ns0:c r="J16" s="13">
        <ns0:v>1.174</ns0:v>
      </ns0:c>
      <ns0:c r="K16" s="13">
        <ns0:v>1.114</ns0:v>
      </ns0:c>
      <ns0:c r="L16" s="13">
        <ns0:v>1.62</ns0:v>
      </ns0:c>
      <ns0:c r="M16" s="13">
        <ns0:v>3.229</ns0:v>
      </ns0:c>
      <ns0:c r="N16" s="13">
        <ns0:v>3.462</ns0:v>
      </ns0:c>
      <ns0:c r="O16" s="13">
        <ns0:v>2.875</ns0:v>
      </ns0:c>
      <ns0:c r="P16" s="13">
        <ns0:v>2.762</ns0:v>
      </ns0:c>
      <ns0:c r="Q16" s="13">
        <ns0:v>2.338</ns0:v>
      </ns0:c>
      <ns0:c r="R16" s="13">
        <ns0:v>2.721</ns0:v>
      </ns0:c>
      <ns0:c r="S16" s="13">
        <ns0:v>3.217</ns0:v>
      </ns0:c>
      <ns0:c r="T16" s="13">
        <ns0:v>3.476</ns0:v>
      </ns0:c>
      <ns0:c r="U16" s="13">
        <ns0:v>3.63</ns0:v>
      </ns0:c>
      <ns0:c r="V16" s="13">
        <ns0:v>3.802</ns0:v>
      </ns0:c>
      <ns0:c r="W16" s="13">
        <ns0:v>3.452</ns0:v>
      </ns0:c>
      <ns0:c r="X16" s="13">
        <ns0:v>3.283</ns0:v>
      </ns0:c>
      <ns0:c r="Y16" s="13">
        <ns0:v>3.002</ns0:v>
      </ns0:c>
      <ns0:c r="Z16" s="13">
        <ns0:v>2.444</ns0:v>
      </ns0:c>
      <ns0:c r="AA16" s="13">
        <ns0:v>2.082</ns0:v>
      </ns0:c>
      <ns0:c r="AB16" s="13">
        <ns0:v>1.772</ns0:v>
      </ns0:c>
    </ns0:row>
    <ns0:row r="17" spans="1:28">
      <ns0:c r="A17" s="4">
        <ns0:v>45997</ns0:v>
      </ns0:c>
      <ns0:c r="B17" s="5">
        <ns0:v>-12.8067560000001</ns0:v>
      </ns0:c>
      <ns0:c r="C17" s="2" t="s">
        <ns0:v>33</ns0:v>
      </ns0:c>
      <ns0:c r="D17" s="3">
        <ns0:v>59.434033</ns0:v>
      </ns0:c>
      <ns0:c r="E17" s="3">
        <ns0:v>1.577673</ns0:v>
      </ns0:c>
      <ns0:c r="F17" s="3">
        <ns0:v>1.50821</ns0:v>
      </ns0:c>
      <ns0:c r="G17" s="3">
        <ns0:v>1.47356</ns0:v>
      </ns0:c>
      <ns0:c r="H17" s="3">
        <ns0:v>1.44594</ns0:v>
      </ns0:c>
      <ns0:c r="I17" s="3">
        <ns0:v>1.40878</ns0:v>
      </ns0:c>
      <ns0:c r="J17" s="3">
        <ns0:v>1.4237</ns0:v>
      </ns0:c>
      <ns0:c r="K17" s="3">
        <ns0:v>1.38211</ns0:v>
      </ns0:c>
      <ns0:c r="L17" s="3">
        <ns0:v>1.823383</ns0:v>
      </ns0:c>
      <ns0:c r="M17" s="3">
        <ns0:v>3.624895</ns0:v>
      </ns0:c>
      <ns0:c r="N17" s="3">
        <ns0:v>3.820945</ns0:v>
      </ns0:c>
      <ns0:c r="O17" s="3">
        <ns0:v>3.218488</ns0:v>
      </ns0:c>
      <ns0:c r="P17" s="3">
        <ns0:v>3.10881</ns0:v>
      </ns0:c>
      <ns0:c r="Q17" s="3">
        <ns0:v>2.664938</ns0:v>
      </ns0:c>
      <ns0:c r="R17" s="3">
        <ns0:v>3.1254</ns0:v>
      </ns0:c>
      <ns0:c r="S17" s="3">
        <ns0:v>3.624258</ns0:v>
      </ns0:c>
      <ns0:c r="T17" s="3">
        <ns0:v>3.458952</ns0:v>
      </ns0:c>
      <ns0:c r="U17" s="3">
        <ns0:v>3.603298</ns0:v>
      </ns0:c>
      <ns0:c r="V17" s="3">
        <ns0:v>3.450225</ns0:v>
      </ns0:c>
      <ns0:c r="W17" s="3">
        <ns0:v>2.915223</ns0:v>
      </ns0:c>
      <ns0:c r="X17" s="3">
        <ns0:v>2.89496</ns0:v>
      </ns0:c>
      <ns0:c r="Y17" s="3">
        <ns0:v>2.522368</ns0:v>
      </ns0:c>
      <ns0:c r="Z17" s="3">
        <ns0:v>2.083637</ns0:v>
      </ns0:c>
      <ns0:c r="AA17" s="3">
        <ns0:v>1.763483</ns0:v>
      </ns0:c>
      <ns0:c r="AB17" s="3">
        <ns0:v>1.510797</ns0:v>
      </ns0:c>
    </ns0:row>
    <ns0:row r="18" spans="1:28">
      <ns0:c r="A18" s="4">
        <ns0:v>45997</ns0:v>
      </ns0:c>
      <ns0:c r="B18" s="5"/>
      <ns0:c r="C18" s="6" t="s">
        <ns0:v>49</ns0:v>
      </ns0:c>
      <ns0:c r="D18" s="3">
        <ns0:v>64.1786</ns0:v>
      </ns0:c>
      <ns0:c r="E18" s="3">
        <ns0:v>1.6009</ns0:v>
      </ns0:c>
      <ns0:c r="F18" s="3">
        <ns0:v>1.6434</ns0:v>
      </ns0:c>
      <ns0:c r="G18" s="3">
        <ns0:v>1.5929</ns0:v>
      </ns0:c>
      <ns0:c r="H18" s="3">
        <ns0:v>1.5742</ns0:v>
      </ns0:c>
      <ns0:c r="I18" s="3">
        <ns0:v>1.5469</ns0:v>
      </ns0:c>
      <ns0:c r="J18" s="3">
        <ns0:v>1.5796</ns0:v>
      </ns0:c>
      <ns0:c r="K18" s="3">
        <ns0:v>1.5791</ns0:v>
      </ns0:c>
      <ns0:c r="L18" s="3">
        <ns0:v>1.9618</ns0:v>
      </ns0:c>
      <ns0:c r="M18" s="3">
        <ns0:v>3.8489</ns0:v>
      </ns0:c>
      <ns0:c r="N18" s="3">
        <ns0:v>4.1829</ns0:v>
      </ns0:c>
      <ns0:c r="O18" s="3">
        <ns0:v>3.5776</ns0:v>
      </ns0:c>
      <ns0:c r="P18" s="3">
        <ns0:v>3.4861</ns0:v>
      </ns0:c>
      <ns0:c r="Q18" s="3">
        <ns0:v>2.844</ns0:v>
      </ns0:c>
      <ns0:c r="R18" s="3">
        <ns0:v>3.349</ns0:v>
      </ns0:c>
      <ns0:c r="S18" s="3">
        <ns0:v>3.9564</ns0:v>
      </ns0:c>
      <ns0:c r="T18" s="3">
        <ns0:v>3.7387</ns0:v>
      </ns0:c>
      <ns0:c r="U18" s="3">
        <ns0:v>3.6861</ns0:v>
      </ns0:c>
      <ns0:c r="V18" s="3">
        <ns0:v>3.541</ns0:v>
      </ns0:c>
      <ns0:c r="W18" s="3">
        <ns0:v>3.1089</ns0:v>
      </ns0:c>
      <ns0:c r="X18" s="3">
        <ns0:v>3.1309</ns0:v>
      </ns0:c>
      <ns0:c r="Y18" s="3">
        <ns0:v>2.8077</ns0:v>
      </ns0:c>
      <ns0:c r="Z18" s="3">
        <ns0:v>2.3265</ns0:v>
      </ns0:c>
      <ns0:c r="AA18" s="3">
        <ns0:v>1.907</ns0:v>
      </ns0:c>
      <ns0:c r="AB18" s="3">
        <ns0:v>1.6081</ns0:v>
      </ns0:c>
    </ns0:row>
    <ns0:row r="19" spans="1:28">
      <ns0:c r="A19" s="4">
        <ns0:v>45997</ns0:v>
      </ns0:c>
      <ns0:c r="B19" s="7"/>
      <ns0:c r="C19" s="2" t="s">
        <ns0:v>36</ns0:v>
      </ns0:c>
      <ns0:c r="D19" s="3">
        <ns0:v>54.098</ns0:v>
      </ns0:c>
      <ns0:c r="E19" s="13">
        <ns0:v>1.735</ns0:v>
      </ns0:c>
      <ns0:c r="F19" s="13">
        <ns0:v>1.659</ns0:v>
      </ns0:c>
      <ns0:c r="G19" s="13">
        <ns0:v>1.474</ns0:v>
      </ns0:c>
      <ns0:c r="H19" s="13">
        <ns0:v>1.446</ns0:v>
      </ns0:c>
      <ns0:c r="I19" s="13">
        <ns0:v>1.268</ns0:v>
      </ns0:c>
      <ns0:c r="J19" s="13">
        <ns0:v>1.281</ns0:v>
      </ns0:c>
      <ns0:c r="K19" s="13">
        <ns0:v>1.244</ns0:v>
      </ns0:c>
      <ns0:c r="L19" s="13">
        <ns0:v>1.823</ns0:v>
      </ns0:c>
      <ns0:c r="M19" s="13">
        <ns0:v>3.262</ns0:v>
      </ns0:c>
      <ns0:c r="N19" s="13">
        <ns0:v>3.057</ns0:v>
      </ns0:c>
      <ns0:c r="O19" s="13">
        <ns0:v>2.575</ns0:v>
      </ns0:c>
      <ns0:c r="P19" s="13">
        <ns0:v>2.487</ns0:v>
      </ns0:c>
      <ns0:c r="Q19" s="13">
        <ns0:v>2.398</ns0:v>
      </ns0:c>
      <ns0:c r="R19" s="13">
        <ns0:v>2.5</ns0:v>
      </ns0:c>
      <ns0:c r="S19" s="13">
        <ns0:v>2.899</ns0:v>
      </ns0:c>
      <ns0:c r="T19" s="13">
        <ns0:v>2.767</ns0:v>
      </ns0:c>
      <ns0:c r="U19" s="13">
        <ns0:v>3.243</ns0:v>
      </ns0:c>
      <ns0:c r="V19" s="13">
        <ns0:v>3.795</ns0:v>
      </ns0:c>
      <ns0:c r="W19" s="13">
        <ns0:v>2.624</ns0:v>
      </ns0:c>
      <ns0:c r="X19" s="13">
        <ns0:v>2.605</ns0:v>
      </ns0:c>
      <ns0:c r="Y19" s="13">
        <ns0:v>2.27</ns0:v>
      </ns0:c>
      <ns0:c r="Z19" s="13">
        <ns0:v>2.084</ns0:v>
      </ns0:c>
      <ns0:c r="AA19" s="13">
        <ns0:v>1.94</ns0:v>
      </ns0:c>
      <ns0:c r="AB19" s="13">
        <ns0:v>1.662</ns0:v>
      </ns0:c>
    </ns0:row>
    <ns0:row r="20" spans="1:28">
      <ns0:c r="A20" s="4">
        <ns0:v>45998</ns0:v>
      </ns0:c>
      <ns0:c r="B20" s="5">
        <ns0:v>211.1113032</ns0:v>
      </ns0:c>
      <ns0:c r="C20" s="2" t="s">
        <ns0:v>33</ns0:v>
      </ns0:c>
      <ns0:c r="D20" s="3">
        <ns0:v>45.348494</ns0:v>
      </ns0:c>
      <ns0:c r="E20" s="3">
        <ns0:v>1.721528</ns0:v>
      </ns0:c>
      <ns0:c r="F20" s="3">
        <ns0:v>1.604673</ns0:v>
      </ns0:c>
      <ns0:c r="G20" s="3">
        <ns0:v>1.590782</ns0:v>
      </ns0:c>
      <ns0:c r="H20" s="3">
        <ns0:v>1.564108</ns0:v>
      </ns0:c>
      <ns0:c r="I20" s="3">
        <ns0:v>1.518085</ns0:v>
      </ns0:c>
      <ns0:c r="J20" s="3">
        <ns0:v>1.39986</ns0:v>
      </ns0:c>
      <ns0:c r="K20" s="3">
        <ns0:v>1.35084</ns0:v>
      </ns0:c>
      <ns0:c r="L20" s="3">
        <ns0:v>1.411235</ns0:v>
      </ns0:c>
      <ns0:c r="M20" s="3">
        <ns0:v>2.507627</ns0:v>
      </ns0:c>
      <ns0:c r="N20" s="3">
        <ns0:v>2.800683</ns0:v>
      </ns0:c>
      <ns0:c r="O20" s="3">
        <ns0:v>2.58961</ns0:v>
      </ns0:c>
      <ns0:c r="P20" s="3">
        <ns0:v>2.47389</ns0:v>
      </ns0:c>
      <ns0:c r="Q20" s="3">
        <ns0:v>1.930703</ns0:v>
      </ns0:c>
      <ns0:c r="R20" s="3">
        <ns0:v>2.063377</ns0:v>
      </ns0:c>
      <ns0:c r="S20" s="3">
        <ns0:v>2.665065</ns0:v>
      </ns0:c>
      <ns0:c r="T20" s="3">
        <ns0:v>2.63557</ns0:v>
      </ns0:c>
      <ns0:c r="U20" s="3">
        <ns0:v>2.70755</ns0:v>
      </ns0:c>
      <ns0:c r="V20" s="3">
        <ns0:v>2.45588</ns0:v>
      </ns0:c>
      <ns0:c r="W20" s="3">
        <ns0:v>1.691875</ns0:v>
      </ns0:c>
      <ns0:c r="X20" s="3">
        <ns0:v>1.559515</ns0:v>
      </ns0:c>
      <ns0:c r="Y20" s="3">
        <ns0:v>1.42071</ns0:v>
      </ns0:c>
      <ns0:c r="Z20" s="3">
        <ns0:v>1.27589</ns0:v>
      </ns0:c>
      <ns0:c r="AA20" s="3">
        <ns0:v>1.256658</ns0:v>
      </ns0:c>
      <ns0:c r="AB20" s="3">
        <ns0:v>1.15278</ns0:v>
      </ns0:c>
    </ns0:row>
    <ns0:row r="21" spans="1:28">
      <ns0:c r="A21" s="4">
        <ns0:v>45998</ns0:v>
      </ns0:c>
      <ns0:c r="B21" s="5"/>
      <ns0:c r="C21" s="6" t="s">
        <ns0:v>49</ns0:v>
      </ns0:c>
      <ns0:c r="D21" s="3">
        <ns0:v>44.3809</ns0:v>
      </ns0:c>
      <ns0:c r="E21" s="3">
        <ns0:v>1.7321</ns0:v>
      </ns0:c>
      <ns0:c r="F21" s="3">
        <ns0:v>1.6177</ns0:v>
      </ns0:c>
      <ns0:c r="G21" s="3">
        <ns0:v>1.5739</ns0:v>
      </ns0:c>
      <ns0:c r="H21" s="3">
        <ns0:v>1.4314</ns0:v>
      </ns0:c>
      <ns0:c r="I21" s="3">
        <ns0:v>1.4519</ns0:v>
      </ns0:c>
      <ns0:c r="J21" s="3">
        <ns0:v>1.4465</ns0:v>
      </ns0:c>
      <ns0:c r="K21" s="3">
        <ns0:v>1.4011</ns0:v>
      </ns0:c>
      <ns0:c r="L21" s="3">
        <ns0:v>1.4195</ns0:v>
      </ns0:c>
      <ns0:c r="M21" s="3">
        <ns0:v>2.5322</ns0:v>
      </ns0:c>
      <ns0:c r="N21" s="3">
        <ns0:v>2.7341</ns0:v>
      </ns0:c>
      <ns0:c r="O21" s="3">
        <ns0:v>2.4575</ns0:v>
      </ns0:c>
      <ns0:c r="P21" s="3">
        <ns0:v>2.3773</ns0:v>
      </ns0:c>
      <ns0:c r="Q21" s="3">
        <ns0:v>2.2551</ns0:v>
      </ns0:c>
      <ns0:c r="R21" s="3">
        <ns0:v>1.9725</ns0:v>
      </ns0:c>
      <ns0:c r="S21" s="3">
        <ns0:v>2.4729</ns0:v>
      </ns0:c>
      <ns0:c r="T21" s="3">
        <ns0:v>2.4527</ns0:v>
      </ns0:c>
      <ns0:c r="U21" s="3">
        <ns0:v>2.4651</ns0:v>
      </ns0:c>
      <ns0:c r="V21" s="3">
        <ns0:v>2.2881</ns0:v>
      </ns0:c>
      <ns0:c r="W21" s="3">
        <ns0:v>1.5153</ns0:v>
      </ns0:c>
      <ns0:c r="X21" s="3">
        <ns0:v>1.4533</ns0:v>
      </ns0:c>
      <ns0:c r="Y21" s="3">
        <ns0:v>1.4713</ns0:v>
      </ns0:c>
      <ns0:c r="Z21" s="3">
        <ns0:v>1.3649</ns0:v>
      </ns0:c>
      <ns0:c r="AA21" s="3">
        <ns0:v>1.2837</ns0:v>
      </ns0:c>
      <ns0:c r="AB21" s="3">
        <ns0:v>1.2108</ns0:v>
      </ns0:c>
    </ns0:row>
    <ns0:row r="22" spans="1:28">
      <ns0:c r="A22" s="4">
        <ns0:v>45998</ns0:v>
      </ns0:c>
      <ns0:c r="B22" s="7"/>
      <ns0:c r="C22" s="2" t="s">
        <ns0:v>36</ns0:v>
      </ns0:c>
      <ns0:c r="D22" s="3">
        <ns0:v>40.459</ns0:v>
      </ns0:c>
      <ns0:c r="E22" s="13">
        <ns0:v>1.722</ns0:v>
      </ns0:c>
      <ns0:c r="F22" s="13">
        <ns0:v>1.605</ns0:v>
      </ns0:c>
      <ns0:c r="G22" s="13">
        <ns0:v>1.432</ns0:v>
      </ns0:c>
      <ns0:c r="H22" s="13">
        <ns0:v>1.408</ns0:v>
      </ns0:c>
      <ns0:c r="I22" s="13">
        <ns0:v>1.214</ns0:v>
      </ns0:c>
      <ns0:c r="J22" s="13">
        <ns0:v>1.12</ns0:v>
      </ns0:c>
      <ns0:c r="K22" s="13">
        <ns0:v>1.081</ns0:v>
      </ns0:c>
      <ns0:c r="L22" s="13">
        <ns0:v>1.129</ns0:v>
      </ns0:c>
      <ns0:c r="M22" s="13">
        <ns0:v>2.006</ns0:v>
      </ns0:c>
      <ns0:c r="N22" s="13">
        <ns0:v>2.241</ns0:v>
      </ns0:c>
      <ns0:c r="O22" s="13">
        <ns0:v>2.072</ns0:v>
      </ns0:c>
      <ns0:c r="P22" s="13">
        <ns0:v>2.474</ns0:v>
      </ns0:c>
      <ns0:c r="Q22" s="13">
        <ns0:v>1.931</ns0:v>
      </ns0:c>
      <ns0:c r="R22" s="13">
        <ns0:v>2.063</ns0:v>
      </ns0:c>
      <ns0:c r="S22" s="13">
        <ns0:v>2.399</ns0:v>
      </ns0:c>
      <ns0:c r="T22" s="13">
        <ns0:v>2.108</ns0:v>
      </ns0:c>
      <ns0:c r="U22" s="13">
        <ns0:v>2.437</ns0:v>
      </ns0:c>
      <ns0:c r="V22" s="13">
        <ns0:v>2.21</ns0:v>
      </ns0:c>
      <ns0:c r="W22" s="13">
        <ns0:v>1.692</ns0:v>
      </ns0:c>
      <ns0:c r="X22" s="13">
        <ns0:v>1.404</ns0:v>
      </ns0:c>
      <ns0:c r="Y22" s="13">
        <ns0:v>1.279</ns0:v>
      </ns0:c>
      <ns0:c r="Z22" s="13">
        <ns0:v>1.148</ns0:v>
      </ns0:c>
      <ns0:c r="AA22" s="13">
        <ns0:v>1.131</ns0:v>
      </ns0:c>
      <ns0:c r="AB22" s="13">
        <ns0:v>1.153</ns0:v>
      </ns0:c>
    </ns0:row>
    <ns0:row r="23" spans="1:28">
      <ns0:c r="A23" s="4">
        <ns0:v>45999</ns0:v>
      </ns0:c>
      <ns0:c r="B23" s="5">
        <ns0:v>-29.1855746000001</ns0:v>
      </ns0:c>
      <ns0:c r="C23" s="2" t="s">
        <ns0:v>33</ns0:v>
      </ns0:c>
      <ns0:c r="D23" s="3">
        <ns0:v>52.179421</ns0:v>
      </ns0:c>
      <ns0:c r="E23" s="3">
        <ns0:v>1.096778</ns0:v>
      </ns0:c>
      <ns0:c r="F23" s="3">
        <ns0:v>1.11505</ns0:v>
      </ns0:c>
      <ns0:c r="G23" s="3">
        <ns0:v>1.07824</ns0:v>
      </ns0:c>
      <ns0:c r="H23" s="3">
        <ns0:v>0.968008</ns0:v>
      </ns0:c>
      <ns0:c r="I23" s="3">
        <ns0:v>0.980817</ns0:v>
      </ns0:c>
      <ns0:c r="J23" s="3">
        <ns0:v>1.00796</ns0:v>
      </ns0:c>
      <ns0:c r="K23" s="3">
        <ns0:v>1.05417</ns0:v>
      </ns0:c>
      <ns0:c r="L23" s="3">
        <ns0:v>1.44956</ns0:v>
      </ns0:c>
      <ns0:c r="M23" s="3">
        <ns0:v>3.016103</ns0:v>
      </ns0:c>
      <ns0:c r="N23" s="3">
        <ns0:v>3.450236</ns0:v>
      </ns0:c>
      <ns0:c r="O23" s="3">
        <ns0:v>2.810253</ns0:v>
      </ns0:c>
      <ns0:c r="P23" s="3">
        <ns0:v>2.706662</ns0:v>
      </ns0:c>
      <ns0:c r="Q23" s="3">
        <ns0:v>2.312714</ns0:v>
      </ns0:c>
      <ns0:c r="R23" s="3">
        <ns0:v>2.714926</ns0:v>
      </ns0:c>
      <ns0:c r="S23" s="3">
        <ns0:v>3.202676</ns0:v>
      </ns0:c>
      <ns0:c r="T23" s="3">
        <ns0:v>3.064268</ns0:v>
      </ns0:c>
      <ns0:c r="U23" s="3">
        <ns0:v>3.273478</ns0:v>
      </ns0:c>
      <ns0:c r="V23" s="3">
        <ns0:v>3.184587</ns0:v>
      </ns0:c>
      <ns0:c r="W23" s="3">
        <ns0:v>2.932275</ns0:v>
      </ns0:c>
      <ns0:c r="X23" s="3">
        <ns0:v>3.017078</ns0:v>
      </ns0:c>
      <ns0:c r="Y23" s="3">
        <ns0:v>2.56967</ns0:v>
      </ns0:c>
      <ns0:c r="Z23" s="3">
        <ns0:v>2.13988</ns0:v>
      </ns0:c>
      <ns0:c r="AA23" s="3">
        <ns0:v>1.646492</ns0:v>
      </ns0:c>
      <ns0:c r="AB23" s="3">
        <ns0:v>1.38754</ns0:v>
      </ns0:c>
    </ns0:row>
    <ns0:row r="24" spans="1:28">
      <ns0:c r="A24" s="4">
        <ns0:v>45999</ns0:v>
      </ns0:c>
      <ns0:c r="B24" s="5"/>
      <ns0:c r="C24" s="6" t="s">
        <ns0:v>49</ns0:v>
      </ns0:c>
      <ns0:c r="D24" s="3">
        <ns0:v>60.637</ns0:v>
      </ns0:c>
      <ns0:c r="E24" s="3">
        <ns0:v>1.2914</ns0:v>
      </ns0:c>
      <ns0:c r="F24" s="3">
        <ns0:v>1.3249</ns0:v>
      </ns0:c>
      <ns0:c r="G24" s="3">
        <ns0:v>1.3515</ns0:v>
      </ns0:c>
      <ns0:c r="H24" s="3">
        <ns0:v>1.38</ns0:v>
      </ns0:c>
      <ns0:c r="I24" s="3">
        <ns0:v>1.3235</ns0:v>
      </ns0:c>
      <ns0:c r="J24" s="3">
        <ns0:v>1.3294</ns0:v>
      </ns0:c>
      <ns0:c r="K24" s="3">
        <ns0:v>1.2722</ns0:v>
      </ns0:c>
      <ns0:c r="L24" s="3">
        <ns0:v>1.7535</ns0:v>
      </ns0:c>
      <ns0:c r="M24" s="3">
        <ns0:v>3.451</ns0:v>
      </ns0:c>
      <ns0:c r="N24" s="3">
        <ns0:v>3.8818</ns0:v>
      </ns0:c>
      <ns0:c r="O24" s="3">
        <ns0:v>3.2538</ns0:v>
      </ns0:c>
      <ns0:c r="P24" s="3">
        <ns0:v>3.1688</ns0:v>
      </ns0:c>
      <ns0:c r="Q24" s="3">
        <ns0:v>2.6775</ns0:v>
      </ns0:c>
      <ns0:c r="R24" s="3">
        <ns0:v>3.1968</ns0:v>
      </ns0:c>
      <ns0:c r="S24" s="3">
        <ns0:v>3.7112</ns0:v>
      </ns0:c>
      <ns0:c r="T24" s="3">
        <ns0:v>3.5804</ns0:v>
      </ns0:c>
      <ns0:c r="U24" s="3">
        <ns0:v>3.7694</ns0:v>
      </ns0:c>
      <ns0:c r="V24" s="3">
        <ns0:v>3.6423</ns0:v>
      </ns0:c>
      <ns0:c r="W24" s="3">
        <ns0:v>3.2426</ns0:v>
      </ns0:c>
      <ns0:c r="X24" s="3">
        <ns0:v>3.2346</ns0:v>
      </ns0:c>
      <ns0:c r="Y24" s="3">
        <ns0:v>2.8762</ns0:v>
      </ns0:c>
      <ns0:c r="Z24" s="3">
        <ns0:v>2.434</ns0:v>
      </ns0:c>
      <ns0:c r="AA24" s="3">
        <ns0:v>1.8826</ns0:v>
      </ns0:c>
      <ns0:c r="AB24" s="3">
        <ns0:v>1.6076</ns0:v>
      </ns0:c>
    </ns0:row>
    <ns0:row r="25" spans="1:28">
      <ns0:c r="A25" s="4">
        <ns0:v>45999</ns0:v>
      </ns0:c>
      <ns0:c r="B25" s="7"/>
      <ns0:c r="C25" s="2" t="s">
        <ns0:v>36</ns0:v>
      </ns0:c>
      <ns0:c r="D25" s="3">
        <ns0:v>47.016</ns0:v>
      </ns0:c>
      <ns0:c r="E25" s="13">
        <ns0:v>1.097</ns0:v>
      </ns0:c>
      <ns0:c r="F25" s="13">
        <ns0:v>1.115</ns0:v>
      </ns0:c>
      <ns0:c r="G25" s="13">
        <ns0:v>1.078</ns0:v>
      </ns0:c>
      <ns0:c r="H25" s="13">
        <ns0:v>0.968</ns0:v>
      </ns0:c>
      <ns0:c r="I25" s="13">
        <ns0:v>0.883</ns0:v>
      </ns0:c>
      <ns0:c r="J25" s="13">
        <ns0:v>0.907</ns0:v>
      </ns0:c>
      <ns0:c r="K25" s="13">
        <ns0:v>1.054</ns0:v>
      </ns0:c>
      <ns0:c r="L25" s="13">
        <ns0:v>1.305</ns0:v>
      </ns0:c>
      <ns0:c r="M25" s="13">
        <ns0:v>2.714</ns0:v>
      </ns0:c>
      <ns0:c r="N25" s="13">
        <ns0:v>2.76</ns0:v>
      </ns0:c>
      <ns0:c r="O25" s="13">
        <ns0:v>2.248</ns0:v>
      </ns0:c>
      <ns0:c r="P25" s="13">
        <ns0:v>2.436</ns0:v>
      </ns0:c>
      <ns0:c r="Q25" s="13">
        <ns0:v>2.081</ns0:v>
      </ns0:c>
      <ns0:c r="R25" s="13">
        <ns0:v>2.443</ns0:v>
      </ns0:c>
      <ns0:c r="S25" s="13">
        <ns0:v>2.562</ns0:v>
      </ns0:c>
      <ns0:c r="T25" s="13">
        <ns0:v>2.758</ns0:v>
      </ns0:c>
      <ns0:c r="U25" s="13">
        <ns0:v>2.946</ns0:v>
      </ns0:c>
      <ns0:c r="V25" s="13">
        <ns0:v>2.866</ns0:v>
      </ns0:c>
      <ns0:c r="W25" s="13">
        <ns0:v>2.639</ns0:v>
      </ns0:c>
      <ns0:c r="X25" s="13">
        <ns0:v>2.715</ns0:v>
      </ns0:c>
      <ns0:c r="Y25" s="13">
        <ns0:v>2.57</ns0:v>
      </ns0:c>
      <ns0:c r="Z25" s="13">
        <ns0:v>2.14</ns0:v>
      </ns0:c>
      <ns0:c r="AA25" s="13">
        <ns0:v>1.482</ns0:v>
      </ns0:c>
      <ns0:c r="AB25" s="13">
        <ns0:v>1.249</ns0:v>
      </ns0:c>
    </ns0:row>
    <ns0:row r="26" spans="1:28">
      <ns0:c r="A26" s="4">
        <ns0:v>46000</ns0:v>
      </ns0:c>
      <ns0:c r="B26" s="5">
        <ns0:v>-371.0520136</ns0:v>
      </ns0:c>
      <ns0:c r="C26" s="2" t="s">
        <ns0:v>33</ns0:v>
      </ns0:c>
      <ns0:c r="D26" s="3">
        <ns0:v>62.777267</ns0:v>
      </ns0:c>
      <ns0:c r="E26" s="3">
        <ns0:v>1.429588</ns0:v>
      </ns0:c>
      <ns0:c r="F26" s="3">
        <ns0:v>1.43378</ns0:v>
      </ns0:c>
      <ns0:c r="G26" s="3">
        <ns0:v>1.42731</ns0:v>
      </ns0:c>
      <ns0:c r="H26" s="3">
        <ns0:v>1.35986</ns0:v>
      </ns0:c>
      <ns0:c r="I26" s="3">
        <ns0:v>1.357533</ns0:v>
      </ns0:c>
      <ns0:c r="J26" s="3">
        <ns0:v>1.37025</ns0:v>
      </ns0:c>
      <ns0:c r="K26" s="3">
        <ns0:v>1.341</ns0:v>
      </ns0:c>
      <ns0:c r="L26" s="3">
        <ns0:v>1.73602</ns0:v>
      </ns0:c>
      <ns0:c r="M26" s="3">
        <ns0:v>3.743779</ns0:v>
      </ns0:c>
      <ns0:c r="N26" s="3">
        <ns0:v>4.006626</ns0:v>
      </ns0:c>
      <ns0:c r="O26" s="3">
        <ns0:v>3.516249</ns0:v>
      </ns0:c>
      <ns0:c r="P26" s="3">
        <ns0:v>3.376926</ns0:v>
      </ns0:c>
      <ns0:c r="Q26" s="3">
        <ns0:v>2.732996</ns0:v>
      </ns0:c>
      <ns0:c r="R26" s="3">
        <ns0:v>3.304681</ns0:v>
      </ns0:c>
      <ns0:c r="S26" s="3">
        <ns0:v>3.846168</ns0:v>
      </ns0:c>
      <ns0:c r="T26" s="3">
        <ns0:v>3.678504</ns0:v>
      </ns0:c>
      <ns0:c r="U26" s="3">
        <ns0:v>3.756078</ns0:v>
      </ns0:c>
      <ns0:c r="V26" s="3">
        <ns0:v>3.654025</ns0:v>
      </ns0:c>
      <ns0:c r="W26" s="3">
        <ns0:v>3.341552</ns0:v>
      </ns0:c>
      <ns0:c r="X26" s="3">
        <ns0:v>3.411641</ns0:v>
      </ns0:c>
      <ns0:c r="Y26" s="3">
        <ns0:v>3.027939</ns0:v>
      </ns0:c>
      <ns0:c r="Z26" s="3">
        <ns0:v>2.440669</ns0:v>
      </ns0:c>
      <ns0:c r="AA26" s="3">
        <ns0:v>1.925064</ns0:v>
      </ns0:c>
      <ns0:c r="AB26" s="3">
        <ns0:v>1.559029</ns0:v>
      </ns0:c>
    </ns0:row>
    <ns0:row r="27" spans="1:28">
      <ns0:c r="A27" s="4">
        <ns0:v>46000</ns0:v>
      </ns0:c>
      <ns0:c r="B27" s="5"/>
      <ns0:c r="C27" s="6" t="s">
        <ns0:v>49</ns0:v>
      </ns0:c>
      <ns0:c r="D27" s="3">
        <ns0:v>63.96831</ns0:v>
      </ns0:c>
      <ns0:c r="E27" s="3">
        <ns0:v>1.59225</ns0:v>
      </ns0:c>
      <ns0:c r="F27" s="3">
        <ns0:v>1.65606</ns0:v>
      </ns0:c>
      <ns0:c r="G27" s="3">
        <ns0:v>1.59058</ns0:v>
      </ns0:c>
      <ns0:c r="H27" s="3">
        <ns0:v>1.60096</ns0:v>
      </ns0:c>
      <ns0:c r="I27" s="3">
        <ns0:v>1.61951</ns0:v>
      </ns0:c>
      <ns0:c r="J27" s="3">
        <ns0:v>1.65279</ns0:v>
      </ns0:c>
      <ns0:c r="K27" s="3">
        <ns0:v>1.55464</ns0:v>
      </ns0:c>
      <ns0:c r="L27" s="3">
        <ns0:v>1.95728</ns0:v>
      </ns0:c>
      <ns0:c r="M27" s="3">
        <ns0:v>3.84904</ns0:v>
      </ns0:c>
      <ns0:c r="N27" s="3">
        <ns0:v>4.08901</ns0:v>
      </ns0:c>
      <ns0:c r="O27" s="3">
        <ns0:v>3.41101</ns0:v>
      </ns0:c>
      <ns0:c r="P27" s="3">
        <ns0:v>3.15164</ns0:v>
      </ns0:c>
      <ns0:c r="Q27" s="3">
        <ns0:v>2.72426</ns0:v>
      </ns0:c>
      <ns0:c r="R27" s="3">
        <ns0:v>3.20227</ns0:v>
      </ns0:c>
      <ns0:c r="S27" s="3">
        <ns0:v>3.708</ns0:v>
      </ns0:c>
      <ns0:c r="T27" s="3">
        <ns0:v>3.60096</ns0:v>
      </ns0:c>
      <ns0:c r="U27" s="3">
        <ns0:v>3.69719</ns0:v>
      </ns0:c>
      <ns0:c r="V27" s="3">
        <ns0:v>3.53613</ns0:v>
      </ns0:c>
      <ns0:c r="W27" s="3">
        <ns0:v>3.25101</ns0:v>
      </ns0:c>
      <ns0:c r="X27" s="3">
        <ns0:v>3.3566</ns0:v>
      </ns0:c>
      <ns0:c r="Y27" s="3">
        <ns0:v>3.01253</ns0:v>
      </ns0:c>
      <ns0:c r="Z27" s="3">
        <ns0:v>2.49268</ns0:v>
      </ns0:c>
      <ns0:c r="AA27" s="3">
        <ns0:v>1.99291</ns0:v>
      </ns0:c>
      <ns0:c r="AB27" s="3">
        <ns0:v>1.669</ns0:v>
      </ns0:c>
    </ns0:row>
    <ns0:row r="28" spans="1:28">
      <ns0:c r="A28" s="4">
        <ns0:v>46000</ns0:v>
      </ns0:c>
      <ns0:c r="B28" s="7"/>
      <ns0:c r="C28" s="2" t="s">
        <ns0:v>36</ns0:v>
      </ns0:c>
      <ns0:c r="D28" s="3">
        <ns0:v>63.761</ns0:v>
      </ns0:c>
      <ns0:c r="E28" s="13">
        <ns0:v>1.287</ns0:v>
      </ns0:c>
      <ns0:c r="F28" s="13">
        <ns0:v>1.29</ns0:v>
      </ns0:c>
      <ns0:c r="G28" s="13">
        <ns0:v>1.285</ns0:v>
      </ns0:c>
      <ns0:c r="H28" s="13">
        <ns0:v>1.224</ns0:v>
      </ns0:c>
      <ns0:c r="I28" s="13">
        <ns0:v>1.222</ns0:v>
      </ns0:c>
      <ns0:c r="J28" s="13">
        <ns0:v>1.233</ns0:v>
      </ns0:c>
      <ns0:c r="K28" s="13">
        <ns0:v>1.207</ns0:v>
      </ns0:c>
      <ns0:c r="L28" s="13">
        <ns0:v>1.91</ns0:v>
      </ns0:c>
      <ns0:c r="M28" s="13">
        <ns0:v>4.118</ns0:v>
      </ns0:c>
      <ns0:c r="N28" s="13">
        <ns0:v>4.407</ns0:v>
      </ns0:c>
      <ns0:c r="O28" s="13">
        <ns0:v>3.868</ns0:v>
      </ns0:c>
      <ns0:c r="P28" s="13">
        <ns0:v>3.715</ns0:v>
      </ns0:c>
      <ns0:c r="Q28" s="13">
        <ns0:v>3.006</ns0:v>
      </ns0:c>
      <ns0:c r="R28" s="13">
        <ns0:v>3.635</ns0:v>
      </ns0:c>
      <ns0:c r="S28" s="13">
        <ns0:v>4.231</ns0:v>
      </ns0:c>
      <ns0:c r="T28" s="13">
        <ns0:v>4.046</ns0:v>
      </ns0:c>
      <ns0:c r="U28" s="13">
        <ns0:v>4.132</ns0:v>
      </ns0:c>
      <ns0:c r="V28" s="13">
        <ns0:v>3.654</ns0:v>
      </ns0:c>
      <ns0:c r="W28" s="13">
        <ns0:v>3.007</ns0:v>
      </ns0:c>
      <ns0:c r="X28" s="13">
        <ns0:v>3.07</ns0:v>
      </ns0:c>
      <ns0:c r="Y28" s="13">
        <ns0:v>2.725</ns0:v>
      </ns0:c>
      <ns0:c r="Z28" s="13">
        <ns0:v>2.197</ns0:v>
      </ns0:c>
      <ns0:c r="AA28" s="13">
        <ns0:v>1.733</ns0:v>
      </ns0:c>
      <ns0:c r="AB28" s="13">
        <ns0:v>1.559</ns0:v>
      </ns0:c>
    </ns0:row>
    <ns0:row r="29" spans="1:28">
      <ns0:c r="A29" s="4">
        <ns0:v>46001</ns0:v>
      </ns0:c>
      <ns0:c r="B29" s="5">
        <ns0:v>-660.5633302</ns0:v>
      </ns0:c>
      <ns0:c r="C29" s="2" t="s">
        <ns0:v>33</ns0:v>
      </ns0:c>
      <ns0:c r="D29" s="3">
        <ns0:v>42.393044</ns0:v>
      </ns0:c>
      <ns0:c r="E29" s="3">
        <ns0:v>1.017456</ns0:v>
      </ns0:c>
      <ns0:c r="F29" s="3">
        <ns0:v>1.082301</ns0:v>
      </ns0:c>
      <ns0:c r="G29" s="3">
        <ns0:v>1.045551</ns0:v>
      </ns0:c>
      <ns0:c r="H29" s="3">
        <ns0:v>1.046084</ns0:v>
      </ns0:c>
      <ns0:c r="I29" s="3">
        <ns0:v>1.016231</ns0:v>
      </ns0:c>
      <ns0:c r="J29" s="3">
        <ns0:v>1.057881</ns0:v>
      </ns0:c>
      <ns0:c r="K29" s="3">
        <ns0:v>1.017511</ns0:v>
      </ns0:c>
      <ns0:c r="L29" s="3">
        <ns0:v>1.387591</ns0:v>
      </ns0:c>
      <ns0:c r="M29" s="3">
        <ns0:v>2.55891</ns0:v>
      </ns0:c>
      <ns0:c r="N29" s="3">
        <ns0:v>2.650687</ns0:v>
      </ns0:c>
      <ns0:c r="O29" s="3">
        <ns0:v>2.336925</ns0:v>
      </ns0:c>
      <ns0:c r="P29" s="3">
        <ns0:v>2.224878</ns0:v>
      </ns0:c>
      <ns0:c r="Q29" s="3">
        <ns0:v>1.716011</ns0:v>
      </ns0:c>
      <ns0:c r="R29" s="3">
        <ns0:v>2.019474</ns0:v>
      </ns0:c>
      <ns0:c r="S29" s="3">
        <ns0:v>2.510729</ns0:v>
      </ns0:c>
      <ns0:c r="T29" s="3">
        <ns0:v>2.436805</ns0:v>
      </ns0:c>
      <ns0:c r="U29" s="3">
        <ns0:v>2.589016</ns0:v>
      </ns0:c>
      <ns0:c r="V29" s="3">
        <ns0:v>2.393508</ns0:v>
      </ns0:c>
      <ns0:c r="W29" s="3">
        <ns0:v>2.106615</ns0:v>
      </ns0:c>
      <ns0:c r="X29" s="3">
        <ns0:v>2.20017</ns0:v>
      </ns0:c>
      <ns0:c r="Y29" s="3">
        <ns0:v>1.896378</ns0:v>
      </ns0:c>
      <ns0:c r="Z29" s="3">
        <ns0:v>1.60737</ns0:v>
      </ns0:c>
      <ns0:c r="AA29" s="3">
        <ns0:v>1.318942</ns0:v>
      </ns0:c>
      <ns0:c r="AB29" s="3">
        <ns0:v>1.15602</ns0:v>
      </ns0:c>
    </ns0:row>
    <ns0:row r="30" spans="1:28">
      <ns0:c r="A30" s="4">
        <ns0:v>46001</ns0:v>
      </ns0:c>
      <ns0:c r="B30" s="5"/>
      <ns0:c r="C30" s="6" t="s">
        <ns0:v>49</ns0:v>
      </ns0:c>
      <ns0:c r="D30" s="3">
        <ns0:v>66.8091</ns0:v>
      </ns0:c>
      <ns0:c r="E30" s="3">
        <ns0:v>1.6446</ns0:v>
      </ns0:c>
      <ns0:c r="F30" s="3">
        <ns0:v>1.6273</ns0:v>
      </ns0:c>
      <ns0:c r="G30" s="3">
        <ns0:v>1.6159</ns0:v>
      </ns0:c>
      <ns0:c r="H30" s="3">
        <ns0:v>1.5548</ns0:v>
      </ns0:c>
      <ns0:c r="I30" s="3">
        <ns0:v>1.634</ns0:v>
      </ns0:c>
      <ns0:c r="J30" s="3">
        <ns0:v>1.6853</ns0:v>
      </ns0:c>
      <ns0:c r="K30" s="3">
        <ns0:v>1.614</ns0:v>
      </ns0:c>
      <ns0:c r="L30" s="3">
        <ns0:v>2.0254</ns0:v>
      </ns0:c>
      <ns0:c r="M30" s="3">
        <ns0:v>3.9278</ns0:v>
      </ns0:c>
      <ns0:c r="N30" s="3">
        <ns0:v>4.2892</ns0:v>
      </ns0:c>
      <ns0:c r="O30" s="3">
        <ns0:v>3.6067</ns0:v>
      </ns0:c>
      <ns0:c r="P30" s="3">
        <ns0:v>3.619</ns0:v>
      </ns0:c>
      <ns0:c r="Q30" s="3">
        <ns0:v>2.9539</ns0:v>
      </ns0:c>
      <ns0:c r="R30" s="3">
        <ns0:v>3.5061</ns0:v>
      </ns0:c>
      <ns0:c r="S30" s="3">
        <ns0:v>4.0664</ns0:v>
      </ns0:c>
      <ns0:c r="T30" s="3">
        <ns0:v>3.9457</ns0:v>
      </ns0:c>
      <ns0:c r="U30" s="3">
        <ns0:v>3.9824</ns0:v>
      </ns0:c>
      <ns0:c r="V30" s="3">
        <ns0:v>3.7209</ns0:v>
      </ns0:c>
      <ns0:c r="W30" s="3">
        <ns0:v>3.2885</ns0:v>
      </ns0:c>
      <ns0:c r="X30" s="3">
        <ns0:v>3.4812</ns0:v>
      </ns0:c>
      <ns0:c r="Y30" s="3">
        <ns0:v>2.9759</ns0:v>
      </ns0:c>
      <ns0:c r="Z30" s="3">
        <ns0:v>2.4938</ns0:v>
      </ns0:c>
      <ns0:c r="AA30" s="3">
        <ns0:v>1.9705</ns0:v>
      </ns0:c>
      <ns0:c r="AB30" s="3">
        <ns0:v>1.5798</ns0:v>
      </ns0:c>
    </ns0:row>
    <ns0:row r="31" spans="1:28">
      <ns0:c r="A31" s="4">
        <ns0:v>46001</ns0:v>
      </ns0:c>
      <ns0:c r="B31" s="7"/>
      <ns0:c r="C31" s="2" t="s">
        <ns0:v>36</ns0:v>
      </ns0:c>
      <ns0:c r="D31" s="3">
        <ns0:v>35.542</ns0:v>
      </ns0:c>
      <ns0:c r="E31" s="13">
        <ns0:v>0.916</ns0:v>
      </ns0:c>
      <ns0:c r="F31" s="13">
        <ns0:v>0.974</ns0:v>
      </ns0:c>
      <ns0:c r="G31" s="13">
        <ns0:v>0.941</ns0:v>
      </ns0:c>
      <ns0:c r="H31" s="13">
        <ns0:v>0.941</ns0:v>
      </ns0:c>
      <ns0:c r="I31" s="13">
        <ns0:v>0.915</ns0:v>
      </ns0:c>
      <ns0:c r="J31" s="13">
        <ns0:v>0.952</ns0:v>
      </ns0:c>
      <ns0:c r="K31" s="13">
        <ns0:v>0.916</ns0:v>
      </ns0:c>
      <ns0:c r="L31" s="13">
        <ns0:v>1.249</ns0:v>
      </ns0:c>
      <ns0:c r="M31" s="13">
        <ns0:v>2.303</ns0:v>
      </ns0:c>
      <ns0:c r="N31" s="13">
        <ns0:v>2.121</ns0:v>
      </ns0:c>
      <ns0:c r="O31" s="13">
        <ns0:v>1.87</ns0:v>
      </ns0:c>
      <ns0:c r="P31" s="13">
        <ns0:v>1.78</ns0:v>
      </ns0:c>
      <ns0:c r="Q31" s="13">
        <ns0:v>1.373</ns0:v>
      </ns0:c>
      <ns0:c r="R31" s="13">
        <ns0:v>1.616</ns0:v>
      </ns0:c>
      <ns0:c r="S31" s="13">
        <ns0:v>2.009</ns0:v>
      </ns0:c>
      <ns0:c r="T31" s="13">
        <ns0:v>2.193</ns0:v>
      </ns0:c>
      <ns0:c r="U31" s="13">
        <ns0:v>2.33</ns0:v>
      </ns0:c>
      <ns0:c r="V31" s="13">
        <ns0:v>1.915</ns0:v>
      </ns0:c>
      <ns0:c r="W31" s="13">
        <ns0:v>1.685</ns0:v>
      </ns0:c>
      <ns0:c r="X31" s="13">
        <ns0:v>1.76</ns0:v>
      </ns0:c>
      <ns0:c r="Y31" s="13">
        <ns0:v>1.517</ns0:v>
      </ns0:c>
      <ns0:c r="Z31" s="13">
        <ns0:v>1.286</ns0:v>
      </ns0:c>
      <ns0:c r="AA31" s="13">
        <ns0:v>1.055</ns0:v>
      </ns0:c>
      <ns0:c r="AB31" s="13">
        <ns0:v>0.925</ns0:v>
      </ns0:c>
    </ns0:row>
    <ns0:row r="32" spans="1:28">
      <ns0:c r="A32" s="4">
        <ns0:v>46002</ns0:v>
      </ns0:c>
      <ns0:c r="B32" s="5">
        <ns0:v>52.9329256</ns0:v>
      </ns0:c>
      <ns0:c r="C32" s="2" t="s">
        <ns0:v>33</ns0:v>
      </ns0:c>
      <ns0:c r="D32" s="3">
        <ns0:v>64.91835</ns0:v>
      </ns0:c>
      <ns0:c r="E32" s="3">
        <ns0:v>1.610438</ns0:v>
      </ns0:c>
      <ns0:c r="F32" s="3">
        <ns0:v>1.642075</ns0:v>
      </ns0:c>
      <ns0:c r="G32" s="3">
        <ns0:v>1.57959</ns0:v>
      </ns0:c>
      <ns0:c r="H32" s="3">
        <ns0:v>1.60301</ns0:v>
      </ns0:c>
      <ns0:c r="I32" s="3">
        <ns0:v>1.589737</ns0:v>
      </ns0:c>
      <ns0:c r="J32" s="3">
        <ns0:v>1.58652</ns0:v>
      </ns0:c>
      <ns0:c r="K32" s="3">
        <ns0:v>1.532812</ns0:v>
      </ns0:c>
      <ns0:c r="L32" s="3">
        <ns0:v>1.950245</ns0:v>
      </ns0:c>
      <ns0:c r="M32" s="3">
        <ns0:v>3.931396</ns0:v>
      </ns0:c>
      <ns0:c r="N32" s="3">
        <ns0:v>4.203068</ns0:v>
      </ns0:c>
      <ns0:c r="O32" s="3">
        <ns0:v>3.659454</ns0:v>
      </ns0:c>
      <ns0:c r="P32" s="3">
        <ns0:v>3.383056</ns0:v>
      </ns0:c>
      <ns0:c r="Q32" s="3">
        <ns0:v>2.796657</ns0:v>
      </ns0:c>
      <ns0:c r="R32" s="3">
        <ns0:v>3.243519</ns0:v>
      </ns0:c>
      <ns0:c r="S32" s="3">
        <ns0:v>3.857325</ns0:v>
      </ns0:c>
      <ns0:c r="T32" s="3">
        <ns0:v>3.644447</ns0:v>
      </ns0:c>
      <ns0:c r="U32" s="3">
        <ns0:v>3.80044</ns0:v>
      </ns0:c>
      <ns0:c r="V32" s="3">
        <ns0:v>3.661161</ns0:v>
      </ns0:c>
      <ns0:c r="W32" s="3">
        <ns0:v>3.312959</ns0:v>
      </ns0:c>
      <ns0:c r="X32" s="3">
        <ns0:v>3.342913</ns0:v>
      </ns0:c>
      <ns0:c r="Y32" s="3">
        <ns0:v>2.87651</ns0:v>
      </ns0:c>
      <ns0:c r="Z32" s="3">
        <ns0:v>2.36796</ns0:v>
      </ns0:c>
      <ns0:c r="AA32" s="3">
        <ns0:v>1.989978</ns0:v>
      </ns0:c>
      <ns0:c r="AB32" s="3">
        <ns0:v>1.75308</ns0:v>
      </ns0:c>
    </ns0:row>
    <ns0:row r="33" spans="1:28">
      <ns0:c r="A33" s="4">
        <ns0:v>46002</ns0:v>
      </ns0:c>
      <ns0:c r="B33" s="5"/>
      <ns0:c r="C33" s="6" t="s">
        <ns0:v>49</ns0:v>
      </ns0:c>
      <ns0:c r="D33" s="3">
        <ns0:v>67.6875</ns0:v>
      </ns0:c>
      <ns0:c r="E33" s="3">
        <ns0:v>1.5969</ns0:v>
      </ns0:c>
      <ns0:c r="F33" s="3">
        <ns0:v>1.7024</ns0:v>
      </ns0:c>
      <ns0:c r="G33" s="3">
        <ns0:v>1.6045</ns0:v>
      </ns0:c>
      <ns0:c r="H33" s="3">
        <ns0:v>1.6812</ns0:v>
      </ns0:c>
      <ns0:c r="I33" s="3">
        <ns0:v>1.6012</ns0:v>
      </ns0:c>
      <ns0:c r="J33" s="3">
        <ns0:v>1.611</ns0:v>
      </ns0:c>
      <ns0:c r="K33" s="3">
        <ns0:v>1.563</ns0:v>
      </ns0:c>
      <ns0:c r="L33" s="3">
        <ns0:v>1.8924</ns0:v>
      </ns0:c>
      <ns0:c r="M33" s="3">
        <ns0:v>3.9873</ns0:v>
      </ns0:c>
      <ns0:c r="N33" s="3">
        <ns0:v>4.4796</ns0:v>
      </ns0:c>
      <ns0:c r="O33" s="3">
        <ns0:v>3.8009</ns0:v>
      </ns0:c>
      <ns0:c r="P33" s="3">
        <ns0:v>3.5078</ns0:v>
      </ns0:c>
      <ns0:c r="Q33" s="3">
        <ns0:v>2.7735</ns0:v>
      </ns0:c>
      <ns0:c r="R33" s="3">
        <ns0:v>3.3588</ns0:v>
      </ns0:c>
      <ns0:c r="S33" s="3">
        <ns0:v>4.1293</ns0:v>
      </ns0:c>
      <ns0:c r="T33" s="3">
        <ns0:v>3.9898</ns0:v>
      </ns0:c>
      <ns0:c r="U33" s="3">
        <ns0:v>4.2609</ns0:v>
      </ns0:c>
      <ns0:c r="V33" s="3">
        <ns0:v>3.9068</ns0:v>
      </ns0:c>
      <ns0:c r="W33" s="3">
        <ns0:v>3.3924</ns0:v>
      </ns0:c>
      <ns0:c r="X33" s="3">
        <ns0:v>3.6102</ns0:v>
      </ns0:c>
      <ns0:c r="Y33" s="3">
        <ns0:v>3.1383</ns0:v>
      </ns0:c>
      <ns0:c r="Z33" s="3">
        <ns0:v>2.5487</ns0:v>
      </ns0:c>
      <ns0:c r="AA33" s="3">
        <ns0:v>1.9217</ns0:v>
      </ns0:c>
      <ns0:c r="AB33" s="3">
        <ns0:v>1.6289</ns0:v>
      </ns0:c>
    </ns0:row>
    <ns0:row r="34" spans="1:28">
      <ns0:c r="A34" s="4">
        <ns0:v>46002</ns0:v>
      </ns0:c>
      <ns0:c r="B34" s="7"/>
      <ns0:c r="C34" s="2" t="s">
        <ns0:v>36</ns0:v>
      </ns0:c>
      <ns0:c r="D34" s="3">
        <ns0:v>59.215</ns0:v>
      </ns0:c>
      <ns0:c r="E34" s="13">
        <ns0:v>1.61</ns0:v>
      </ns0:c>
      <ns0:c r="F34" s="13">
        <ns0:v>1.478</ns0:v>
      </ns0:c>
      <ns0:c r="G34" s="13">
        <ns0:v>1.264</ns0:v>
      </ns0:c>
      <ns0:c r="H34" s="13">
        <ns0:v>1.282</ns0:v>
      </ns0:c>
      <ns0:c r="I34" s="13">
        <ns0:v>1.272</ns0:v>
      </ns0:c>
      <ns0:c r="J34" s="13">
        <ns0:v>1.269</ns0:v>
      </ns0:c>
      <ns0:c r="K34" s="13">
        <ns0:v>1.226</ns0:v>
      </ns0:c>
      <ns0:c r="L34" s="13">
        <ns0:v>1.755</ns0:v>
      </ns0:c>
      <ns0:c r="M34" s="13">
        <ns0:v>3.931</ns0:v>
      </ns0:c>
      <ns0:c r="N34" s="13">
        <ns0:v>4.203</ns0:v>
      </ns0:c>
      <ns0:c r="O34" s="13">
        <ns0:v>3.294</ns0:v>
      </ns0:c>
      <ns0:c r="P34" s="13">
        <ns0:v>2.706</ns0:v>
      </ns0:c>
      <ns0:c r="Q34" s="13">
        <ns0:v>2.237</ns0:v>
      </ns0:c>
      <ns0:c r="R34" s="13">
        <ns0:v>2.595</ns0:v>
      </ns0:c>
      <ns0:c r="S34" s="13">
        <ns0:v>3.086</ns0:v>
      </ns0:c>
      <ns0:c r="T34" s="13">
        <ns0:v>2.916</ns0:v>
      </ns0:c>
      <ns0:c r="U34" s="13">
        <ns0:v>3.42</ns0:v>
      </ns0:c>
      <ns0:c r="V34" s="13">
        <ns0:v>4.027</ns0:v>
      </ns0:c>
      <ns0:c r="W34" s="13">
        <ns0:v>3.313</ns0:v>
      </ns0:c>
      <ns0:c r="X34" s="13">
        <ns0:v>3.343</ns0:v>
      </ns0:c>
      <ns0:c r="Y34" s="13">
        <ns0:v>2.877</ns0:v>
      </ns0:c>
      <ns0:c r="Z34" s="13">
        <ns0:v>2.368</ns0:v>
      </ns0:c>
      <ns0:c r="AA34" s="13">
        <ns0:v>1.99</ns0:v>
      </ns0:c>
      <ns0:c r="AB34" s="13">
        <ns0:v>1.753</ns0:v>
      </ns0:c>
    </ns0:row>
    <ns0:row r="35" spans="1:28">
      <ns0:c r="A35" s="4">
        <ns0:v>46003</ns0:v>
      </ns0:c>
      <ns0:c r="B35" s="5">
        <ns0:v>410.0331806</ns0:v>
      </ns0:c>
      <ns0:c r="C35" s="2" t="s">
        <ns0:v>33</ns0:v>
      </ns0:c>
      <ns0:c r="D35" s="3">
        <ns0:v>50.535303</ns0:v>
      </ns0:c>
      <ns0:c r="E35" s="3">
        <ns0:v>1.220562</ns0:v>
      </ns0:c>
      <ns0:c r="F35" s="3">
        <ns0:v>1.20021</ns0:v>
      </ns0:c>
      <ns0:c r="G35" s="3">
        <ns0:v>1.19288</ns0:v>
      </ns0:c>
      <ns0:c r="H35" s="3">
        <ns0:v>1.173278</ns0:v>
      </ns0:c>
      <ns0:c r="I35" s="3">
        <ns0:v>1.16563</ns0:v>
      </ns0:c>
      <ns0:c r="J35" s="3">
        <ns0:v>1.129475</ns0:v>
      </ns0:c>
      <ns0:c r="K35" s="3">
        <ns0:v>1.115992</ns0:v>
      </ns0:c>
      <ns0:c r="L35" s="3">
        <ns0:v>1.53812</ns0:v>
      </ns0:c>
      <ns0:c r="M35" s="3">
        <ns0:v>3.055128</ns0:v>
      </ns0:c>
      <ns0:c r="N35" s="3">
        <ns0:v>3.212971</ns0:v>
      </ns0:c>
      <ns0:c r="O35" s="3">
        <ns0:v>2.851397</ns0:v>
      </ns0:c>
      <ns0:c r="P35" s="3">
        <ns0:v>2.715028</ns0:v>
      </ns0:c>
      <ns0:c r="Q35" s="3">
        <ns0:v>1.97411</ns0:v>
      </ns0:c>
      <ns0:c r="R35" s="3">
        <ns0:v>2.332569</ns0:v>
      </ns0:c>
      <ns0:c r="S35" s="3">
        <ns0:v>3.00842</ns0:v>
      </ns0:c>
      <ns0:c r="T35" s="3">
        <ns0:v>3.078225</ns0:v>
      </ns0:c>
      <ns0:c r="U35" s="3">
        <ns0:v>3.130158</ns0:v>
      </ns0:c>
      <ns0:c r="V35" s="3">
        <ns0:v>2.980271</ns0:v>
      </ns0:c>
      <ns0:c r="W35" s="3">
        <ns0:v>2.595591</ns0:v>
      </ns0:c>
      <ns0:c r="X35" s="3">
        <ns0:v>2.710385</ns0:v>
      </ns0:c>
      <ns0:c r="Y35" s="3">
        <ns0:v>2.35516</ns0:v>
      </ns0:c>
      <ns0:c r="Z35" s="3">
        <ns0:v>1.918618</ns0:v>
      </ns0:c>
      <ns0:c r="AA35" s="3">
        <ns0:v>1.543165</ns0:v>
      </ns0:c>
      <ns0:c r="AB35" s="3">
        <ns0:v>1.33796</ns0:v>
      </ns0:c>
    </ns0:row>
    <ns0:row r="36" spans="1:28">
      <ns0:c r="A36" s="4">
        <ns0:v>46003</ns0:v>
      </ns0:c>
      <ns0:c r="B36" s="5"/>
      <ns0:c r="C36" s="6" t="s">
        <ns0:v>49</ns0:v>
      </ns0:c>
      <ns0:c r="D36" s="3">
        <ns0:v>64.6752</ns0:v>
      </ns0:c>
      <ns0:c r="E36" s="3">
        <ns0:v>1.7304</ns0:v>
      </ns0:c>
      <ns0:c r="F36" s="3">
        <ns0:v>1.7137</ns0:v>
      </ns0:c>
      <ns0:c r="G36" s="3">
        <ns0:v>1.7267</ns0:v>
      </ns0:c>
      <ns0:c r="H36" s="3">
        <ns0:v>1.6543</ns0:v>
      </ns0:c>
      <ns0:c r="I36" s="3">
        <ns0:v>1.6745</ns0:v>
      </ns0:c>
      <ns0:c r="J36" s="3">
        <ns0:v>1.6777</ns0:v>
      </ns0:c>
      <ns0:c r="K36" s="3">
        <ns0:v>1.6374</ns0:v>
      </ns0:c>
      <ns0:c r="L36" s="3">
        <ns0:v>2.0256</ns0:v>
      </ns0:c>
      <ns0:c r="M36" s="3">
        <ns0:v>3.86</ns0:v>
      </ns0:c>
      <ns0:c r="N36" s="3">
        <ns0:v>4.0484</ns0:v>
      </ns0:c>
      <ns0:c r="O36" s="3">
        <ns0:v>3.4856</ns0:v>
      </ns0:c>
      <ns0:c r="P36" s="3">
        <ns0:v>3.218</ns0:v>
      </ns0:c>
      <ns0:c r="Q36" s="3">
        <ns0:v>2.725</ns0:v>
      </ns0:c>
      <ns0:c r="R36" s="3">
        <ns0:v>3.1876</ns0:v>
      </ns0:c>
      <ns0:c r="S36" s="3">
        <ns0:v>3.6984</ns0:v>
      </ns0:c>
      <ns0:c r="T36" s="3">
        <ns0:v>3.6778</ns0:v>
      </ns0:c>
      <ns0:c r="U36" s="3">
        <ns0:v>3.7711</ns0:v>
      </ns0:c>
      <ns0:c r="V36" s="3">
        <ns0:v>3.6505</ns0:v>
      </ns0:c>
      <ns0:c r="W36" s="3">
        <ns0:v>3.3801</ns0:v>
      </ns0:c>
      <ns0:c r="X36" s="3">
        <ns0:v>3.3527</ns0:v>
      </ns0:c>
      <ns0:c r="Y36" s="3">
        <ns0:v>2.9247</ns0:v>
      </ns0:c>
      <ns0:c r="Z36" s="3">
        <ns0:v>2.343</ns0:v>
      </ns0:c>
      <ns0:c r="AA36" s="3">
        <ns0:v>1.8019</ns0:v>
      </ns0:c>
      <ns0:c r="AB36" s="3">
        <ns0:v>1.7101</ns0:v>
      </ns0:c>
    </ns0:row>
    <ns0:row r="37" spans="1:28">
      <ns0:c r="A37" s="4">
        <ns0:v>46003</ns0:v>
      </ns0:c>
      <ns0:c r="B37" s="7"/>
      <ns0:c r="C37" s="2" t="s">
        <ns0:v>36</ns0:v>
      </ns0:c>
      <ns0:c r="D37" s="3">
        <ns0:v>42.154</ns0:v>
      </ns0:c>
      <ns0:c r="E37" s="13">
        <ns0:v>1.099</ns0:v>
      </ns0:c>
      <ns0:c r="F37" s="13">
        <ns0:v>1.08</ns0:v>
      </ns0:c>
      <ns0:c r="G37" s="13">
        <ns0:v>1.074</ns0:v>
      </ns0:c>
      <ns0:c r="H37" s="13">
        <ns0:v>1.056</ns0:v>
      </ns0:c>
      <ns0:c r="I37" s="13">
        <ns0:v>1.049</ns0:v>
      </ns0:c>
      <ns0:c r="J37" s="13">
        <ns0:v>1.017</ns0:v>
      </ns0:c>
      <ns0:c r="K37" s="13">
        <ns0:v>1.004</ns0:v>
      </ns0:c>
      <ns0:c r="L37" s="13">
        <ns0:v>1.384</ns0:v>
      </ns0:c>
      <ns0:c r="M37" s="13">
        <ns0:v>2.75</ns0:v>
      </ns0:c>
      <ns0:c r="N37" s="13">
        <ns0:v>2.57</ns0:v>
      </ns0:c>
      <ns0:c r="O37" s="13">
        <ns0:v>2.281</ns0:v>
      </ns0:c>
      <ns0:c r="P37" s="13">
        <ns0:v>2.172</ns0:v>
      </ns0:c>
      <ns0:c r="Q37" s="13">
        <ns0:v>1.579</ns0:v>
      </ns0:c>
      <ns0:c r="R37" s="13">
        <ns0:v>1.866</ns0:v>
      </ns0:c>
      <ns0:c r="S37" s="13">
        <ns0:v>2.407</ns0:v>
      </ns0:c>
      <ns0:c r="T37" s="13">
        <ns0:v>2.463</ns0:v>
      </ns0:c>
      <ns0:c r="U37" s="13">
        <ns0:v>2.817</ns0:v>
      </ns0:c>
      <ns0:c r="V37" s="13">
        <ns0:v>2.384</ns0:v>
      </ns0:c>
      <ns0:c r="W37" s="13">
        <ns0:v>2.076</ns0:v>
      </ns0:c>
      <ns0:c r="X37" s="13">
        <ns0:v>2.168</ns0:v>
      </ns0:c>
      <ns0:c r="Y37" s="13">
        <ns0:v>1.884</ns0:v>
      </ns0:c>
      <ns0:c r="Z37" s="13">
        <ns0:v>1.535</ns0:v>
      </ns0:c>
      <ns0:c r="AA37" s="13">
        <ns0:v>1.235</ns0:v>
      </ns0:c>
      <ns0:c r="AB37" s="13">
        <ns0:v>1.204</ns0:v>
      </ns0:c>
    </ns0:row>
    <ns0:row r="38" spans="1:28">
      <ns0:c r="A38" s="4">
        <ns0:v>46004</ns0:v>
      </ns0:c>
      <ns0:c r="B38" s="5">
        <ns0:v>-83.8932771999999</ns0:v>
      </ns0:c>
      <ns0:c r="C38" s="2" t="s">
        <ns0:v>33</ns0:v>
      </ns0:c>
      <ns0:c r="D38" s="3">
        <ns0:v>61.907005</ns0:v>
      </ns0:c>
      <ns0:c r="E38" s="3">
        <ns0:v>1.609797</ns0:v>
      </ns0:c>
      <ns0:c r="F38" s="3">
        <ns0:v>1.57732</ns0:v>
      </ns0:c>
      <ns0:c r="G38" s="3">
        <ns0:v>1.54072</ns0:v>
      </ns0:c>
      <ns0:c r="H38" s="3">
        <ns0:v>1.515878</ns0:v>
      </ns0:c>
      <ns0:c r="I38" s="3">
        <ns0:v>1.4796</ns0:v>
      </ns0:c>
      <ns0:c r="J38" s="3">
        <ns0:v>1.50289</ns0:v>
      </ns0:c>
      <ns0:c r="K38" s="3">
        <ns0:v>1.48459</ns0:v>
      </ns0:c>
      <ns0:c r="L38" s="3">
        <ns0:v>1.898532</ns0:v>
      </ns0:c>
      <ns0:c r="M38" s="3">
        <ns0:v>3.743583</ns0:v>
      </ns0:c>
      <ns0:c r="N38" s="3">
        <ns0:v>4.003247</ns0:v>
      </ns0:c>
      <ns0:c r="O38" s="3">
        <ns0:v>3.39516</ns0:v>
      </ns0:c>
      <ns0:c r="P38" s="3">
        <ns0:v>3.293125</ns0:v>
      </ns0:c>
      <ns0:c r="Q38" s="3">
        <ns0:v>2.76984</ns0:v>
      </ns0:c>
      <ns0:c r="R38" s="3">
        <ns0:v>3.257</ns0:v>
      </ns0:c>
      <ns0:c r="S38" s="3">
        <ns0:v>3.787825</ns0:v>
      </ns0:c>
      <ns0:c r="T38" s="3">
        <ns0:v>3.592505</ns0:v>
      </ns0:c>
      <ns0:c r="U38" s="3">
        <ns0:v>3.637185</ns0:v>
      </ns0:c>
      <ns0:c r="V38" s="3">
        <ns0:v>3.487658</ns0:v>
      </ns0:c>
      <ns0:c r="W38" s="3">
        <ns0:v>3.007022</ns0:v>
      </ns0:c>
      <ns0:c r="X38" s="3">
        <ns0:v>3.00712</ns0:v>
      </ns0:c>
      <ns0:c r="Y38" s="3">
        <ns0:v>2.66636</ns0:v>
      </ns0:c>
      <ns0:c r="Z38" s="3">
        <ns0:v>2.207133</ns0:v>
      </ns0:c>
      <ns0:c r="AA38" s="3">
        <ns0:v>1.857977</ns0:v>
      </ns0:c>
      <ns0:c r="AB38" s="3">
        <ns0:v>1.584938</ns0:v>
      </ns0:c>
    </ns0:row>
    <ns0:row r="39" spans="1:28">
      <ns0:c r="A39" s="4">
        <ns0:v>46004</ns0:v>
      </ns0:c>
      <ns0:c r="B39" s="5"/>
      <ns0:c r="C39" s="6" t="s">
        <ns0:v>49</ns0:v>
      </ns0:c>
      <ns0:c r="D39" s="3">
        <ns0:v>66.168</ns0:v>
      </ns0:c>
      <ns0:c r="E39" s="3">
        <ns0:v>1.6146</ns0:v>
      </ns0:c>
      <ns0:c r="F39" s="3">
        <ns0:v>1.7074</ns0:v>
      </ns0:c>
      <ns0:c r="G39" s="3">
        <ns0:v>1.6764</ns0:v>
      </ns0:c>
      <ns0:c r="H39" s="3">
        <ns0:v>1.698</ns0:v>
      </ns0:c>
      <ns0:c r="I39" s="3">
        <ns0:v>1.7116</ns0:v>
      </ns0:c>
      <ns0:c r="J39" s="3">
        <ns0:v>1.7008</ns0:v>
      </ns0:c>
      <ns0:c r="K39" s="3">
        <ns0:v>1.6622</ns0:v>
      </ns0:c>
      <ns0:c r="L39" s="3">
        <ns0:v>1.9679</ns0:v>
      </ns0:c>
      <ns0:c r="M39" s="3">
        <ns0:v>3.8617</ns0:v>
      </ns0:c>
      <ns0:c r="N39" s="3">
        <ns0:v>4.3466</ns0:v>
      </ns0:c>
      <ns0:c r="O39" s="3">
        <ns0:v>3.5883</ns0:v>
      </ns0:c>
      <ns0:c r="P39" s="3">
        <ns0:v>3.5336</ns0:v>
      </ns0:c>
      <ns0:c r="Q39" s="3">
        <ns0:v>2.9955</ns0:v>
      </ns0:c>
      <ns0:c r="R39" s="3">
        <ns0:v>3.7345</ns0:v>
      </ns0:c>
      <ns0:c r="S39" s="3">
        <ns0:v>4.1464</ns0:v>
      </ns0:c>
      <ns0:c r="T39" s="3">
        <ns0:v>4.0946</ns0:v>
      </ns0:c>
      <ns0:c r="U39" s="3">
        <ns0:v>4.0036</ns0:v>
      </ns0:c>
      <ns0:c r="V39" s="3">
        <ns0:v>3.5882</ns0:v>
      </ns0:c>
      <ns0:c r="W39" s="3">
        <ns0:v>2.8842</ns0:v>
      </ns0:c>
      <ns0:c r="X39" s="3">
        <ns0:v>2.9093</ns0:v>
      </ns0:c>
      <ns0:c r="Y39" s="3">
        <ns0:v>2.6142</ns0:v>
      </ns0:c>
      <ns0:c r="Z39" s="3">
        <ns0:v>2.3037</ns0:v>
      </ns0:c>
      <ns0:c r="AA39" s="3">
        <ns0:v>2.0054</ns0:v>
      </ns0:c>
      <ns0:c r="AB39" s="3">
        <ns0:v>1.8193</ns0:v>
      </ns0:c>
    </ns0:row>
    <ns0:row r="40" spans="1:28">
      <ns0:c r="A40" s="4">
        <ns0:v>46004</ns0:v>
      </ns0:c>
      <ns0:c r="B40" s="7"/>
      <ns0:c r="C40" s="2" t="s">
        <ns0:v>36</ns0:v>
      </ns0:c>
      <ns0:c r="D40" s="3">
        <ns0:v>59.038</ns0:v>
      </ns0:c>
      <ns0:c r="E40" s="13">
        <ns0:v>1.932</ns0:v>
      </ns0:c>
      <ns0:c r="F40" s="13">
        <ns0:v>1.735</ns0:v>
      </ns0:c>
      <ns0:c r="G40" s="13">
        <ns0:v>1.695</ns0:v>
      </ns0:c>
      <ns0:c r="H40" s="13">
        <ns0:v>1.667</ns0:v>
      </ns0:c>
      <ns0:c r="I40" s="13">
        <ns0:v>1.332</ns0:v>
      </ns0:c>
      <ns0:c r="J40" s="13">
        <ns0:v>1.353</ns0:v>
      </ns0:c>
      <ns0:c r="K40" s="13">
        <ns0:v>1.336</ns0:v>
      </ns0:c>
      <ns0:c r="L40" s="13">
        <ns0:v>1.709</ns0:v>
      </ns0:c>
      <ns0:c r="M40" s="13">
        <ns0:v>3.369</ns0:v>
      </ns0:c>
      <ns0:c r="N40" s="13">
        <ns0:v>3.203</ns0:v>
      </ns0:c>
      <ns0:c r="O40" s="13">
        <ns0:v>2.716</ns0:v>
      </ns0:c>
      <ns0:c r="P40" s="13">
        <ns0:v>2.635</ns0:v>
      </ns0:c>
      <ns0:c r="Q40" s="13">
        <ns0:v>2.493</ns0:v>
      </ns0:c>
      <ns0:c r="R40" s="13">
        <ns0:v>3.257</ns0:v>
      </ns0:c>
      <ns0:c r="S40" s="13">
        <ns0:v>3.788</ns0:v>
      </ns0:c>
      <ns0:c r="T40" s="13">
        <ns0:v>3.593</ns0:v>
      </ns0:c>
      <ns0:c r="U40" s="13">
        <ns0:v>3.637</ns0:v>
      </ns0:c>
      <ns0:c r="V40" s="13">
        <ns0:v>3.488</ns0:v>
      </ns0:c>
      <ns0:c r="W40" s="13">
        <ns0:v>3.308</ns0:v>
      </ns0:c>
      <ns0:c r="X40" s="13">
        <ns0:v>3.308</ns0:v>
      </ns0:c>
      <ns0:c r="Y40" s="13">
        <ns0:v>2.4</ns0:v>
      </ns0:c>
      <ns0:c r="Z40" s="13">
        <ns0:v>1.986</ns0:v>
      </ns0:c>
      <ns0:c r="AA40" s="13">
        <ns0:v>1.672</ns0:v>
      </ns0:c>
      <ns0:c r="AB40" s="13">
        <ns0:v>1.426</ns0:v>
      </ns0:c>
    </ns0:row>
    <ns0:row r="41" spans="1:28">
      <ns0:c r="A41" s="4">
        <ns0:v>46005</ns0:v>
      </ns0:c>
      <ns0:c r="B41" s="5">
        <ns0:v>17.5356380000001</ns0:v>
      </ns0:c>
      <ns0:c r="C41" s="2" t="s">
        <ns0:v>33</ns0:v>
      </ns0:c>
      <ns0:c r="D41" s="3">
        <ns0:v>45.639502</ns0:v>
      </ns0:c>
      <ns0:c r="E41" s="3">
        <ns0:v>1.747625</ns0:v>
      </ns0:c>
      <ns0:c r="F41" s="3">
        <ns0:v>1.640319</ns0:v>
      </ns0:c>
      <ns0:c r="G41" s="3">
        <ns0:v>1.598133</ns0:v>
      </ns0:c>
      <ns0:c r="H41" s="3">
        <ns0:v>1.521243</ns0:v>
      </ns0:c>
      <ns0:c r="I41" s="3">
        <ns0:v>1.503239</ns0:v>
      </ns0:c>
      <ns0:c r="J41" s="3">
        <ns0:v>1.430445</ns0:v>
      </ns0:c>
      <ns0:c r="K41" s="3">
        <ns0:v>1.387193</ns0:v>
      </ns0:c>
      <ns0:c r="L41" s="3">
        <ns0:v>1.437533</ns0:v>
      </ns0:c>
      <ns0:c r="M41" s="3">
        <ns0:v>2.571926</ns0:v>
      </ns0:c>
      <ns0:c r="N41" s="3">
        <ns0:v>2.824462</ns0:v>
      </ns0:c>
      <ns0:c r="O41" s="3">
        <ns0:v>2.587487</ns0:v>
      </ns0:c>
      <ns0:c r="P41" s="3">
        <ns0:v>2.487601</ns0:v>
      </ns0:c>
      <ns0:c r="Q41" s="3">
        <ns0:v>2.138395</ns0:v>
      </ns0:c>
      <ns0:c r="R41" s="3">
        <ns0:v>2.061174</ns0:v>
      </ns0:c>
      <ns0:c r="S41" s="3">
        <ns0:v>2.614528</ns0:v>
      </ns0:c>
      <ns0:c r="T41" s="3">
        <ns0:v>2.587201</ns0:v>
      </ns0:c>
      <ns0:c r="U41" s="3">
        <ns0:v>2.638707</ns0:v>
      </ns0:c>
      <ns0:c r="V41" s="3">
        <ns0:v>2.40724</ns0:v>
      </ns0:c>
      <ns0:c r="W41" s="3">
        <ns0:v>1.630606</ns0:v>
      </ns0:c>
      <ns0:c r="X41" s="3">
        <ns0:v>1.532549</ns0:v>
      </ns0:c>
      <ns0:c r="Y41" s="3">
        <ns0:v>1.471118</ns0:v>
      </ns0:c>
      <ns0:c r="Z41" s="3">
        <ns0:v>1.339592</ns0:v>
      </ns0:c>
      <ns0:c r="AA41" s="3">
        <ns0:v>1.287412</ns0:v>
      </ns0:c>
      <ns0:c r="AB41" s="3">
        <ns0:v>1.193774</ns0:v>
      </ns0:c>
    </ns0:row>
    <ns0:row r="42" spans="1:28">
      <ns0:c r="A42" s="4">
        <ns0:v>46005</ns0:v>
      </ns0:c>
      <ns0:c r="B42" s="5"/>
      <ns0:c r="C42" s="6" t="s">
        <ns0:v>49</ns0:v>
      </ns0:c>
      <ns0:c r="D42" s="3">
        <ns0:v>42.4005</ns0:v>
      </ns0:c>
      <ns0:c r="E42" s="3">
        <ns0:v>1.5618</ns0:v>
      </ns0:c>
      <ns0:c r="F42" s="3">
        <ns0:v>1.6368</ns0:v>
      </ns0:c>
      <ns0:c r="G42" s="3">
        <ns0:v>1.5986</ns0:v>
      </ns0:c>
      <ns0:c r="H42" s="3">
        <ns0:v>1.531</ns0:v>
      </ns0:c>
      <ns0:c r="I42" s="3">
        <ns0:v>1.5297</ns0:v>
      </ns0:c>
      <ns0:c r="J42" s="3">
        <ns0:v>1.5413</ns0:v>
      </ns0:c>
      <ns0:c r="K42" s="3">
        <ns0:v>1.4599</ns0:v>
      </ns0:c>
      <ns0:c r="L42" s="3">
        <ns0:v>1.5348</ns0:v>
      </ns0:c>
      <ns0:c r="M42" s="3">
        <ns0:v>2.3664</ns0:v>
      </ns0:c>
      <ns0:c r="N42" s="3">
        <ns0:v>2.6402</ns0:v>
      </ns0:c>
      <ns0:c r="O42" s="3">
        <ns0:v>2.1929</ns0:v>
      </ns0:c>
      <ns0:c r="P42" s="3">
        <ns0:v>2.0728</ns0:v>
      </ns0:c>
      <ns0:c r="Q42" s="3">
        <ns0:v>2.0679</ns0:v>
      </ns0:c>
      <ns0:c r="R42" s="3">
        <ns0:v>1.8405</ns0:v>
      </ns0:c>
      <ns0:c r="S42" s="3">
        <ns0:v>2.2484</ns0:v>
      </ns0:c>
      <ns0:c r="T42" s="3">
        <ns0:v>2.1217</ns0:v>
      </ns0:c>
      <ns0:c r="U42" s="3">
        <ns0:v>2.059</ns0:v>
      </ns0:c>
      <ns0:c r="V42" s="3">
        <ns0:v>2.2695</ns0:v>
      </ns0:c>
      <ns0:c r="W42" s="3">
        <ns0:v>1.5669</ns0:v>
      </ns0:c>
      <ns0:c r="X42" s="3">
        <ns0:v>1.5839</ns0:v>
      </ns0:c>
      <ns0:c r="Y42" s="3">
        <ns0:v>1.3528</ns0:v>
      </ns0:c>
      <ns0:c r="Z42" s="3">
        <ns0:v>1.2943</ns0:v>
      </ns0:c>
      <ns0:c r="AA42" s="3">
        <ns0:v>1.1997</ns0:v>
      </ns0:c>
      <ns0:c r="AB42" s="3">
        <ns0:v>1.1297</ns0:v>
      </ns0:c>
    </ns0:row>
    <ns0:row r="43" spans="1:28">
      <ns0:c r="A43" s="4">
        <ns0:v>46005</ns0:v>
      </ns0:c>
      <ns0:c r="B43" s="7"/>
      <ns0:c r="C43" s="2" t="s">
        <ns0:v>36</ns0:v>
      </ns0:c>
      <ns0:c r="D43" s="3">
        <ns0:v>40.935</ns0:v>
      </ns0:c>
      <ns0:c r="E43" s="13">
        <ns0:v>1.748</ns0:v>
      </ns0:c>
      <ns0:c r="F43" s="13">
        <ns0:v>1.476</ns0:v>
      </ns0:c>
      <ns0:c r="G43" s="13">
        <ns0:v>1.438</ns0:v>
      </ns0:c>
      <ns0:c r="H43" s="13">
        <ns0:v>1.369</ns0:v>
      </ns0:c>
      <ns0:c r="I43" s="13">
        <ns0:v>1.353</ns0:v>
      </ns0:c>
      <ns0:c r="J43" s="13">
        <ns0:v>1.287</ns0:v>
      </ns0:c>
      <ns0:c r="K43" s="13">
        <ns0:v>1.248</ns0:v>
      </ns0:c>
      <ns0:c r="L43" s="13">
        <ns0:v>1.294</ns0:v>
      </ns0:c>
      <ns0:c r="M43" s="13">
        <ns0:v>2.315</ns0:v>
      </ns0:c>
      <ns0:c r="N43" s="13">
        <ns0:v>2.542</ns0:v>
      </ns0:c>
      <ns0:c r="O43" s="13">
        <ns0:v>2.07</ns0:v>
      </ns0:c>
      <ns0:c r="P43" s="13">
        <ns0:v>1.99</ns0:v>
      </ns0:c>
      <ns0:c r="Q43" s="13">
        <ns0:v>1.711</ns0:v>
      </ns0:c>
      <ns0:c r="R43" s="13">
        <ns0:v>1.649</ns0:v>
      </ns0:c>
      <ns0:c r="S43" s="13">
        <ns0:v>2.092</ns0:v>
      </ns0:c>
      <ns0:c r="T43" s="13">
        <ns0:v>2.07</ns0:v>
      </ns0:c>
      <ns0:c r="U43" s="13">
        <ns0:v>2.111</ns0:v>
      </ns0:c>
      <ns0:c r="V43" s="13">
        <ns0:v>2.648</ns0:v>
      </ns0:c>
      <ns0:c r="W43" s="13">
        <ns0:v>1.794</ns0:v>
      </ns0:c>
      <ns0:c r="X43" s="13">
        <ns0:v>1.686</ns0:v>
      </ns0:c>
      <ns0:c r="Y43" s="13">
        <ns0:v>1.471</ns0:v>
      </ns0:c>
      <ns0:c r="Z43" s="13">
        <ns0:v>1.34</ns0:v>
      </ns0:c>
      <ns0:c r="AA43" s="13">
        <ns0:v>1.159</ns0:v>
      </ns0:c>
      <ns0:c r="AB43" s="13">
        <ns0:v>1.074</ns0:v>
      </ns0:c>
    </ns0:row>
    <ns0:row r="44" spans="1:28">
      <ns0:c r="A44" s="4">
        <ns0:v>46006</ns0:v>
      </ns0:c>
      <ns0:c r="B44" s="5">
        <ns0:v>491.524199</ns0:v>
      </ns0:c>
      <ns0:c r="C44" s="2" t="s">
        <ns0:v>33</ns0:v>
      </ns0:c>
      <ns0:c r="D44" s="3">
        <ns0:v>55.529916</ns0:v>
      </ns0:c>
      <ns0:c r="E44" s="3">
        <ns0:v>1.19827</ns0:v>
      </ns0:c>
      <ns0:c r="F44" s="3">
        <ns0:v>1.2254</ns0:v>
      </ns0:c>
      <ns0:c r="G44" s="3">
        <ns0:v>1.21128</ns0:v>
      </ns0:c>
      <ns0:c r="H44" s="3">
        <ns0:v>1.161875</ns0:v>
      </ns0:c>
      <ns0:c r="I44" s="3">
        <ns0:v>1.131138</ns0:v>
      </ns0:c>
      <ns0:c r="J44" s="3">
        <ns0:v>1.14215</ns0:v>
      </ns0:c>
      <ns0:c r="K44" s="3">
        <ns0:v>1.15445</ns0:v>
      </ns0:c>
      <ns0:c r="L44" s="3">
        <ns0:v>1.58434</ns0:v>
      </ns0:c>
      <ns0:c r="M44" s="3">
        <ns0:v>3.176867</ns0:v>
      </ns0:c>
      <ns0:c r="N44" s="3">
        <ns0:v>3.599899</ns0:v>
      </ns0:c>
      <ns0:c r="O44" s="3">
        <ns0:v>2.964027</ns0:v>
      </ns0:c>
      <ns0:c r="P44" s="3">
        <ns0:v>2.87244</ns0:v>
      </ns0:c>
      <ns0:c r="Q44" s="3">
        <ns0:v>2.457758</ns0:v>
      </ns0:c>
      <ns0:c r="R44" s="3">
        <ns0:v>2.906188</ns0:v>
      </ns0:c>
      <ns0:c r="S44" s="3">
        <ns0:v>3.391506</ns0:v>
      </ns0:c>
      <ns0:c r="T44" s="3">
        <ns0:v>3.259616</ns0:v>
      </ns0:c>
      <ns0:c r="U44" s="3">
        <ns0:v>3.452377</ns0:v>
      </ns0:c>
      <ns0:c r="V44" s="3">
        <ns0:v>3.363339</ns0:v>
      </ns0:c>
      <ns0:c r="W44" s="3">
        <ns0:v>3.043086</ns0:v>
      </ns0:c>
      <ns0:c r="X44" s="3">
        <ns0:v>3.06594</ns0:v>
      </ns0:c>
      <ns0:c r="Y44" s="3">
        <ns0:v>2.67588</ns0:v>
      </ns0:c>
      <ns0:c r="Z44" s="3">
        <ns0:v>2.26205</ns0:v>
      </ns0:c>
      <ns0:c r="AA44" s="3">
        <ns0:v>1.744325</ns0:v>
      </ns0:c>
      <ns0:c r="AB44" s="3">
        <ns0:v>1.485715</ns0:v>
      </ns0:c>
    </ns0:row>
    <ns0:row r="45" spans="1:28">
      <ns0:c r="A45" s="4">
        <ns0:v>46006</ns0:v>
      </ns0:c>
      <ns0:c r="B45" s="5"/>
      <ns0:c r="C45" s="6" t="s">
        <ns0:v>49</ns0:v>
      </ns0:c>
      <ns0:c r="D45" s="3">
        <ns0:v>59.9772</ns0:v>
      </ns0:c>
      <ns0:c r="E45" s="3">
        <ns0:v>1.1308</ns0:v>
      </ns0:c>
      <ns0:c r="F45" s="3">
        <ns0:v>1.2561</ns0:v>
      </ns0:c>
      <ns0:c r="G45" s="3">
        <ns0:v>1.2381</ns0:v>
      </ns0:c>
      <ns0:c r="H45" s="3">
        <ns0:v>1.1965</ns0:v>
      </ns0:c>
      <ns0:c r="I45" s="3">
        <ns0:v>1.1396</ns0:v>
      </ns0:c>
      <ns0:c r="J45" s="3">
        <ns0:v>1.1342</ns0:v>
      </ns0:c>
      <ns0:c r="K45" s="3">
        <ns0:v>1.1108</ns0:v>
      </ns0:c>
      <ns0:c r="L45" s="3">
        <ns0:v>1.6247</ns0:v>
      </ns0:c>
      <ns0:c r="M45" s="3">
        <ns0:v>3.5588</ns0:v>
      </ns0:c>
      <ns0:c r="N45" s="3">
        <ns0:v>3.8807</ns0:v>
      </ns0:c>
      <ns0:c r="O45" s="3">
        <ns0:v>3.2952</ns0:v>
      </ns0:c>
      <ns0:c r="P45" s="3">
        <ns0:v>3.1977</ns0:v>
      </ns0:c>
      <ns0:c r="Q45" s="3">
        <ns0:v>2.7299</ns0:v>
      </ns0:c>
      <ns0:c r="R45" s="3">
        <ns0:v>3.2712</ns0:v>
      </ns0:c>
      <ns0:c r="S45" s="3">
        <ns0:v>3.8964</ns0:v>
      </ns0:c>
      <ns0:c r="T45" s="3">
        <ns0:v>3.693</ns0:v>
      </ns0:c>
      <ns0:c r="U45" s="3">
        <ns0:v>3.8123</ns0:v>
      </ns0:c>
      <ns0:c r="V45" s="3">
        <ns0:v>3.5562</ns0:v>
      </ns0:c>
      <ns0:c r="W45" s="3">
        <ns0:v>3.2864</ns0:v>
      </ns0:c>
      <ns0:c r="X45" s="3">
        <ns0:v>3.386</ns0:v>
      </ns0:c>
      <ns0:c r="Y45" s="3">
        <ns0:v>2.8095</ns0:v>
      </ns0:c>
      <ns0:c r="Z45" s="3">
        <ns0:v>2.3117</ns0:v>
      </ns0:c>
      <ns0:c r="AA45" s="3">
        <ns0:v>1.8959</ns0:v>
      </ns0:c>
      <ns0:c r="AB45" s="3">
        <ns0:v>1.5655</ns0:v>
      </ns0:c>
    </ns0:row>
    <ns0:row r="46" spans="1:28">
      <ns0:c r="A46" s="4">
        <ns0:v>46006</ns0:v>
      </ns0:c>
      <ns0:c r="B46" s="7"/>
      <ns0:c r="C46" s="2" t="s">
        <ns0:v>36</ns0:v>
      </ns0:c>
      <ns0:c r="D46" s="3">
        <ns0:v>50.247</ns0:v>
      </ns0:c>
      <ns0:c r="E46" s="13">
        <ns0:v>1.318</ns0:v>
      </ns0:c>
      <ns0:c r="F46" s="13">
        <ns0:v>1.103</ns0:v>
      </ns0:c>
      <ns0:c r="G46" s="13">
        <ns0:v>1.09</ns0:v>
      </ns0:c>
      <ns0:c r="H46" s="13">
        <ns0:v>1.046</ns0:v>
      </ns0:c>
      <ns0:c r="I46" s="13">
        <ns0:v>1.018</ns0:v>
      </ns0:c>
      <ns0:c r="J46" s="13">
        <ns0:v>1.028</ns0:v>
      </ns0:c>
      <ns0:c r="K46" s="13">
        <ns0:v>0.924</ns0:v>
      </ns0:c>
      <ns0:c r="L46" s="13">
        <ns0:v>1.426</ns0:v>
      </ns0:c>
      <ns0:c r="M46" s="13">
        <ns0:v>2.859</ns0:v>
      </ns0:c>
      <ns0:c r="N46" s="13">
        <ns0:v>3.24</ns0:v>
      </ns0:c>
      <ns0:c r="O46" s="13">
        <ns0:v>2.371</ns0:v>
      </ns0:c>
      <ns0:c r="P46" s="13">
        <ns0:v>2.298</ns0:v>
      </ns0:c>
      <ns0:c r="Q46" s="13">
        <ns0:v>1.966</ns0:v>
      </ns0:c>
      <ns0:c r="R46" s="13">
        <ns0:v>2.325</ns0:v>
      </ns0:c>
      <ns0:c r="S46" s="13">
        <ns0:v>2.713</ns0:v>
      </ns0:c>
      <ns0:c r="T46" s="13">
        <ns0:v>2.608</ns0:v>
      </ns0:c>
      <ns0:c r="U46" s="13">
        <ns0:v>3.452</ns0:v>
      </ns0:c>
      <ns0:c r="V46" s="13">
        <ns0:v>3.7</ns0:v>
      </ns0:c>
      <ns0:c r="W46" s="13">
        <ns0:v>3.652</ns0:v>
      </ns0:c>
      <ns0:c r="X46" s="13">
        <ns0:v>2.759</ns0:v>
      </ns0:c>
      <ns0:c r="Y46" s="13">
        <ns0:v>2.408</ns0:v>
      </ns0:c>
      <ns0:c r="Z46" s="13">
        <ns0:v>2.036</ns0:v>
      </ns0:c>
      <ns0:c r="AA46" s="13">
        <ns0:v>1.57</ns0:v>
      </ns0:c>
      <ns0:c r="AB46" s="13">
        <ns0:v>1.337</ns0:v>
      </ns0:c>
    </ns0:row>
    <ns0:row r="47" spans="1:28">
      <ns0:c r="A47" s="4">
        <ns0:v>46007</ns0:v>
      </ns0:c>
      <ns0:c r="B47" s="5">
        <ns0:v>283.1133656</ns0:v>
      </ns0:c>
      <ns0:c r="C47" s="2" t="s">
        <ns0:v>33</ns0:v>
      </ns0:c>
      <ns0:c r="D47" s="3">
        <ns0:v>58.045394</ns0:v>
      </ns0:c>
      <ns0:c r="E47" s="3">
        <ns0:v>1.39792</ns0:v>
      </ns0:c>
      <ns0:c r="F47" s="3">
        <ns0:v>1.43711</ns0:v>
      </ns0:c>
      <ns0:c r="G47" s="3">
        <ns0:v>1.39234</ns0:v>
      </ns0:c>
      <ns0:c r="H47" s="3">
        <ns0:v>1.35909</ns0:v>
      </ns0:c>
      <ns0:c r="I47" s="3">
        <ns0:v>1.370507</ns0:v>
      </ns0:c>
      <ns0:c r="J47" s="3">
        <ns0:v>1.392745</ns0:v>
      </ns0:c>
      <ns0:c r="K47" s="3">
        <ns0:v>1.33567</ns0:v>
      </ns0:c>
      <ns0:c r="L47" s="3">
        <ns0:v>1.70687</ns0:v>
      </ns0:c>
      <ns0:c r="M47" s="3">
        <ns0:v>3.433644</ns0:v>
      </ns0:c>
      <ns0:c r="N47" s="3">
        <ns0:v>3.649946</ns0:v>
      </ns0:c>
      <ns0:c r="O47" s="3">
        <ns0:v>3.210713</ns0:v>
      </ns0:c>
      <ns0:c r="P47" s="3">
        <ns0:v>3.031423</ns0:v>
      </ns0:c>
      <ns0:c r="Q47" s="3">
        <ns0:v>2.420131</ns0:v>
      </ns0:c>
      <ns0:c r="R47" s="3">
        <ns0:v>2.900372</ns0:v>
      </ns0:c>
      <ns0:c r="S47" s="3">
        <ns0:v>3.480426</ns0:v>
      </ns0:c>
      <ns0:c r="T47" s="3">
        <ns0:v>3.344096</ns0:v>
      </ns0:c>
      <ns0:c r="U47" s="3">
        <ns0:v>3.469756</ns0:v>
      </ns0:c>
      <ns0:c r="V47" s="3">
        <ns0:v>3.40105</ns0:v>
      </ns0:c>
      <ns0:c r="W47" s="3">
        <ns0:v>3.039843</ns0:v>
      </ns0:c>
      <ns0:c r="X47" s="3">
        <ns0:v>3.096264</ns0:v>
      </ns0:c>
      <ns0:c r="Y47" s="3">
        <ns0:v>2.691354</ns0:v>
      </ns0:c>
      <ns0:c r="Z47" s="3">
        <ns0:v>2.224924</ns0:v>
      </ns0:c>
      <ns0:c r="AA47" s="3">
        <ns0:v>1.751006</ns0:v>
      </ns0:c>
      <ns0:c r="AB47" s="3">
        <ns0:v>1.508194</ns0:v>
      </ns0:c>
    </ns0:row>
    <ns0:row r="48" spans="1:28">
      <ns0:c r="A48" s="4">
        <ns0:v>46007</ns0:v>
      </ns0:c>
      <ns0:c r="B48" s="5"/>
      <ns0:c r="C48" s="6" t="s">
        <ns0:v>49</ns0:v>
      </ns0:c>
      <ns0:c r="D48" s="3">
        <ns0:v>63.7332</ns0:v>
      </ns0:c>
      <ns0:c r="E48" s="3">
        <ns0:v>1.5793</ns0:v>
      </ns0:c>
      <ns0:c r="F48" s="3">
        <ns0:v>1.5397</ns0:v>
      </ns0:c>
      <ns0:c r="G48" s="3">
        <ns0:v>1.4509</ns0:v>
      </ns0:c>
      <ns0:c r="H48" s="3">
        <ns0:v>1.4609</ns0:v>
      </ns0:c>
      <ns0:c r="I48" s="3">
        <ns0:v>1.4252</ns0:v>
      </ns0:c>
      <ns0:c r="J48" s="3">
        <ns0:v>1.4746</ns0:v>
      </ns0:c>
      <ns0:c r="K48" s="3">
        <ns0:v>1.4335</ns0:v>
      </ns0:c>
      <ns0:c r="L48" s="3">
        <ns0:v>1.9513</ns0:v>
      </ns0:c>
      <ns0:c r="M48" s="3">
        <ns0:v>3.8755</ns0:v>
      </ns0:c>
      <ns0:c r="N48" s="3">
        <ns0:v>4.0091</ns0:v>
      </ns0:c>
      <ns0:c r="O48" s="3">
        <ns0:v>3.3842</ns0:v>
      </ns0:c>
      <ns0:c r="P48" s="3">
        <ns0:v>3.2806</ns0:v>
      </ns0:c>
      <ns0:c r="Q48" s="3">
        <ns0:v>2.738</ns0:v>
      </ns0:c>
      <ns0:c r="R48" s="3">
        <ns0:v>3.2293</ns0:v>
      </ns0:c>
      <ns0:c r="S48" s="3">
        <ns0:v>3.8041</ns0:v>
      </ns0:c>
      <ns0:c r="T48" s="3">
        <ns0:v>3.7353</ns0:v>
      </ns0:c>
      <ns0:c r="U48" s="3">
        <ns0:v>3.8959</ns0:v>
      </ns0:c>
      <ns0:c r="V48" s="3">
        <ns0:v>3.6179</ns0:v>
      </ns0:c>
      <ns0:c r="W48" s="3">
        <ns0:v>3.2504</ns0:v>
      </ns0:c>
      <ns0:c r="X48" s="3">
        <ns0:v>3.4123</ns0:v>
      </ns0:c>
      <ns0:c r="Y48" s="3">
        <ns0:v>3.0077</ns0:v>
      </ns0:c>
      <ns0:c r="Z48" s="3">
        <ns0:v>2.5158</ns0:v>
      </ns0:c>
      <ns0:c r="AA48" s="3">
        <ns0:v>2.0067</ns0:v>
      </ns0:c>
      <ns0:c r="AB48" s="3">
        <ns0:v>1.655</ns0:v>
      </ns0:c>
    </ns0:row>
    <ns0:row r="49" spans="1:28">
      <ns0:c r="A49" s="4">
        <ns0:v>46007</ns0:v>
      </ns0:c>
      <ns0:c r="B49" s="7"/>
      <ns0:c r="C49" s="2" t="s">
        <ns0:v>36</ns0:v>
      </ns0:c>
      <ns0:c r="D49" s="3">
        <ns0:v>52.964</ns0:v>
      </ns0:c>
      <ns0:c r="E49" s="13">
        <ns0:v>1.398</ns0:v>
      </ns0:c>
      <ns0:c r="F49" s="13">
        <ns0:v>1.293</ns0:v>
      </ns0:c>
      <ns0:c r="G49" s="13">
        <ns0:v>1.253</ns0:v>
      </ns0:c>
      <ns0:c r="H49" s="13">
        <ns0:v>1.223</ns0:v>
      </ns0:c>
      <ns0:c r="I49" s="13">
        <ns0:v>1.233</ns0:v>
      </ns0:c>
      <ns0:c r="J49" s="13">
        <ns0:v>1.253</ns0:v>
      </ns0:c>
      <ns0:c r="K49" s="13">
        <ns0:v>1.069</ns0:v>
      </ns0:c>
      <ns0:c r="L49" s="13">
        <ns0:v>1.536</ns0:v>
      </ns0:c>
      <ns0:c r="M49" s="13">
        <ns0:v>3.09</ns0:v>
      </ns0:c>
      <ns0:c r="N49" s="13">
        <ns0:v>3.285</ns0:v>
      </ns0:c>
      <ns0:c r="O49" s="13">
        <ns0:v>2.569</ns0:v>
      </ns0:c>
      <ns0:c r="P49" s="13">
        <ns0:v>2.425</ns0:v>
      </ns0:c>
      <ns0:c r="Q49" s="13">
        <ns0:v>1.936</ns0:v>
      </ns0:c>
      <ns0:c r="R49" s="13">
        <ns0:v>2.32</ns0:v>
      </ns0:c>
      <ns0:c r="S49" s="13">
        <ns0:v>2.784</ns0:v>
      </ns0:c>
      <ns0:c r="T49" s="13">
        <ns0:v>2.675</ns0:v>
      </ns0:c>
      <ns0:c r="U49" s="13">
        <ns0:v>3.47</ns0:v>
      </ns0:c>
      <ns0:c r="V49" s="13">
        <ns0:v>3.741</ns0:v>
      </ns0:c>
      <ns0:c r="W49" s="13">
        <ns0:v>3.648</ns0:v>
      </ns0:c>
      <ns0:c r="X49" s="13">
        <ns0:v>3.406</ns0:v>
      </ns0:c>
      <ns0:c r="Y49" s="13">
        <ns0:v>2.422</ns0:v>
      </ns0:c>
      <ns0:c r="Z49" s="13">
        <ns0:v>2.002</ns0:v>
      </ns0:c>
      <ns0:c r="AA49" s="13">
        <ns0:v>1.576</ns0:v>
      </ns0:c>
      <ns0:c r="AB49" s="13">
        <ns0:v>1.357</ns0:v>
      </ns0:c>
    </ns0:row>
    <ns0:row r="50" spans="1:28">
      <ns0:c r="A50" s="4">
        <ns0:v>46008</ns0:v>
      </ns0:c>
      <ns0:c r="B50" s="5">
        <ns0:v>190.6826374</ns0:v>
      </ns0:c>
      <ns0:c r="C50" s="2" t="s">
        <ns0:v>33</ns0:v>
      </ns0:c>
      <ns0:c r="D50" s="3">
        <ns0:v>52.536572</ns0:v>
      </ns0:c>
      <ns0:c r="E50" s="3">
        <ns0:v>1.278152</ns0:v>
      </ns0:c>
      <ns0:c r="F50" s="3">
        <ns0:v>1.299629</ns0:v>
      </ns0:c>
      <ns0:c r="G50" s="3">
        <ns0:v>1.285434</ns0:v>
      </ns0:c>
      <ns0:c r="H50" s="3">
        <ns0:v>1.253921</ns0:v>
      </ns0:c>
      <ns0:c r="I50" s="3">
        <ns0:v>1.281964</ns0:v>
      </ns0:c>
      <ns0:c r="J50" s="3">
        <ns0:v>1.335864</ns0:v>
      </ns0:c>
      <ns0:c r="K50" s="3">
        <ns0:v>1.276144</ns0:v>
      </ns0:c>
      <ns0:c r="L50" s="3">
        <ns0:v>1.655024</ns0:v>
      </ns0:c>
      <ns0:c r="M50" s="3">
        <ns0:v>3.106994</ns0:v>
      </ns0:c>
      <ns0:c r="N50" s="3">
        <ns0:v>3.323024</ns0:v>
      </ns0:c>
      <ns0:c r="O50" s="3">
        <ns0:v>2.853901</ns0:v>
      </ns0:c>
      <ns0:c r="P50" s="3">
        <ns0:v>2.806078</ns0:v>
      </ns0:c>
      <ns0:c r="Q50" s="3">
        <ns0:v>2.211387</ns0:v>
      </ns0:c>
      <ns0:c r="R50" s="3">
        <ns0:v>2.622761</ns0:v>
      </ns0:c>
      <ns0:c r="S50" s="3">
        <ns0:v>3.145498</ns0:v>
      </ns0:c>
      <ns0:c r="T50" s="3">
        <ns0:v>3.067843</ns0:v>
      </ns0:c>
      <ns0:c r="U50" s="3">
        <ns0:v>3.183347</ns0:v>
      </ns0:c>
      <ns0:c r="V50" s="3">
        <ns0:v>2.961783</ns0:v>
      </ns0:c>
      <ns0:c r="W50" s="3">
        <ns0:v>2.588489</ns0:v>
      </ns0:c>
      <ns0:c r="X50" s="3">
        <ns0:v>2.727475</ns0:v>
      </ns0:c>
      <ns0:c r="Y50" s="3">
        <ns0:v>2.34684</ns0:v>
      </ns0:c>
      <ns0:c r="Z50" s="3">
        <ns0:v>1.98681</ns0:v>
      </ns0:c>
      <ns0:c r="AA50" s="3">
        <ns0:v>1.616005</ns0:v>
      </ns0:c>
      <ns0:c r="AB50" s="3">
        <ns0:v>1.322205</ns0:v>
      </ns0:c>
    </ns0:row>
    <ns0:row r="51" spans="1:28">
      <ns0:c r="A51" s="4">
        <ns0:v>46008</ns0:v>
      </ns0:c>
      <ns0:c r="B51" s="5"/>
      <ns0:c r="C51" s="6" t="s">
        <ns0:v>49</ns0:v>
      </ns0:c>
      <ns0:c r="D51" s="3">
        <ns0:v>67.101</ns0:v>
      </ns0:c>
      <ns0:c r="E51" s="3">
        <ns0:v>1.6909</ns0:v>
      </ns0:c>
      <ns0:c r="F51" s="3">
        <ns0:v>1.7109</ns0:v>
      </ns0:c>
      <ns0:c r="G51" s="3">
        <ns0:v>1.7308</ns0:v>
      </ns0:c>
      <ns0:c r="H51" s="3">
        <ns0:v>1.7888</ns0:v>
      </ns0:c>
      <ns0:c r="I51" s="3">
        <ns0:v>1.7353</ns0:v>
      </ns0:c>
      <ns0:c r="J51" s="3">
        <ns0:v>1.6373</ns0:v>
      </ns0:c>
      <ns0:c r="K51" s="3">
        <ns0:v>1.527</ns0:v>
      </ns0:c>
      <ns0:c r="L51" s="3">
        <ns0:v>1.9531</ns0:v>
      </ns0:c>
      <ns0:c r="M51" s="3">
        <ns0:v>4.0147</ns0:v>
      </ns0:c>
      <ns0:c r="N51" s="3">
        <ns0:v>4.1669</ns0:v>
      </ns0:c>
      <ns0:c r="O51" s="3">
        <ns0:v>3.5606</ns0:v>
      </ns0:c>
      <ns0:c r="P51" s="3">
        <ns0:v>3.4377</ns0:v>
      </ns0:c>
      <ns0:c r="Q51" s="3">
        <ns0:v>2.799</ns0:v>
      </ns0:c>
      <ns0:c r="R51" s="3">
        <ns0:v>3.3643</ns0:v>
      </ns0:c>
      <ns0:c r="S51" s="3">
        <ns0:v>3.8725</ns0:v>
      </ns0:c>
      <ns0:c r="T51" s="3">
        <ns0:v>3.7113</ns0:v>
      </ns0:c>
      <ns0:c r="U51" s="3">
        <ns0:v>3.946</ns0:v>
      </ns0:c>
      <ns0:c r="V51" s="3">
        <ns0:v>3.7151</ns0:v>
      </ns0:c>
      <ns0:c r="W51" s="3">
        <ns0:v>3.506</ns0:v>
      </ns0:c>
      <ns0:c r="X51" s="3">
        <ns0:v>3.5549</ns0:v>
      </ns0:c>
      <ns0:c r="Y51" s="3">
        <ns0:v>3.1656</ns0:v>
      </ns0:c>
      <ns0:c r="Z51" s="3">
        <ns0:v>2.5897</ns0:v>
      </ns0:c>
      <ns0:c r="AA51" s="3">
        <ns0:v>2.0592</ns0:v>
      </ns0:c>
      <ns0:c r="AB51" s="3">
        <ns0:v>1.8634</ns0:v>
      </ns0:c>
    </ns0:row>
    <ns0:row r="52" spans="1:28">
      <ns0:c r="A52" s="4">
        <ns0:v>46008</ns0:v>
      </ns0:c>
      <ns0:c r="B52" s="7"/>
      <ns0:c r="C52" s="2" t="s">
        <ns0:v>36</ns0:v>
      </ns0:c>
      <ns0:c r="D52" s="3">
        <ns0:v>46.88</ns0:v>
      </ns0:c>
      <ns0:c r="E52" s="13">
        <ns0:v>1.278</ns0:v>
      </ns0:c>
      <ns0:c r="F52" s="13">
        <ns0:v>1.17</ns0:v>
      </ns0:c>
      <ns0:c r="G52" s="13">
        <ns0:v>1.157</ns0:v>
      </ns0:c>
      <ns0:c r="H52" s="13">
        <ns0:v>1.003</ns0:v>
      </ns0:c>
      <ns0:c r="I52" s="13">
        <ns0:v>1.026</ns0:v>
      </ns0:c>
      <ns0:c r="J52" s="13">
        <ns0:v>1.069</ns0:v>
      </ns0:c>
      <ns0:c r="K52" s="13">
        <ns0:v>1.021</ns0:v>
      </ns0:c>
      <ns0:c r="L52" s="13">
        <ns0:v>1.49</ns0:v>
      </ns0:c>
      <ns0:c r="M52" s="13">
        <ns0:v>2.796</ns0:v>
      </ns0:c>
      <ns0:c r="N52" s="13">
        <ns0:v>2.991</ns0:v>
      </ns0:c>
      <ns0:c r="O52" s="13">
        <ns0:v>2.283</ns0:v>
      </ns0:c>
      <ns0:c r="P52" s="13">
        <ns0:v>2.245</ns0:v>
      </ns0:c>
      <ns0:c r="Q52" s="13">
        <ns0:v>1.769</ns0:v>
      </ns0:c>
      <ns0:c r="R52" s="13">
        <ns0:v>2.098</ns0:v>
      </ns0:c>
      <ns0:c r="S52" s="13">
        <ns0:v>2.516</ns0:v>
      </ns0:c>
      <ns0:c r="T52" s="13">
        <ns0:v>2.454</ns0:v>
      </ns0:c>
      <ns0:c r="U52" s="13">
        <ns0:v>2.865</ns0:v>
      </ns0:c>
      <ns0:c r="V52" s="13">
        <ns0:v>3.258</ns0:v>
      </ns0:c>
      <ns0:c r="W52" s="13">
        <ns0:v>2.847</ns0:v>
      </ns0:c>
      <ns0:c r="X52" s="13">
        <ns0:v>3</ns0:v>
      </ns0:c>
      <ns0:c r="Y52" s="13">
        <ns0:v>2.112</ns0:v>
      </ns0:c>
      <ns0:c r="Z52" s="13">
        <ns0:v>1.788</ns0:v>
      </ns0:c>
      <ns0:c r="AA52" s="13">
        <ns0:v>1.454</ns0:v>
      </ns0:c>
      <ns0:c r="AB52" s="13">
        <ns0:v>1.19</ns0:v>
      </ns0:c>
    </ns0:row>
    <ns0:row r="53" spans="1:28">
      <ns0:c r="A53" s="4">
        <ns0:v>46009</ns0:v>
      </ns0:c>
      <ns0:c r="B53" s="5">
        <ns0:v>-18.4499819999999</ns0:v>
      </ns0:c>
      <ns0:c r="C53" s="2" t="s">
        <ns0:v>33</ns0:v>
      </ns0:c>
      <ns0:c r="D53" s="3">
        <ns0:v>66.531776</ns0:v>
      </ns0:c>
      <ns0:c r="E53" s="3">
        <ns0:v>1.61084</ns0:v>
      </ns0:c>
      <ns0:c r="F53" s="3">
        <ns0:v>1.680887</ns0:v>
      </ns0:c>
      <ns0:c r="G53" s="3">
        <ns0:v>1.59306</ns0:v>
      </ns0:c>
      <ns0:c r="H53" s="3">
        <ns0:v>1.64758</ns0:v>
      </ns0:c>
      <ns0:c r="I53" s="3">
        <ns0:v>1.601123</ns0:v>
      </ns0:c>
      <ns0:c r="J53" s="3">
        <ns0:v>1.59799</ns0:v>
      </ns0:c>
      <ns0:c r="K53" s="3">
        <ns0:v>1.55725</ns0:v>
      </ns0:c>
      <ns0:c r="L53" s="3">
        <ns0:v>1.927957</ns0:v>
      </ns0:c>
      <ns0:c r="M53" s="3">
        <ns0:v>3.975181</ns0:v>
      </ns0:c>
      <ns0:c r="N53" s="3">
        <ns0:v>4.355793</ns0:v>
      </ns0:c>
      <ns0:c r="O53" s="3">
        <ns0:v>3.746888</ns0:v>
      </ns0:c>
      <ns0:c r="P53" s="3">
        <ns0:v>3.446919</ns0:v>
      </ns0:c>
      <ns0:c r="Q53" s="3">
        <ns0:v>2.779755</ns0:v>
      </ns0:c>
      <ns0:c r="R53" s="3">
        <ns0:v>3.300259</ns0:v>
      </ns0:c>
      <ns0:c r="S53" s="3">
        <ns0:v>4.006235</ns0:v>
      </ns0:c>
      <ns0:c r="T53" s="3">
        <ns0:v>3.815138</ns0:v>
      </ns0:c>
      <ns0:c r="U53" s="3">
        <ns0:v>4.052192</ns0:v>
      </ns0:c>
      <ns0:c r="V53" s="3">
        <ns0:v>3.809126</ns0:v>
      </ns0:c>
      <ns0:c r="W53" s="3">
        <ns0:v>3.380646</ns0:v>
      </ns0:c>
      <ns0:c r="X53" s="3">
        <ns0:v>3.495052</ns0:v>
      </ns0:c>
      <ns0:c r="Y53" s="3">
        <ns0:v>3.02981</ns0:v>
      </ns0:c>
      <ns0:c r="Z53" s="3">
        <ns0:v>2.46942</ns0:v>
      </ns0:c>
      <ns0:c r="AA53" s="3">
        <ns0:v>1.952955</ns0:v>
      </ns0:c>
      <ns0:c r="AB53" s="3">
        <ns0:v>1.69972</ns0:v>
      </ns0:c>
    </ns0:row>
    <ns0:row r="54" spans="1:28">
      <ns0:c r="A54" s="4">
        <ns0:v>46009</ns0:v>
      </ns0:c>
      <ns0:c r="B54" s="5"/>
      <ns0:c r="C54" s="6" t="s">
        <ns0:v>49</ns0:v>
      </ns0:c>
      <ns0:c r="D54" s="3">
        <ns0:v>68.2237</ns0:v>
      </ns0:c>
      <ns0:c r="E54" s="3">
        <ns0:v>1.8796</ns0:v>
      </ns0:c>
      <ns0:c r="F54" s="3">
        <ns0:v>1.9074</ns0:v>
      </ns0:c>
      <ns0:c r="G54" s="3">
        <ns0:v>1.879</ns0:v>
      </ns0:c>
      <ns0:c r="H54" s="3">
        <ns0:v>1.8632</ns0:v>
      </ns0:c>
      <ns0:c r="I54" s="3">
        <ns0:v>1.8232</ns0:v>
      </ns0:c>
      <ns0:c r="J54" s="3">
        <ns0:v>1.8105</ns0:v>
      </ns0:c>
      <ns0:c r="K54" s="3">
        <ns0:v>1.7297</ns0:v>
      </ns0:c>
      <ns0:c r="L54" s="3">
        <ns0:v>2.1007</ns0:v>
      </ns0:c>
      <ns0:c r="M54" s="3">
        <ns0:v>3.9442</ns0:v>
      </ns0:c>
      <ns0:c r="N54" s="3">
        <ns0:v>4.0941</ns0:v>
      </ns0:c>
      <ns0:c r="O54" s="3">
        <ns0:v>3.4234</ns0:v>
      </ns0:c>
      <ns0:c r="P54" s="3">
        <ns0:v>3.2998</ns0:v>
      </ns0:c>
      <ns0:c r="Q54" s="3">
        <ns0:v>2.7068</ns0:v>
      </ns0:c>
      <ns0:c r="R54" s="3">
        <ns0:v>3.3488</ns0:v>
      </ns0:c>
      <ns0:c r="S54" s="3">
        <ns0:v>4.0085</ns0:v>
      </ns0:c>
      <ns0:c r="T54" s="3">
        <ns0:v>3.8214</ns0:v>
      </ns0:c>
      <ns0:c r="U54" s="3">
        <ns0:v>3.9916</ns0:v>
      </ns0:c>
      <ns0:c r="V54" s="3">
        <ns0:v>3.832</ns0:v>
      </ns0:c>
      <ns0:c r="W54" s="3">
        <ns0:v>3.4581</ns0:v>
      </ns0:c>
      <ns0:c r="X54" s="3">
        <ns0:v>3.7546</ns0:v>
      </ns0:c>
      <ns0:c r="Y54" s="3">
        <ns0:v>3.2017</ns0:v>
      </ns0:c>
      <ns0:c r="Z54" s="3">
        <ns0:v>2.5682</ns0:v>
      </ns0:c>
      <ns0:c r="AA54" s="3">
        <ns0:v>1.9114</ns0:v>
      </ns0:c>
      <ns0:c r="AB54" s="3">
        <ns0:v>1.8658</ns0:v>
      </ns0:c>
    </ns0:row>
    <ns0:row r="55" spans="1:28">
      <ns0:c r="A55" s="4">
        <ns0:v>46009</ns0:v>
      </ns0:c>
      <ns0:c r="B55" s="7"/>
      <ns0:c r="C55" s="2" t="s">
        <ns0:v>36</ns0:v>
      </ns0:c>
      <ns0:c r="D55" s="3">
        <ns0:v>63.46</ns0:v>
      </ns0:c>
      <ns0:c r="E55" s="13">
        <ns0:v>1.45</ns0:v>
      </ns0:c>
      <ns0:c r="F55" s="13">
        <ns0:v>1.513</ns0:v>
      </ns0:c>
      <ns0:c r="G55" s="13">
        <ns0:v>1.434</ns0:v>
      </ns0:c>
      <ns0:c r="H55" s="13">
        <ns0:v>1.483</ns0:v>
      </ns0:c>
      <ns0:c r="I55" s="13">
        <ns0:v>1.441</ns0:v>
      </ns0:c>
      <ns0:c r="J55" s="13">
        <ns0:v>1.278</ns0:v>
      </ns0:c>
      <ns0:c r="K55" s="13">
        <ns0:v>1.246</ns0:v>
      </ns0:c>
      <ns0:c r="L55" s="13">
        <ns0:v>1.735</ns0:v>
      </ns0:c>
      <ns0:c r="M55" s="13">
        <ns0:v>4.373</ns0:v>
      </ns0:c>
      <ns0:c r="N55" s="13">
        <ns0:v>5.227</ns0:v>
      </ns0:c>
      <ns0:c r="O55" s="13">
        <ns0:v>4.122</ns0:v>
      </ns0:c>
      <ns0:c r="P55" s="13">
        <ns0:v>3.102</ns0:v>
      </ns0:c>
      <ns0:c r="Q55" s="13">
        <ns0:v>2.224</ns0:v>
      </ns0:c>
      <ns0:c r="R55" s="13">
        <ns0:v>2.64</ns0:v>
      </ns0:c>
      <ns0:c r="S55" s="13">
        <ns0:v>3.205</ns0:v>
      </ns0:c>
      <ns0:c r="T55" s="13">
        <ns0:v>3.434</ns0:v>
      </ns0:c>
      <ns0:c r="U55" s="13">
        <ns0:v>4.457</ns0:v>
      </ns0:c>
      <ns0:c r="V55" s="13">
        <ns0:v>4.19</ns0:v>
      </ns0:c>
      <ns0:c r="W55" s="13">
        <ns0:v>3.719</ns0:v>
      </ns0:c>
      <ns0:c r="X55" s="13">
        <ns0:v>3.146</ns0:v>
      </ns0:c>
      <ns0:c r="Y55" s="13">
        <ns0:v>2.727</ns0:v>
      </ns0:c>
      <ns0:c r="Z55" s="13">
        <ns0:v>2.222</ns0:v>
      </ns0:c>
      <ns0:c r="AA55" s="13">
        <ns0:v>1.562</ns0:v>
      </ns0:c>
      <ns0:c r="AB55" s="13">
        <ns0:v>1.53</ns0:v>
      </ns0:c>
    </ns0:row>
    <ns0:row r="56" spans="1:28">
      <ns0:c r="A56" s="4">
        <ns0:v>46010</ns0:v>
      </ns0:c>
      <ns0:c r="B56" s="5">
        <ns0:v>312.344085</ns0:v>
      </ns0:c>
      <ns0:c r="C56" s="2" t="s">
        <ns0:v>33</ns0:v>
      </ns0:c>
      <ns0:c r="D56" s="3">
        <ns0:v>56.788296</ns0:v>
      </ns0:c>
      <ns0:c r="E56" s="3">
        <ns0:v>1.450145</ns0:v>
      </ns0:c>
      <ns0:c r="F56" s="3">
        <ns0:v>1.42863</ns0:v>
      </ns0:c>
      <ns0:c r="G56" s="3">
        <ns0:v>1.425915</ns0:v>
      </ns0:c>
      <ns0:c r="H56" s="3">
        <ns0:v>1.38738</ns0:v>
      </ns0:c>
      <ns0:c r="I56" s="3">
        <ns0:v>1.39654</ns0:v>
      </ns0:c>
      <ns0:c r="J56" s="3">
        <ns0:v>1.380937</ns0:v>
      </ns0:c>
      <ns0:c r="K56" s="3">
        <ns0:v>1.3514</ns0:v>
      </ns0:c>
      <ns0:c r="L56" s="3">
        <ns0:v>1.75711</ns0:v>
      </ns0:c>
      <ns0:c r="M56" s="3">
        <ns0:v>3.396048</ns0:v>
      </ns0:c>
      <ns0:c r="N56" s="3">
        <ns0:v>3.555685</ns0:v>
      </ns0:c>
      <ns0:c r="O56" s="3">
        <ns0:v>3.138832</ns0:v>
      </ns0:c>
      <ns0:c r="P56" s="3">
        <ns0:v>2.952148</ns0:v>
      </ns0:c>
      <ns0:c r="Q56" s="3">
        <ns0:v>2.303873</ns0:v>
      </ns0:c>
      <ns0:c r="R56" s="3">
        <ns0:v>2.70119</ns0:v>
      </ns0:c>
      <ns0:c r="S56" s="3">
        <ns0:v>3.312653</ns0:v>
      </ns0:c>
      <ns0:c r="T56" s="3">
        <ns0:v>3.346543</ns0:v>
      </ns0:c>
      <ns0:c r="U56" s="3">
        <ns0:v>3.427402</ns0:v>
      </ns0:c>
      <ns0:c r="V56" s="3">
        <ns0:v>3.270864</ns0:v>
      </ns0:c>
      <ns0:c r="W56" s="3">
        <ns0:v>2.954216</ns0:v>
      </ns0:c>
      <ns0:c r="X56" s="3">
        <ns0:v>2.987743</ns0:v>
      </ns0:c>
      <ns0:c r="Y56" s="3">
        <ns0:v>2.60381</ns0:v>
      </ns0:c>
      <ns0:c r="Z56" s="3">
        <ns0:v>2.09853</ns0:v>
      </ns0:c>
      <ns0:c r="AA56" s="3">
        <ns0:v>1.649222</ns0:v>
      </ns0:c>
      <ns0:c r="AB56" s="3">
        <ns0:v>1.51148</ns0:v>
      </ns0:c>
    </ns0:row>
    <ns0:row r="57" spans="1:28">
      <ns0:c r="A57" s="4">
        <ns0:v>46010</ns0:v>
      </ns0:c>
      <ns0:c r="B57" s="5"/>
      <ns0:c r="C57" s="6" t="s">
        <ns0:v>49</ns0:v>
      </ns0:c>
      <ns0:c r="D57" s="3">
        <ns0:v>71.381</ns0:v>
      </ns0:c>
      <ns0:c r="E57" s="3">
        <ns0:v>1.886</ns0:v>
      </ns0:c>
      <ns0:c r="F57" s="3">
        <ns0:v>1.921</ns0:v>
      </ns0:c>
      <ns0:c r="G57" s="3">
        <ns0:v>1.915</ns0:v>
      </ns0:c>
      <ns0:c r="H57" s="3">
        <ns0:v>1.8169</ns0:v>
      </ns0:c>
      <ns0:c r="I57" s="3">
        <ns0:v>1.7748</ns0:v>
      </ns0:c>
      <ns0:c r="J57" s="3">
        <ns0:v>1.8623</ns0:v>
      </ns0:c>
      <ns0:c r="K57" s="3">
        <ns0:v>1.7454</ns0:v>
      </ns0:c>
      <ns0:c r="L57" s="3">
        <ns0:v>2.1454</ns0:v>
      </ns0:c>
      <ns0:c r="M57" s="3">
        <ns0:v>4.1406</ns0:v>
      </ns0:c>
      <ns0:c r="N57" s="3">
        <ns0:v>4.3079</ns0:v>
      </ns0:c>
      <ns0:c r="O57" s="3">
        <ns0:v>3.8378</ns0:v>
      </ns0:c>
      <ns0:c r="P57" s="3">
        <ns0:v>3.8074</ns0:v>
      </ns0:c>
      <ns0:c r="Q57" s="3">
        <ns0:v>2.9516</ns0:v>
      </ns0:c>
      <ns0:c r="R57" s="3">
        <ns0:v>3.5495</ns0:v>
      </ns0:c>
      <ns0:c r="S57" s="3">
        <ns0:v>4.24</ns0:v>
      </ns0:c>
      <ns0:c r="T57" s="3">
        <ns0:v>3.9499</ns0:v>
      </ns0:c>
      <ns0:c r="U57" s="3">
        <ns0:v>4.0738</ns0:v>
      </ns0:c>
      <ns0:c r="V57" s="3">
        <ns0:v>3.9214</ns0:v>
      </ns0:c>
      <ns0:c r="W57" s="3">
        <ns0:v>3.5182</ns0:v>
      </ns0:c>
      <ns0:c r="X57" s="3">
        <ns0:v>3.8202</ns0:v>
      </ns0:c>
      <ns0:c r="Y57" s="3">
        <ns0:v>3.4038</ns0:v>
      </ns0:c>
      <ns0:c r="Z57" s="3">
        <ns0:v>2.8079</ns0:v>
      </ns0:c>
      <ns0:c r="AA57" s="3">
        <ns0:v>2.2022</ns0:v>
      </ns0:c>
      <ns0:c r="AB57" s="3">
        <ns0:v>1.782</ns0:v>
      </ns0:c>
    </ns0:row>
    <ns0:row r="58" spans="1:28">
      <ns0:c r="A58" s="4">
        <ns0:v>46010</ns0:v>
      </ns0:c>
      <ns0:c r="B58" s="7"/>
      <ns0:c r="C58" s="2" t="s">
        <ns0:v>36</ns0:v>
      </ns0:c>
      <ns0:c r="D58" s="3">
        <ns0:v>49.533</ns0:v>
      </ns0:c>
      <ns0:c r="E58" s="13">
        <ns0:v>1.305</ns0:v>
      </ns0:c>
      <ns0:c r="F58" s="13">
        <ns0:v>1.286</ns0:v>
      </ns0:c>
      <ns0:c r="G58" s="13">
        <ns0:v>1.283</ns0:v>
      </ns0:c>
      <ns0:c r="H58" s="13">
        <ns0:v>1.249</ns0:v>
      </ns0:c>
      <ns0:c r="I58" s="13">
        <ns0:v>1.257</ns0:v>
      </ns0:c>
      <ns0:c r="J58" s="13">
        <ns0:v>1.105</ns0:v>
      </ns0:c>
      <ns0:c r="K58" s="13">
        <ns0:v>1.081</ns0:v>
      </ns0:c>
      <ns0:c r="L58" s="13">
        <ns0:v>1.581</ns0:v>
      </ns0:c>
      <ns0:c r="M58" s="13">
        <ns0:v>3.056</ns0:v>
      </ns0:c>
      <ns0:c r="N58" s="13">
        <ns0:v>3.2</ns0:v>
      </ns0:c>
      <ns0:c r="O58" s="13">
        <ns0:v>2.511</ns0:v>
      </ns0:c>
      <ns0:c r="P58" s="13">
        <ns0:v>2.362</ns0:v>
      </ns0:c>
      <ns0:c r="Q58" s="13">
        <ns0:v>1.843</ns0:v>
      </ns0:c>
      <ns0:c r="R58" s="13">
        <ns0:v>2.161</ns0:v>
      </ns0:c>
      <ns0:c r="S58" s="13">
        <ns0:v>2.65</ns0:v>
      </ns0:c>
      <ns0:c r="T58" s="13">
        <ns0:v>3.012</ns0:v>
      </ns0:c>
      <ns0:c r="U58" s="13">
        <ns0:v>3.085</ns0:v>
      </ns0:c>
      <ns0:c r="V58" s="13">
        <ns0:v>2.944</ns0:v>
      </ns0:c>
      <ns0:c r="W58" s="13">
        <ns0:v>2.659</ns0:v>
      </ns0:c>
      <ns0:c r="X58" s="13">
        <ns0:v>2.689</ns0:v>
      </ns0:c>
      <ns0:c r="Y58" s="13">
        <ns0:v>2.343</ns0:v>
      </ns0:c>
      <ns0:c r="Z58" s="13">
        <ns0:v>1.889</ns0:v>
      </ns0:c>
      <ns0:c r="AA58" s="13">
        <ns0:v>1.319</ns0:v>
      </ns0:c>
      <ns0:c r="AB58" s="13">
        <ns0:v>1.663</ns0:v>
      </ns0:c>
    </ns0:row>
    <ns0:row r="59" spans="1:28">
      <ns0:c r="A59" s="4">
        <ns0:v>46011</ns0:v>
      </ns0:c>
      <ns0:c r="B59" s="5">
        <ns0:v>188.3217674</ns0:v>
      </ns0:c>
      <ns0:c r="C59" s="2" t="s">
        <ns0:v>33</ns0:v>
      </ns0:c>
      <ns0:c r="D59" s="3">
        <ns0:v>64.360052</ns0:v>
      </ns0:c>
      <ns0:c r="E59" s="3">
        <ns0:v>1.620448</ns0:v>
      </ns0:c>
      <ns0:c r="F59" s="3">
        <ns0:v>1.6505</ns0:v>
      </ns0:c>
      <ns0:c r="G59" s="3">
        <ns0:v>1.60487</ns0:v>
      </ns0:c>
      <ns0:c r="H59" s="3">
        <ns0:v>1.612385</ns0:v>
      </ns0:c>
      <ns0:c r="I59" s="3">
        <ns0:v>1.60059</ns0:v>
      </ns0:c>
      <ns0:c r="J59" s="3">
        <ns0:v>1.61704</ns0:v>
      </ns0:c>
      <ns0:c r="K59" s="3">
        <ns0:v>1.587365</ns0:v>
      </ns0:c>
      <ns0:c r="L59" s="3">
        <ns0:v>1.94839</ns0:v>
      </ns0:c>
      <ns0:c r="M59" s="3">
        <ns0:v>3.820522</ns0:v>
      </ns0:c>
      <ns0:c r="N59" s="3">
        <ns0:v>4.200383</ns0:v>
      </ns0:c>
      <ns0:c r="O59" s="3">
        <ns0:v>3.51676</ns0:v>
      </ns0:c>
      <ns0:c r="P59" s="3">
        <ns0:v>3.435737</ns0:v>
      </ns0:c>
      <ns0:c r="Q59" s="3">
        <ns0:v>2.886655</ns0:v>
      </ns0:c>
      <ns0:c r="R59" s="3">
        <ns0:v>3.50167</ns0:v>
      </ns0:c>
      <ns0:c r="S59" s="3">
        <ns0:v>3.976687</ns0:v>
      </ns0:c>
      <ns0:c r="T59" s="3">
        <ns0:v>3.854933</ns0:v>
      </ns0:c>
      <ns0:c r="U59" s="3">
        <ns0:v>3.828652</ns0:v>
      </ns0:c>
      <ns0:c r="V59" s="3">
        <ns0:v>3.57396</ns0:v>
      </ns0:c>
      <ns0:c r="W59" s="3">
        <ns0:v>2.97329</ns0:v>
      </ns0:c>
      <ns0:c r="X59" s="3">
        <ns0:v>2.97192</ns0:v>
      </ns0:c>
      <ns0:c r="Y59" s="3">
        <ns0:v>2.646885</ns0:v>
      </ns0:c>
      <ns0:c r="Z59" s="3">
        <ns0:v>2.273997</ns0:v>
      </ns0:c>
      <ns0:c r="AA59" s="3">
        <ns0:v>1.945493</ns0:v>
      </ns0:c>
      <ns0:c r="AB59" s="3">
        <ns0:v>1.71092</ns0:v>
      </ns0:c>
    </ns0:row>
    <ns0:row r="60" spans="1:28">
      <ns0:c r="A60" s="4">
        <ns0:v>46011</ns0:v>
      </ns0:c>
      <ns0:c r="B60" s="5"/>
      <ns0:c r="C60" s="6" t="s">
        <ns0:v>49</ns0:v>
      </ns0:c>
      <ns0:c r="D60" s="3">
        <ns0:v>66.2765</ns0:v>
      </ns0:c>
      <ns0:c r="E60" s="3">
        <ns0:v>1.8671</ns0:v>
      </ns0:c>
      <ns0:c r="F60" s="3">
        <ns0:v>1.8788</ns0:v>
      </ns0:c>
      <ns0:c r="G60" s="3">
        <ns0:v>1.8638</ns0:v>
      </ns0:c>
      <ns0:c r="H60" s="3">
        <ns0:v>1.8551</ns0:v>
      </ns0:c>
      <ns0:c r="I60" s="3">
        <ns0:v>1.8132</ns0:v>
      </ns0:c>
      <ns0:c r="J60" s="3">
        <ns0:v>1.8266</ns0:v>
      </ns0:c>
      <ns0:c r="K60" s="3">
        <ns0:v>1.7026</ns0:v>
      </ns0:c>
      <ns0:c r="L60" s="3">
        <ns0:v>1.992</ns0:v>
      </ns0:c>
      <ns0:c r="M60" s="3">
        <ns0:v>4.1181</ns0:v>
      </ns0:c>
      <ns0:c r="N60" s="3">
        <ns0:v>4.2235</ns0:v>
      </ns0:c>
      <ns0:c r="O60" s="3">
        <ns0:v>3.6303</ns0:v>
      </ns0:c>
      <ns0:c r="P60" s="3">
        <ns0:v>3.4053</ns0:v>
      </ns0:c>
      <ns0:c r="Q60" s="3">
        <ns0:v>2.7456</ns0:v>
      </ns0:c>
      <ns0:c r="R60" s="3">
        <ns0:v>3.2922</ns0:v>
      </ns0:c>
      <ns0:c r="S60" s="3">
        <ns0:v>3.6809</ns0:v>
      </ns0:c>
      <ns0:c r="T60" s="3">
        <ns0:v>3.6145</ns0:v>
      </ns0:c>
      <ns0:c r="U60" s="3">
        <ns0:v>3.7971</ns0:v>
      </ns0:c>
      <ns0:c r="V60" s="3">
        <ns0:v>3.6434</ns0:v>
      </ns0:c>
      <ns0:c r="W60" s="3">
        <ns0:v>3.0952</ns0:v>
      </ns0:c>
      <ns0:c r="X60" s="3">
        <ns0:v>3.238</ns0:v>
      </ns0:c>
      <ns0:c r="Y60" s="3">
        <ns0:v>2.9454</ns0:v>
      </ns0:c>
      <ns0:c r="Z60" s="3">
        <ns0:v>2.5736</ns0:v>
      </ns0:c>
      <ns0:c r="AA60" s="3">
        <ns0:v>1.8122</ns0:v>
      </ns0:c>
      <ns0:c r="AB60" s="3">
        <ns0:v>1.662</ns0:v>
      </ns0:c>
    </ns0:row>
    <ns0:row r="61" spans="1:28">
      <ns0:c r="A61" s="4">
        <ns0:v>46011</ns0:v>
      </ns0:c>
      <ns0:c r="B61" s="7"/>
      <ns0:c r="C61" s="2" t="s">
        <ns0:v>36</ns0:v>
      </ns0:c>
      <ns0:c r="D61" s="3">
        <ns0:v>59.585</ns0:v>
      </ns0:c>
      <ns0:c r="E61" s="13">
        <ns0:v>1.296</ns0:v>
      </ns0:c>
      <ns0:c r="F61" s="13">
        <ns0:v>1.32</ns0:v>
      </ns0:c>
      <ns0:c r="G61" s="13">
        <ns0:v>1.284</ns0:v>
      </ns0:c>
      <ns0:c r="H61" s="13">
        <ns0:v>1.935</ns0:v>
      </ns0:c>
      <ns0:c r="I61" s="13">
        <ns0:v>1.601</ns0:v>
      </ns0:c>
      <ns0:c r="J61" s="13">
        <ns0:v>1.617</ns0:v>
      </ns0:c>
      <ns0:c r="K61" s="13">
        <ns0:v>1.587</ns0:v>
      </ns0:c>
      <ns0:c r="L61" s="13">
        <ns0:v>1.948</ns0:v>
      </ns0:c>
      <ns0:c r="M61" s="13">
        <ns0:v>3.821</ns0:v>
      </ns0:c>
      <ns0:c r="N61" s="13">
        <ns0:v>3.36</ns0:v>
      </ns0:c>
      <ns0:c r="O61" s="13">
        <ns0:v>2.813</ns0:v>
      </ns0:c>
      <ns0:c r="P61" s="13">
        <ns0:v>2.749</ns0:v>
      </ns0:c>
      <ns0:c r="Q61" s="13">
        <ns0:v>2.309</ns0:v>
      </ns0:c>
      <ns0:c r="R61" s="13">
        <ns0:v>2.801</ns0:v>
      </ns0:c>
      <ns0:c r="S61" s="13">
        <ns0:v>3.181</ns0:v>
      </ns0:c>
      <ns0:c r="T61" s="13">
        <ns0:v>3.084</ns0:v>
      </ns0:c>
      <ns0:c r="U61" s="13">
        <ns0:v>4.594</ns0:v>
      </ns0:c>
      <ns0:c r="V61" s="13">
        <ns0:v>4.289</ns0:v>
      </ns0:c>
      <ns0:c r="W61" s="13">
        <ns0:v>3.568</ns0:v>
      </ns0:c>
      <ns0:c r="X61" s="13">
        <ns0:v>3.566</ns0:v>
      </ns0:c>
      <ns0:c r="Y61" s="13">
        <ns0:v>2.118</ns0:v>
      </ns0:c>
      <ns0:c r="Z61" s="13">
        <ns0:v>1.819</ns0:v>
      </ns0:c>
      <ns0:c r="AA61" s="13">
        <ns0:v>1.556</ns0:v>
      </ns0:c>
      <ns0:c r="AB61" s="13">
        <ns0:v>1.369</ns0:v>
      </ns0:c>
    </ns0:row>
    <ns0:row r="62" spans="1:28">
      <ns0:c r="A62" s="4">
        <ns0:v>46012</ns0:v>
      </ns0:c>
      <ns0:c r="B62" s="5">
        <ns0:v>212.584493</ns0:v>
      </ns0:c>
      <ns0:c r="C62" s="2" t="s">
        <ns0:v>33</ns0:v>
      </ns0:c>
      <ns0:c r="D62" s="3">
        <ns0:v>44.637843</ns0:v>
      </ns0:c>
      <ns0:c r="E62" s="3">
        <ns0:v>1.696062</ns0:v>
      </ns0:c>
      <ns0:c r="F62" s="3">
        <ns0:v>1.670096</ns0:v>
      </ns0:c>
      <ns0:c r="G62" s="3">
        <ns0:v>1.62976</ns0:v>
      </ns0:c>
      <ns0:c r="H62" s="3">
        <ns0:v>1.553689</ns0:v>
      </ns0:c>
      <ns0:c r="I62" s="3">
        <ns0:v>1.535766</ns0:v>
      </ns0:c>
      <ns0:c r="J62" s="3">
        <ns0:v>1.505698</ns0:v>
      </ns0:c>
      <ns0:c r="K62" s="3">
        <ns0:v>1.441309</ns0:v>
      </ns0:c>
      <ns0:c r="L62" s="3">
        <ns0:v>1.508987</ns0:v>
      </ns0:c>
      <ns0:c r="M62" s="3">
        <ns0:v>2.507477</ns0:v>
      </ns0:c>
      <ns0:c r="N62" s="3">
        <ns0:v>2.774515</ns0:v>
      </ns0:c>
      <ns0:c r="O62" s="3">
        <ns0:v>2.439751</ns0:v>
      </ns0:c>
      <ns0:c r="P62" s="3">
        <ns0:v>2.317681</ns0:v>
      </ns0:c>
      <ns0:c r="Q62" s="3">
        <ns0:v>2.13458</ns0:v>
      </ns0:c>
      <ns0:c r="R62" s="3">
        <ns0:v>2.000389</ns0:v>
      </ns0:c>
      <ns0:c r="S62" s="3">
        <ns0:v>2.462579</ns0:v>
      </ns0:c>
      <ns0:c r="T62" s="3">
        <ns0:v>2.396512</ns0:v>
      </ns0:c>
      <ns0:c r="U62" s="3">
        <ns0:v>2.39124</ns0:v>
      </ns0:c>
      <ns0:c r="V62" s="3">
        <ns0:v>2.38492</ns0:v>
      </ns0:c>
      <ns0:c r="W62" s="3">
        <ns0:v>1.614182</ns0:v>
      </ns0:c>
      <ns0:c r="X62" s="3">
        <ns0:v>1.560866</ns0:v>
      </ns0:c>
      <ns0:c r="Y62" s="3">
        <ns0:v>1.407522</ns0:v>
      </ns0:c>
      <ns0:c r="Z62" s="3">
        <ns0:v>1.316788</ns0:v>
      </ns0:c>
      <ns0:c r="AA62" s="3">
        <ns0:v>1.243128</ns0:v>
      </ns0:c>
      <ns0:c r="AB62" s="3">
        <ns0:v>1.144346</ns0:v>
      </ns0:c>
    </ns0:row>
    <ns0:row r="63" spans="1:28">
      <ns0:c r="A63" s="4">
        <ns0:v>46012</ns0:v>
      </ns0:c>
      <ns0:c r="B63" s="5"/>
      <ns0:c r="C63" s="6" t="s">
        <ns0:v>49</ns0:v>
      </ns0:c>
      <ns0:c r="D63" s="3">
        <ns0:v>44.8546</ns0:v>
      </ns0:c>
      <ns0:c r="E63" s="3">
        <ns0:v>1.6937</ns0:v>
      </ns0:c>
      <ns0:c r="F63" s="3">
        <ns0:v>1.7784</ns0:v>
      </ns0:c>
      <ns0:c r="G63" s="3">
        <ns0:v>1.6873</ns0:v>
      </ns0:c>
      <ns0:c r="H63" s="3">
        <ns0:v>1.6261</ns0:v>
      </ns0:c>
      <ns0:c r="I63" s="3">
        <ns0:v>1.614</ns0:v>
      </ns0:c>
      <ns0:c r="J63" s="3">
        <ns0:v>1.5929</ns0:v>
      </ns0:c>
      <ns0:c r="K63" s="3">
        <ns0:v>1.487</ns0:v>
      </ns0:c>
      <ns0:c r="L63" s="3">
        <ns0:v>1.3209</ns0:v>
      </ns0:c>
      <ns0:c r="M63" s="3">
        <ns0:v>2.4881</ns0:v>
      </ns0:c>
      <ns0:c r="N63" s="3">
        <ns0:v>2.6597</ns0:v>
      </ns0:c>
      <ns0:c r="O63" s="3">
        <ns0:v>2.2652</ns0:v>
      </ns0:c>
      <ns0:c r="P63" s="3">
        <ns0:v>2.2288</ns0:v>
      </ns0:c>
      <ns0:c r="Q63" s="3">
        <ns0:v>1.9046</ns0:v>
      </ns0:c>
      <ns0:c r="R63" s="3">
        <ns0:v>2.1045</ns0:v>
      </ns0:c>
      <ns0:c r="S63" s="3">
        <ns0:v>2.495</ns0:v>
      </ns0:c>
      <ns0:c r="T63" s="3">
        <ns0:v>2.4225</ns0:v>
      </ns0:c>
      <ns0:c r="U63" s="3">
        <ns0:v>2.5434</ns0:v>
      </ns0:c>
      <ns0:c r="V63" s="3">
        <ns0:v>2.2688</ns0:v>
      </ns0:c>
      <ns0:c r="W63" s="3">
        <ns0:v>1.5889</ns0:v>
      </ns0:c>
      <ns0:c r="X63" s="3">
        <ns0:v>1.4966</ns0:v>
      </ns0:c>
      <ns0:c r="Y63" s="3">
        <ns0:v>1.4514</ns0:v>
      </ns0:c>
      <ns0:c r="Z63" s="3">
        <ns0:v>1.4429</ns0:v>
      </ns0:c>
      <ns0:c r="AA63" s="3">
        <ns0:v>1.3423</ns0:v>
      </ns0:c>
      <ns0:c r="AB63" s="3">
        <ns0:v>1.3516</ns0:v>
      </ns0:c>
    </ns0:row>
    <ns0:row r="64" spans="1:28">
      <ns0:c r="A64" s="4">
        <ns0:v>46012</ns0:v>
      </ns0:c>
      <ns0:c r="B64" s="7"/>
      <ns0:c r="C64" s="2" t="s">
        <ns0:v>36</ns0:v>
      </ns0:c>
      <ns0:c r="D64" s="3">
        <ns0:v>41.211</ns0:v>
      </ns0:c>
      <ns0:c r="E64" s="13">
        <ns0:v>1.357</ns0:v>
      </ns0:c>
      <ns0:c r="F64" s="13">
        <ns0:v>1.336</ns0:v>
      </ns0:c>
      <ns0:c r="G64" s="13">
        <ns0:v>1.304</ns0:v>
      </ns0:c>
      <ns0:c r="H64" s="13">
        <ns0:v>1.864</ns0:v>
      </ns0:c>
      <ns0:c r="I64" s="13">
        <ns0:v>1.536</ns0:v>
      </ns0:c>
      <ns0:c r="J64" s="13">
        <ns0:v>1.506</ns0:v>
      </ns0:c>
      <ns0:c r="K64" s="13">
        <ns0:v>1.441</ns0:v>
      </ns0:c>
      <ns0:c r="L64" s="13">
        <ns0:v>1.509</ns0:v>
      </ns0:c>
      <ns0:c r="M64" s="13">
        <ns0:v>2.507</ns0:v>
      </ns0:c>
      <ns0:c r="N64" s="13">
        <ns0:v>2.22</ns0:v>
      </ns0:c>
      <ns0:c r="O64" s="13">
        <ns0:v>1.952</ns0:v>
      </ns0:c>
      <ns0:c r="P64" s="13">
        <ns0:v>1.854</ns0:v>
      </ns0:c>
      <ns0:c r="Q64" s="13">
        <ns0:v>1.708</ns0:v>
      </ns0:c>
      <ns0:c r="R64" s="13">
        <ns0:v>1.6</ns0:v>
      </ns0:c>
      <ns0:c r="S64" s="13">
        <ns0:v>1.97</ns0:v>
      </ns0:c>
      <ns0:c r="T64" s="13">
        <ns0:v>1.917</ns0:v>
      </ns0:c>
      <ns0:c r="U64" s="13">
        <ns0:v>2.869</ns0:v>
      </ns0:c>
      <ns0:c r="V64" s="13">
        <ns0:v>2.862</ns0:v>
      </ns0:c>
      <ns0:c r="W64" s="13">
        <ns0:v>1.937</ns0:v>
      </ns0:c>
      <ns0:c r="X64" s="13">
        <ns0:v>1.873</ns0:v>
      </ns0:c>
      <ns0:c r="Y64" s="13">
        <ns0:v>1.126</ns0:v>
      </ns0:c>
      <ns0:c r="Z64" s="13">
        <ns0:v>1.053</ns0:v>
      </ns0:c>
      <ns0:c r="AA64" s="13">
        <ns0:v>0.995</ns0:v>
      </ns0:c>
      <ns0:c r="AB64" s="13">
        <ns0:v>0.915</ns0:v>
      </ns0:c>
    </ns0:row>
    <ns0:row r="65" spans="1:28">
      <ns0:c r="A65" s="4">
        <ns0:v>46013</ns0:v>
      </ns0:c>
      <ns0:c r="B65" s="5">
        <ns0:v>203.0791674</ns0:v>
      </ns0:c>
      <ns0:c r="C65" s="2" t="s">
        <ns0:v>33</ns0:v>
      </ns0:c>
      <ns0:c r="D65" s="3">
        <ns0:v>57.07457</ns0:v>
      </ns0:c>
      <ns0:c r="E65" s="3">
        <ns0:v>1.1479</ns0:v>
      </ns0:c>
      <ns0:c r="F65" s="3">
        <ns0:v>1.21916</ns0:v>
      </ns0:c>
      <ns0:c r="G65" s="3">
        <ns0:v>1.20654</ns0:v>
      </ns0:c>
      <ns0:c r="H65" s="3">
        <ns0:v>1.165187</ns0:v>
      </ns0:c>
      <ns0:c r="I65" s="3">
        <ns0:v>1.11373</ns0:v>
      </ns0:c>
      <ns0:c r="J65" s="3">
        <ns0:v>1.12292</ns0:v>
      </ns0:c>
      <ns0:c r="K65" s="3">
        <ns0:v>1.120295</ns0:v>
      </ns0:c>
      <ns0:c r="L65" s="3">
        <ns0:v>1.58838</ns0:v>
      </ns0:c>
      <ns0:c r="M65" s="3">
        <ns0:v>3.333472</ns0:v>
      </ns0:c>
      <ns0:c r="N65" s="3">
        <ns0:v>3.71324</ns0:v>
      </ns0:c>
      <ns0:c r="O65" s="3">
        <ns0:v>3.089937</ns0:v>
      </ns0:c>
      <ns0:c r="P65" s="3">
        <ns0:v>2.98202</ns0:v>
      </ns0:c>
      <ns0:c r="Q65" s="3">
        <ns0:v>2.568711</ns0:v>
      </ns0:c>
      <ns0:c r="R65" s="3">
        <ns0:v>3.067071</ns0:v>
      </ns0:c>
      <ns0:c r="S65" s="3">
        <ns0:v>3.597477</ns0:v>
      </ns0:c>
      <ns0:c r="T65" s="3">
        <ns0:v>3.431139</ns0:v>
      </ns0:c>
      <ns0:c r="U65" s="3">
        <ns0:v>3.571823</ns0:v>
      </ns0:c>
      <ns0:c r="V65" s="3">
        <ns0:v>3.416935</ns0:v>
      </ns0:c>
      <ns0:c r="W65" s="3">
        <ns0:v>3.120507</ns0:v>
      </ns0:c>
      <ns0:c r="X65" s="3">
        <ns0:v>3.178055</ns0:v>
      </ns0:c>
      <ns0:c r="Y65" s="3">
        <ns0:v>2.717615</ns0:v>
      </ns0:c>
      <ns0:c r="Z65" s="3">
        <ns0:v>2.27448</ns0:v>
      </ns0:c>
      <ns0:c r="AA65" s="3">
        <ns0:v>1.807433</ns0:v>
      </ns0:c>
      <ns0:c r="AB65" s="3">
        <ns0:v>1.520543</ns0:v>
      </ns0:c>
    </ns0:row>
    <ns0:row r="66" spans="1:28">
      <ns0:c r="A66" s="4">
        <ns0:v>46013</ns0:v>
      </ns0:c>
      <ns0:c r="B66" s="5"/>
      <ns0:c r="C66" s="6" t="s">
        <ns0:v>49</ns0:v>
      </ns0:c>
      <ns0:c r="D66" s="3">
        <ns0:v>64.389</ns0:v>
      </ns0:c>
      <ns0:c r="E66" s="3">
        <ns0:v>1.3751</ns0:v>
      </ns0:c>
      <ns0:c r="F66" s="3">
        <ns0:v>1.4099</ns0:v>
      </ns0:c>
      <ns0:c r="G66" s="3">
        <ns0:v>1.4137</ns0:v>
      </ns0:c>
      <ns0:c r="H66" s="3">
        <ns0:v>1.4274</ns0:v>
      </ns0:c>
      <ns0:c r="I66" s="3">
        <ns0:v>1.389</ns0:v>
      </ns0:c>
      <ns0:c r="J66" s="3">
        <ns0:v>1.3861</ns0:v>
      </ns0:c>
      <ns0:c r="K66" s="3">
        <ns0:v>1.3048</ns0:v>
      </ns0:c>
      <ns0:c r="L66" s="3">
        <ns0:v>1.7741</ns0:v>
      </ns0:c>
      <ns0:c r="M66" s="3">
        <ns0:v>3.8889</ns0:v>
      </ns0:c>
      <ns0:c r="N66" s="3">
        <ns0:v>4.145</ns0:v>
      </ns0:c>
      <ns0:c r="O66" s="3">
        <ns0:v>3.5365</ns0:v>
      </ns0:c>
      <ns0:c r="P66" s="3">
        <ns0:v>3.3894</ns0:v>
      </ns0:c>
      <ns0:c r="Q66" s="3">
        <ns0:v>2.8616</ns0:v>
      </ns0:c>
      <ns0:c r="R66" s="3">
        <ns0:v>3.3324</ns0:v>
      </ns0:c>
      <ns0:c r="S66" s="3">
        <ns0:v>3.9265</ns0:v>
      </ns0:c>
      <ns0:c r="T66" s="3">
        <ns0:v>3.823</ns0:v>
      </ns0:c>
      <ns0:c r="U66" s="3">
        <ns0:v>3.9897</ns0:v>
      </ns0:c>
      <ns0:c r="V66" s="3">
        <ns0:v>3.6461</ns0:v>
      </ns0:c>
      <ns0:c r="W66" s="3">
        <ns0:v>3.253</ns0:v>
      </ns0:c>
      <ns0:c r="X66" s="3">
        <ns0:v>3.5195</ns0:v>
      </ns0:c>
      <ns0:c r="Y66" s="3">
        <ns0:v>3.2736</ns0:v>
      </ns0:c>
      <ns0:c r="Z66" s="3">
        <ns0:v>2.7011</ns0:v>
      </ns0:c>
      <ns0:c r="AA66" s="3">
        <ns0:v>1.9684</ns0:v>
      </ns0:c>
      <ns0:c r="AB66" s="3">
        <ns0:v>1.6542</ns0:v>
      </ns0:c>
    </ns0:row>
    <ns0:row r="67" spans="1:28">
      <ns0:c r="A67" s="4">
        <ns0:v>46013</ns0:v>
      </ns0:c>
      <ns0:c r="B67" s="7"/>
      <ns0:c r="C67" s="2" t="s">
        <ns0:v>36</ns0:v>
      </ns0:c>
      <ns0:c r="D67" s="3">
        <ns0:v>53.28</ns0:v>
      </ns0:c>
      <ns0:c r="E67" s="13">
        <ns0:v>1.033</ns0:v>
      </ns0:c>
      <ns0:c r="F67" s="13">
        <ns0:v>1.097</ns0:v>
      </ns0:c>
      <ns0:c r="G67" s="13">
        <ns0:v>0.965</ns0:v>
      </ns0:c>
      <ns0:c r="H67" s="13">
        <ns0:v>0.932</ns0:v>
      </ns0:c>
      <ns0:c r="I67" s="13">
        <ns0:v>0.891</ns0:v>
      </ns0:c>
      <ns0:c r="J67" s="13">
        <ns0:v>0.898</ns0:v>
      </ns0:c>
      <ns0:c r="K67" s="13">
        <ns0:v>0.896</ns0:v>
      </ns0:c>
      <ns0:c r="L67" s="13">
        <ns0:v>1.588</ns0:v>
      </ns0:c>
      <ns0:c r="M67" s="13">
        <ns0:v>3.333</ns0:v>
      </ns0:c>
      <ns0:c r="N67" s="13">
        <ns0:v>3.713</ns0:v>
      </ns0:c>
      <ns0:c r="O67" s="13">
        <ns0:v>2.472</ns0:v>
      </ns0:c>
      <ns0:c r="P67" s="13">
        <ns0:v>2.386</ns0:v>
      </ns0:c>
      <ns0:c r="Q67" s="13">
        <ns0:v>2.055</ns0:v>
      </ns0:c>
      <ns0:c r="R67" s="13">
        <ns0:v>2.454</ns0:v>
      </ns0:c>
      <ns0:c r="S67" s="13">
        <ns0:v>2.878</ns0:v>
      </ns0:c>
      <ns0:c r="T67" s="13">
        <ns0:v>3.431</ns0:v>
      </ns0:c>
      <ns0:c r="U67" s="13">
        <ns0:v>3.929</ns0:v>
      </ns0:c>
      <ns0:c r="V67" s="13">
        <ns0:v>3.759</ns0:v>
      </ns0:c>
      <ns0:c r="W67" s="13">
        <ns0:v>3.433</ns0:v>
      </ns0:c>
      <ns0:c r="X67" s="13">
        <ns0:v>3.496</ns0:v>
      </ns0:c>
      <ns0:c r="Y67" s="13">
        <ns0:v>2.446</ns0:v>
      </ns0:c>
      <ns0:c r="Z67" s="13">
        <ns0:v>2.047</ns0:v>
      </ns0:c>
      <ns0:c r="AA67" s="13">
        <ns0:v>1.627</ns0:v>
      </ns0:c>
      <ns0:c r="AB67" s="13">
        <ns0:v>1.521</ns0:v>
      </ns0:c>
    </ns0:row>
    <ns0:row r="68" spans="1:28">
      <ns0:c r="A68" s="4">
        <ns0:v>46014</ns0:v>
      </ns0:c>
      <ns0:c r="B68" s="5">
        <ns0:v>99.277463</ns0:v>
      </ns0:c>
      <ns0:c r="C68" s="2" t="s">
        <ns0:v>33</ns0:v>
      </ns0:c>
      <ns0:c r="D68" s="3">
        <ns0:v>60.763754</ns0:v>
      </ns0:c>
      <ns0:c r="E68" s="3">
        <ns0:v>1.479755</ns0:v>
      </ns0:c>
      <ns0:c r="F68" s="3">
        <ns0:v>1.485495</ns0:v>
      </ns0:c>
      <ns0:c r="G68" s="3">
        <ns0:v>1.41155</ns0:v>
      </ns0:c>
      <ns0:c r="H68" s="3">
        <ns0:v>1.398655</ns0:v>
      </ns0:c>
      <ns0:c r="I68" s="3">
        <ns0:v>1.387543</ns0:v>
      </ns0:c>
      <ns0:c r="J68" s="3">
        <ns0:v>1.422533</ns0:v>
      </ns0:c>
      <ns0:c r="K68" s="3">
        <ns0:v>1.371995</ns0:v>
      </ns0:c>
      <ns0:c r="L68" s="3">
        <ns0:v>1.831375</ns0:v>
      </ns0:c>
      <ns0:c r="M68" s="3">
        <ns0:v>3.659176</ns0:v>
      </ns0:c>
      <ns0:c r="N68" s="3">
        <ns0:v>3.8275</ns0:v>
      </ns0:c>
      <ns0:c r="O68" s="3">
        <ns0:v>3.293679</ns0:v>
      </ns0:c>
      <ns0:c r="P68" s="3">
        <ns0:v>3.142021</ns0:v>
      </ns0:c>
      <ns0:c r="Q68" s="3">
        <ns0:v>2.575803</ns0:v>
      </ns0:c>
      <ns0:c r="R68" s="3">
        <ns0:v>3.069513</ns0:v>
      </ns0:c>
      <ns0:c r="S68" s="3">
        <ns0:v>3.649327</ns0:v>
      </ns0:c>
      <ns0:c r="T68" s="3">
        <ns0:v>3.548151</ns0:v>
      </ns0:c>
      <ns0:c r="U68" s="3">
        <ns0:v>3.682604</ns0:v>
      </ns0:c>
      <ns0:c r="V68" s="3">
        <ns0:v>3.505895</ns0:v>
      </ns0:c>
      <ns0:c r="W68" s="3">
        <ns0:v>3.126124</ns0:v>
      </ns0:c>
      <ns0:c r="X68" s="3">
        <ns0:v>3.23076</ns0:v>
      </ns0:c>
      <ns0:c r="Y68" s="3">
        <ns0:v>2.82744</ns0:v>
      </ns0:c>
      <ns0:c r="Z68" s="3">
        <ns0:v>2.37508</ns0:v>
      </ns0:c>
      <ns0:c r="AA68" s="3">
        <ns0:v>1.87415</ns0:v>
      </ns0:c>
      <ns0:c r="AB68" s="3">
        <ns0:v>1.58763</ns0:v>
      </ns0:c>
    </ns0:row>
    <ns0:row r="69" spans="1:28">
      <ns0:c r="A69" s="4">
        <ns0:v>46014</ns0:v>
      </ns0:c>
      <ns0:c r="B69" s="5"/>
      <ns0:c r="C69" s="6" t="s">
        <ns0:v>49</ns0:v>
      </ns0:c>
      <ns0:c r="D69" s="3">
        <ns0:v>68.4487</ns0:v>
      </ns0:c>
      <ns0:c r="E69" s="3">
        <ns0:v>1.6903</ns0:v>
      </ns0:c>
      <ns0:c r="F69" s="3">
        <ns0:v>1.6941</ns0:v>
      </ns0:c>
      <ns0:c r="G69" s="3">
        <ns0:v>1.6778</ns0:v>
      </ns0:c>
      <ns0:c r="H69" s="3">
        <ns0:v>1.6874</ns0:v>
      </ns0:c>
      <ns0:c r="I69" s="3">
        <ns0:v>1.7304</ns0:v>
      </ns0:c>
      <ns0:c r="J69" s="3">
        <ns0:v>1.7318</ns0:v>
      </ns0:c>
      <ns0:c r="K69" s="3">
        <ns0:v>1.6237</ns0:v>
      </ns0:c>
      <ns0:c r="L69" s="3">
        <ns0:v>1.9668</ns0:v>
      </ns0:c>
      <ns0:c r="M69" s="3">
        <ns0:v>4.0729</ns0:v>
      </ns0:c>
      <ns0:c r="N69" s="3">
        <ns0:v>4.2491</ns0:v>
      </ns0:c>
      <ns0:c r="O69" s="3">
        <ns0:v>3.6554</ns0:v>
      </ns0:c>
      <ns0:c r="P69" s="3">
        <ns0:v>3.6628</ns0:v>
      </ns0:c>
      <ns0:c r="Q69" s="3">
        <ns0:v>2.8682</ns0:v>
      </ns0:c>
      <ns0:c r="R69" s="3">
        <ns0:v>3.5625</ns0:v>
      </ns0:c>
      <ns0:c r="S69" s="3">
        <ns0:v>3.9938</ns0:v>
      </ns0:c>
      <ns0:c r="T69" s="3">
        <ns0:v>3.7844</ns0:v>
      </ns0:c>
      <ns0:c r="U69" s="3">
        <ns0:v>4.0543</ns0:v>
      </ns0:c>
      <ns0:c r="V69" s="3">
        <ns0:v>3.8955</ns0:v>
      </ns0:c>
      <ns0:c r="W69" s="3">
        <ns0:v>3.5419</ns0:v>
      </ns0:c>
      <ns0:c r="X69" s="3">
        <ns0:v>3.6784</ns0:v>
      </ns0:c>
      <ns0:c r="Y69" s="3">
        <ns0:v>3.2736</ns0:v>
      </ns0:c>
      <ns0:c r="Z69" s="3">
        <ns0:v>2.6853</ns0:v>
      </ns0:c>
      <ns0:c r="AA69" s="3">
        <ns0:v>1.9819</ns0:v>
      </ns0:c>
      <ns0:c r="AB69" s="3">
        <ns0:v>1.6864</ns0:v>
      </ns0:c>
    </ns0:row>
    <ns0:row r="70" spans="1:28">
      <ns0:c r="A70" s="4">
        <ns0:v>46014</ns0:v>
      </ns0:c>
      <ns0:c r="B70" s="7"/>
      <ns0:c r="C70" s="2" t="s">
        <ns0:v>36</ns0:v>
      </ns0:c>
      <ns0:c r="D70" s="3">
        <ns0:v>59.665</ns0:v>
      </ns0:c>
      <ns0:c r="E70" s="13">
        <ns0:v>1.628</ns0:v>
      </ns0:c>
      <ns0:c r="F70" s="13">
        <ns0:v>1.337</ns0:v>
      </ns0:c>
      <ns0:c r="G70" s="13">
        <ns0:v>1.129</ns0:v>
      </ns0:c>
      <ns0:c r="H70" s="13">
        <ns0:v>1.329</ns0:v>
      </ns0:c>
      <ns0:c r="I70" s="13">
        <ns0:v>1.249</ns0:v>
      </ns0:c>
      <ns0:c r="J70" s="13">
        <ns0:v>1.138</ns0:v>
      </ns0:c>
      <ns0:c r="K70" s="13">
        <ns0:v>1.509</ns0:v>
      </ns0:c>
      <ns0:c r="L70" s="13">
        <ns0:v>2.015</ns0:v>
      </ns0:c>
      <ns0:c r="M70" s="13">
        <ns0:v>4.391</ns0:v>
      </ns0:c>
      <ns0:c r="N70" s="13">
        <ns0:v>4.21</ns0:v>
      </ns0:c>
      <ns0:c r="O70" s="13">
        <ns0:v>2.964</ns0:v>
      </ns0:c>
      <ns0:c r="P70" s="13">
        <ns0:v>3.142</ns0:v>
      </ns0:c>
      <ns0:c r="Q70" s="13">
        <ns0:v>2.318</ns0:v>
      </ns0:c>
      <ns0:c r="R70" s="13">
        <ns0:v>2.456</ns0:v>
      </ns0:c>
      <ns0:c r="S70" s="13">
        <ns0:v>2.919</ns0:v>
      </ns0:c>
      <ns0:c r="T70" s="13">
        <ns0:v>3.193</ns0:v>
      </ns0:c>
      <ns0:c r="U70" s="13">
        <ns0:v>4.051</ns0:v>
      </ns0:c>
      <ns0:c r="V70" s="13">
        <ns0:v>4.207</ns0:v>
      </ns0:c>
      <ns0:c r="W70" s="13">
        <ns0:v>3.439</ns0:v>
      </ns0:c>
      <ns0:c r="X70" s="13">
        <ns0:v>3.554</ns0:v>
      </ns0:c>
      <ns0:c r="Y70" s="13">
        <ns0:v>2.262</ns0:v>
      </ns0:c>
      <ns0:c r="Z70" s="13">
        <ns0:v>2.138</ns0:v>
      </ns0:c>
      <ns0:c r="AA70" s="13">
        <ns0:v>1.499</ns0:v>
      </ns0:c>
      <ns0:c r="AB70" s="13">
        <ns0:v>1.588</ns0:v>
      </ns0:c>
    </ns0:row>
    <ns0:row r="71" spans="1:28">
      <ns0:c r="A71" s="4">
        <ns0:v>46015</ns0:v>
      </ns0:c>
      <ns0:c r="B71" s="5">
        <ns0:v>299.8230582</ns0:v>
      </ns0:c>
      <ns0:c r="C71" s="2" t="s">
        <ns0:v>33</ns0:v>
      </ns0:c>
      <ns0:c r="D71" s="3">
        <ns0:v>58.089684</ns0:v>
      </ns0:c>
      <ns0:c r="E71" s="3">
        <ns0:v>1.436045</ns0:v>
      </ns0:c>
      <ns0:c r="F71" s="3">
        <ns0:v>1.454877</ns0:v>
      </ns0:c>
      <ns0:c r="G71" s="3">
        <ns0:v>1.46381</ns0:v>
      </ns0:c>
      <ns0:c r="H71" s="3">
        <ns0:v>1.480478</ns0:v>
      </ns0:c>
      <ns0:c r="I71" s="3">
        <ns0:v>1.473965</ns0:v>
      </ns0:c>
      <ns0:c r="J71" s="3">
        <ns0:v>1.4529</ns0:v>
      </ns0:c>
      <ns0:c r="K71" s="3">
        <ns0:v>1.37186</ns0:v>
      </ns0:c>
      <ns0:c r="L71" s="3">
        <ns0:v>1.760665</ns0:v>
      </ns0:c>
      <ns0:c r="M71" s="3">
        <ns0:v>3.462824</ns0:v>
      </ns0:c>
      <ns0:c r="N71" s="3">
        <ns0:v>3.642577</ns0:v>
      </ns0:c>
      <ns0:c r="O71" s="3">
        <ns0:v>3.137111</ns0:v>
      </ns0:c>
      <ns0:c r="P71" s="3">
        <ns0:v>3.058315</ns0:v>
      </ns0:c>
      <ns0:c r="Q71" s="3">
        <ns0:v>2.428583</ns0:v>
      </ns0:c>
      <ns0:c r="R71" s="3">
        <ns0:v>2.898424</ns0:v>
      </ns0:c>
      <ns0:c r="S71" s="3">
        <ns0:v>3.421135</ns0:v>
      </ns0:c>
      <ns0:c r="T71" s="3">
        <ns0:v>3.314921</ns0:v>
      </ns0:c>
      <ns0:c r="U71" s="3">
        <ns0:v>3.469478</ns0:v>
      </ns0:c>
      <ns0:c r="V71" s="3">
        <ns0:v>3.223756</ns0:v>
      </ns0:c>
      <ns0:c r="W71" s="3">
        <ns0:v>2.924908</ns0:v>
      </ns0:c>
      <ns0:c r="X71" s="3">
        <ns0:v>3.028707</ns0:v>
      </ns0:c>
      <ns0:c r="Y71" s="3">
        <ns0:v>2.656825</ns0:v>
      </ns0:c>
      <ns0:c r="Z71" s="3">
        <ns0:v>2.200485</ns0:v>
      </ns0:c>
      <ns0:c r="AA71" s="3">
        <ns0:v>1.782743</ns0:v>
      </ns0:c>
      <ns0:c r="AB71" s="3">
        <ns0:v>1.544292</ns0:v>
      </ns0:c>
    </ns0:row>
    <ns0:row r="72" spans="1:28">
      <ns0:c r="A72" s="4">
        <ns0:v>46015</ns0:v>
      </ns0:c>
      <ns0:c r="B72" s="5"/>
      <ns0:c r="C72" s="6" t="s">
        <ns0:v>49</ns0:v>
      </ns0:c>
      <ns0:c r="D72" s="3">
        <ns0:v>68.0578</ns0:v>
      </ns0:c>
      <ns0:c r="E72" s="3">
        <ns0:v>1.6873</ns0:v>
      </ns0:c>
      <ns0:c r="F72" s="3">
        <ns0:v>1.7118</ns0:v>
      </ns0:c>
      <ns0:c r="G72" s="3">
        <ns0:v>1.6206</ns0:v>
      </ns0:c>
      <ns0:c r="H72" s="3">
        <ns0:v>1.6076</ns0:v>
      </ns0:c>
      <ns0:c r="I72" s="3">
        <ns0:v>1.6761</ns0:v>
      </ns0:c>
      <ns0:c r="J72" s="3">
        <ns0:v>1.6685</ns0:v>
      </ns0:c>
      <ns0:c r="K72" s="3">
        <ns0:v>1.614</ns0:v>
      </ns0:c>
      <ns0:c r="L72" s="3">
        <ns0:v>1.9478</ns0:v>
      </ns0:c>
      <ns0:c r="M72" s="3">
        <ns0:v>4.0518</ns0:v>
      </ns0:c>
      <ns0:c r="N72" s="3">
        <ns0:v>4.4358</ns0:v>
      </ns0:c>
      <ns0:c r="O72" s="3">
        <ns0:v>3.9337</ns0:v>
      </ns0:c>
      <ns0:c r="P72" s="3">
        <ns0:v>3.6861</ns0:v>
      </ns0:c>
      <ns0:c r="Q72" s="3">
        <ns0:v>2.9395</ns0:v>
      </ns0:c>
      <ns0:c r="R72" s="3">
        <ns0:v>3.4479</ns0:v>
      </ns0:c>
      <ns0:c r="S72" s="3">
        <ns0:v>4.0618</ns0:v>
      </ns0:c>
      <ns0:c r="T72" s="3">
        <ns0:v>3.7932</ns0:v>
      </ns0:c>
      <ns0:c r="U72" s="3">
        <ns0:v>4.0171</ns0:v>
      </ns0:c>
      <ns0:c r="V72" s="3">
        <ns0:v>3.6749</ns0:v>
      </ns0:c>
      <ns0:c r="W72" s="3">
        <ns0:v>3.3838</ns0:v>
      </ns0:c>
      <ns0:c r="X72" s="3">
        <ns0:v>3.6701</ns0:v>
      </ns0:c>
      <ns0:c r="Y72" s="3">
        <ns0:v>3.1869</ns0:v>
      </ns0:c>
      <ns0:c r="Z72" s="3">
        <ns0:v>2.5723</ns0:v>
      </ns0:c>
      <ns0:c r="AA72" s="3">
        <ns0:v>1.9356</ns0:v>
      </ns0:c>
      <ns0:c r="AB72" s="3">
        <ns0:v>1.7336</ns0:v>
      </ns0:c>
    </ns0:row>
    <ns0:row r="73" spans="1:28">
      <ns0:c r="A73" s="4">
        <ns0:v>46015</ns0:v>
      </ns0:c>
      <ns0:c r="B73" s="7"/>
      <ns0:c r="C73" s="2" t="s">
        <ns0:v>36</ns0:v>
      </ns0:c>
      <ns0:c r="D73" s="3">
        <ns0:v>54.987</ns0:v>
      </ns0:c>
      <ns0:c r="E73" s="13">
        <ns0:v>1.58</ns0:v>
      </ns0:c>
      <ns0:c r="F73" s="13">
        <ns0:v>1.6</ns0:v>
      </ns0:c>
      <ns0:c r="G73" s="13">
        <ns0:v>1.317</ns0:v>
      </ns0:c>
      <ns0:c r="H73" s="13">
        <ns0:v>1.629</ns0:v>
      </ns0:c>
      <ns0:c r="I73" s="13">
        <ns0:v>1.179</ns0:v>
      </ns0:c>
      <ns0:c r="J73" s="13">
        <ns0:v>1.453</ns0:v>
      </ns0:c>
      <ns0:c r="K73" s="13">
        <ns0:v>1.372</ns0:v>
      </ns0:c>
      <ns0:c r="L73" s="13">
        <ns0:v>1.937</ns0:v>
      </ns0:c>
      <ns0:c r="M73" s="13">
        <ns0:v>3.809</ns0:v>
      </ns0:c>
      <ns0:c r="N73" s="13">
        <ns0:v>3.278</ns0:v>
      </ns0:c>
      <ns0:c r="O73" s="13">
        <ns0:v>2.823</ns0:v>
      </ns0:c>
      <ns0:c r="P73" s="13">
        <ns0:v>2.752</ns0:v>
      </ns0:c>
      <ns0:c r="Q73" s="13">
        <ns0:v>1.943</ns0:v>
      </ns0:c>
      <ns0:c r="R73" s="13">
        <ns0:v>2.319</ns0:v>
      </ns0:c>
      <ns0:c r="S73" s="13">
        <ns0:v>2.737</ns0:v>
      </ns0:c>
      <ns0:c r="T73" s="13">
        <ns0:v>2.652</ns0:v>
      </ns0:c>
      <ns0:c r="U73" s="13">
        <ns0:v>3.816</ns0:v>
      </ns0:c>
      <ns0:c r="V73" s="13">
        <ns0:v>3.546</ns0:v>
      </ns0:c>
      <ns0:c r="W73" s="13">
        <ns0:v>2.925</ns0:v>
      </ns0:c>
      <ns0:c r="X73" s="13">
        <ns0:v>2.423</ns0:v>
      </ns0:c>
      <ns0:c r="Y73" s="13">
        <ns0:v>2.923</ns0:v>
      </ns0:c>
      <ns0:c r="Z73" s="13">
        <ns0:v>1.98</ns0:v>
      </ns0:c>
      <ns0:c r="AA73" s="13">
        <ns0:v>1.604</ns0:v>
      </ns0:c>
      <ns0:c r="AB73" s="13">
        <ns0:v>1.39</ns0:v>
      </ns0:c>
    </ns0:row>
    <ns0:row r="74" spans="1:28">
      <ns0:c r="A74" s="4">
        <ns0:v>46016</ns0:v>
      </ns0:c>
      <ns0:c r="B74" s="5">
        <ns0:v>251.7770878</ns0:v>
      </ns0:c>
      <ns0:c r="C74" s="2" t="s">
        <ns0:v>33</ns0:v>
      </ns0:c>
      <ns0:c r="D74" s="3">
        <ns0:v>67.941618</ns0:v>
      </ns0:c>
      <ns0:c r="E74" s="3">
        <ns0:v>1.75328</ns0:v>
      </ns0:c>
      <ns0:c r="F74" s="3">
        <ns0:v>1.800953</ns0:v>
      </ns0:c>
      <ns0:c r="G74" s="3">
        <ns0:v>1.74814</ns0:v>
      </ns0:c>
      <ns0:c r="H74" s="3">
        <ns0:v>1.767515</ns0:v>
      </ns0:c>
      <ns0:c r="I74" s="3">
        <ns0:v>1.719532</ns0:v>
      </ns0:c>
      <ns0:c r="J74" s="3">
        <ns0:v>1.717245</ns0:v>
      </ns0:c>
      <ns0:c r="K74" s="3">
        <ns0:v>1.65364</ns0:v>
      </ns0:c>
      <ns0:c r="L74" s="3">
        <ns0:v>2.028603</ns0:v>
      </ns0:c>
      <ns0:c r="M74" s="3">
        <ns0:v>4.00195</ns0:v>
      </ns0:c>
      <ns0:c r="N74" s="3">
        <ns0:v>4.283125</ns0:v>
      </ns0:c>
      <ns0:c r="O74" s="3">
        <ns0:v>3.631822</ns0:v>
      </ns0:c>
      <ns0:c r="P74" s="3">
        <ns0:v>3.404121</ns0:v>
      </ns0:c>
      <ns0:c r="Q74" s="3">
        <ns0:v>2.766372</ns0:v>
      </ns0:c>
      <ns0:c r="R74" s="3">
        <ns0:v>3.35405</ns0:v>
      </ns0:c>
      <ns0:c r="S74" s="3">
        <ns0:v>4.036443</ns0:v>
      </ns0:c>
      <ns0:c r="T74" s="3">
        <ns0:v>3.841989</ns0:v>
      </ns0:c>
      <ns0:c r="U74" s="3">
        <ns0:v>4.057748</ns0:v>
      </ns0:c>
      <ns0:c r="V74" s="3">
        <ns0:v>3.847562</ns0:v>
      </ns0:c>
      <ns0:c r="W74" s="3">
        <ns0:v>3.438526</ns0:v>
      </ns0:c>
      <ns0:c r="X74" s="3">
        <ns0:v>3.655935</ns0:v>
      </ns0:c>
      <ns0:c r="Y74" s="3">
        <ns0:v>3.152615</ns0:v>
      </ns0:c>
      <ns0:c r="Z74" s="3">
        <ns0:v>2.555765</ns0:v>
      </ns0:c>
      <ns0:c r="AA74" s="3">
        <ns0:v>1.947182</ns0:v>
      </ns0:c>
      <ns0:c r="AB74" s="3">
        <ns0:v>1.777505</ns0:v>
      </ns0:c>
    </ns0:row>
    <ns0:row r="75" spans="1:28">
      <ns0:c r="A75" s="4">
        <ns0:v>46016</ns0:v>
      </ns0:c>
      <ns0:c r="B75" s="5"/>
      <ns0:c r="C75" s="6" t="s">
        <ns0:v>49</ns0:v>
      </ns0:c>
      <ns0:c r="D75" s="3">
        <ns0:v>69.6918</ns0:v>
      </ns0:c>
      <ns0:c r="E75" s="3">
        <ns0:v>1.7725</ns0:v>
      </ns0:c>
      <ns0:c r="F75" s="3">
        <ns0:v>1.6885</ns0:v>
      </ns0:c>
      <ns0:c r="G75" s="3">
        <ns0:v>1.7727</ns0:v>
      </ns0:c>
      <ns0:c r="H75" s="3">
        <ns0:v>1.771</ns0:v>
      </ns0:c>
      <ns0:c r="I75" s="3">
        <ns0:v>1.7884</ns0:v>
      </ns0:c>
      <ns0:c r="J75" s="3">
        <ns0:v>1.7019</ns0:v>
      </ns0:c>
      <ns0:c r="K75" s="3">
        <ns0:v>1.709</ns0:v>
      </ns0:c>
      <ns0:c r="L75" s="3">
        <ns0:v>2.0755</ns0:v>
      </ns0:c>
      <ns0:c r="M75" s="3">
        <ns0:v>4.1571</ns0:v>
      </ns0:c>
      <ns0:c r="N75" s="3">
        <ns0:v>4.5124</ns0:v>
      </ns0:c>
      <ns0:c r="O75" s="3">
        <ns0:v>3.932</ns0:v>
      </ns0:c>
      <ns0:c r="P75" s="3">
        <ns0:v>3.7706</ns0:v>
      </ns0:c>
      <ns0:c r="Q75" s="3">
        <ns0:v>3.088</ns0:v>
      </ns0:c>
      <ns0:c r="R75" s="3">
        <ns0:v>3.7258</ns0:v>
      </ns0:c>
      <ns0:c r="S75" s="3">
        <ns0:v>4.1207</ns0:v>
      </ns0:c>
      <ns0:c r="T75" s="3">
        <ns0:v>3.8948</ns0:v>
      </ns0:c>
      <ns0:c r="U75" s="3">
        <ns0:v>4.0013</ns0:v>
      </ns0:c>
      <ns0:c r="V75" s="3">
        <ns0:v>3.8048</ns0:v>
      </ns0:c>
      <ns0:c r="W75" s="3">
        <ns0:v>3.4271</ns0:v>
      </ns0:c>
      <ns0:c r="X75" s="3">
        <ns0:v>3.7192</ns0:v>
      </ns0:c>
      <ns0:c r="Y75" s="3">
        <ns0:v>3.0564</ns0:v>
      </ns0:c>
      <ns0:c r="Z75" s="3">
        <ns0:v>2.5827</ns0:v>
      </ns0:c>
      <ns0:c r="AA75" s="3">
        <ns0:v>1.9445</ns0:v>
      </ns0:c>
      <ns0:c r="AB75" s="3">
        <ns0:v>1.6749</ns0:v>
      </ns0:c>
    </ns0:row>
    <ns0:row r="76" spans="1:28">
      <ns0:c r="A76" s="4">
        <ns0:v>46016</ns0:v>
      </ns0:c>
      <ns0:c r="B76" s="7"/>
      <ns0:c r="C76" s="2" t="s">
        <ns0:v>36</ns0:v>
      </ns0:c>
      <ns0:c r="D76" s="3">
        <ns0:v>64.42</ns0:v>
      </ns0:c>
      <ns0:c r="E76" s="13">
        <ns0:v>1.578</ns0:v>
      </ns0:c>
      <ns0:c r="F76" s="13">
        <ns0:v>1.801</ns0:v>
      </ns0:c>
      <ns0:c r="G76" s="13">
        <ns0:v>1.573</ns0:v>
      </ns0:c>
      <ns0:c r="H76" s="13">
        <ns0:v>1.591</ns0:v>
      </ns0:c>
      <ns0:c r="I76" s="13">
        <ns0:v>1.548</ns0:v>
      </ns0:c>
      <ns0:c r="J76" s="13">
        <ns0:v>1.889</ns0:v>
      </ns0:c>
      <ns0:c r="K76" s="13">
        <ns0:v>1.571</ns0:v>
      </ns0:c>
      <ns0:c r="L76" s="13">
        <ns0:v>2.231</ns0:v>
      </ns0:c>
      <ns0:c r="M76" s="13">
        <ns0:v>4.802</ns0:v>
      </ns0:c>
      <ns0:c r="N76" s="13">
        <ns0:v>4.711</ns0:v>
      </ns0:c>
      <ns0:c r="O76" s="13">
        <ns0:v>3.995</ns0:v>
      </ns0:c>
      <ns0:c r="P76" s="13">
        <ns0:v>3.064</ns0:v>
      </ns0:c>
      <ns0:c r="Q76" s="13">
        <ns0:v>2.49</ns0:v>
      </ns0:c>
      <ns0:c r="R76" s="13">
        <ns0:v>2.683</ns0:v>
      </ns0:c>
      <ns0:c r="S76" s="13">
        <ns0:v>3.229</ns0:v>
      </ns0:c>
      <ns0:c r="T76" s="13">
        <ns0:v>3.074</ns0:v>
      </ns0:c>
      <ns0:c r="U76" s="13">
        <ns0:v>4.464</ns0:v>
      </ns0:c>
      <ns0:c r="V76" s="13">
        <ns0:v>4.232</ns0:v>
      </ns0:c>
      <ns0:c r="W76" s="13">
        <ns0:v>3.439</ns0:v>
      </ns0:c>
      <ns0:c r="X76" s="13">
        <ns0:v>2.925</ns0:v>
      </ns0:c>
      <ns0:c r="Y76" s="13">
        <ns0:v>2.522</ns0:v>
      </ns0:c>
      <ns0:c r="Z76" s="13">
        <ns0:v>2.045</ns0:v>
      </ns0:c>
      <ns0:c r="AA76" s="13">
        <ns0:v>1.363</ns0:v>
      </ns0:c>
      <ns0:c r="AB76" s="13">
        <ns0:v>1.6</ns0:v>
      </ns0:c>
    </ns0:row>
    <ns0:row r="77" spans="1:28">
      <ns0:c r="A77" s="4">
        <ns0:v>46017</ns0:v>
      </ns0:c>
      <ns0:c r="B77" s="5">
        <ns0:v>-1300.992934</ns0:v>
      </ns0:c>
      <ns0:c r="C77" s="2" t="s">
        <ns0:v>33</ns0:v>
      </ns0:c>
      <ns0:c r="D77" s="3">
        <ns0:v>63.143855</ns0:v>
      </ns0:c>
      <ns0:c r="E77" s="3">
        <ns0:v>1.635533</ns0:v>
      </ns0:c>
      <ns0:c r="F77" s="3">
        <ns0:v>1.636245</ns0:v>
      </ns0:c>
      <ns0:c r="G77" s="3">
        <ns0:v>1.636277</ns0:v>
      </ns0:c>
      <ns0:c r="H77" s="3">
        <ns0:v>1.563875</ns0:v>
      </ns0:c>
      <ns0:c r="I77" s="3">
        <ns0:v>1.549685</ns0:v>
      </ns0:c>
      <ns0:c r="J77" s="3">
        <ns0:v>1.589473</ns0:v>
      </ns0:c>
      <ns0:c r="K77" s="3">
        <ns0:v>1.52707</ns0:v>
      </ns0:c>
      <ns0:c r="L77" s="3">
        <ns0:v>1.933175</ns0:v>
      </ns0:c>
      <ns0:c r="M77" s="3">
        <ns0:v>3.731695</ns0:v>
      </ns0:c>
      <ns0:c r="N77" s="3">
        <ns0:v>3.888219</ns0:v>
      </ns0:c>
      <ns0:c r="O77" s="3">
        <ns0:v>3.471819</ns0:v>
      </ns0:c>
      <ns0:c r="P77" s="3">
        <ns0:v>3.349316</ns0:v>
      </ns0:c>
      <ns0:c r="Q77" s="3">
        <ns0:v>2.56587</ns0:v>
      </ns0:c>
      <ns0:c r="R77" s="3">
        <ns0:v>3.063118</ns0:v>
      </ns0:c>
      <ns0:c r="S77" s="3">
        <ns0:v>3.722244</ns0:v>
      </ns0:c>
      <ns0:c r="T77" s="3">
        <ns0:v>3.614727</ns0:v>
      </ns0:c>
      <ns0:c r="U77" s="3">
        <ns0:v>3.694616</ns0:v>
      </ns0:c>
      <ns0:c r="V77" s="3">
        <ns0:v>3.557796</ns0:v>
      </ns0:c>
      <ns0:c r="W77" s="3">
        <ns0:v>3.184105</ns0:v>
      </ns0:c>
      <ns0:c r="X77" s="3">
        <ns0:v>3.339847</ns0:v>
      </ns0:c>
      <ns0:c r="Y77" s="3">
        <ns0:v>2.977145</ns0:v>
      </ns0:c>
      <ns0:c r="Z77" s="3">
        <ns0:v>2.424145</ns0:v>
      </ns0:c>
      <ns0:c r="AA77" s="3">
        <ns0:v>1.876215</ns0:v>
      </ns0:c>
      <ns0:c r="AB77" s="3">
        <ns0:v>1.611645</ns0:v>
      </ns0:c>
    </ns0:row>
    <ns0:row r="78" spans="1:28">
      <ns0:c r="A78" s="4">
        <ns0:v>46017</ns0:v>
      </ns0:c>
      <ns0:c r="B78" s="5"/>
      <ns0:c r="C78" s="6" t="s">
        <ns0:v>49</ns0:v>
      </ns0:c>
      <ns0:c r="D78" s="3">
        <ns0:v>68.8664</ns0:v>
      </ns0:c>
      <ns0:c r="E78" s="3">
        <ns0:v>1.6789</ns0:v>
      </ns0:c>
      <ns0:c r="F78" s="3">
        <ns0:v>1.6041</ns0:v>
      </ns0:c>
      <ns0:c r="G78" s="3">
        <ns0:v>1.6788</ns0:v>
      </ns0:c>
      <ns0:c r="H78" s="3">
        <ns0:v>1.6366</ns0:v>
      </ns0:c>
      <ns0:c r="I78" s="3">
        <ns0:v>1.6497</ns0:v>
      </ns0:c>
      <ns0:c r="J78" s="3">
        <ns0:v>1.682</ns0:v>
      </ns0:c>
      <ns0:c r="K78" s="3">
        <ns0:v>1.6832</ns0:v>
      </ns0:c>
      <ns0:c r="L78" s="3">
        <ns0:v>2.1012</ns0:v>
      </ns0:c>
      <ns0:c r="M78" s="3">
        <ns0:v>4.1755</ns0:v>
      </ns0:c>
      <ns0:c r="N78" s="3">
        <ns0:v>4.5612</ns0:v>
      </ns0:c>
      <ns0:c r="O78" s="3">
        <ns0:v>3.9498</ns0:v>
      </ns0:c>
      <ns0:c r="P78" s="3">
        <ns0:v>3.727</ns0:v>
      </ns0:c>
      <ns0:c r="Q78" s="3">
        <ns0:v>3.1096</ns0:v>
      </ns0:c>
      <ns0:c r="R78" s="3">
        <ns0:v>3.6996</ns0:v>
      </ns0:c>
      <ns0:c r="S78" s="3">
        <ns0:v>4.2404</ns0:v>
      </ns0:c>
      <ns0:c r="T78" s="3">
        <ns0:v>4.0832</ns0:v>
      </ns0:c>
      <ns0:c r="U78" s="3">
        <ns0:v>4.0606</ns0:v>
      </ns0:c>
      <ns0:c r="V78" s="3">
        <ns0:v>3.6774</ns0:v>
      </ns0:c>
      <ns0:c r="W78" s="3">
        <ns0:v>3.3302</ns0:v>
      </ns0:c>
      <ns0:c r="X78" s="3">
        <ns0:v>3.6571</ns0:v>
      </ns0:c>
      <ns0:c r="Y78" s="3">
        <ns0:v>3.1501</ns0:v>
      </ns0:c>
      <ns0:c r="Z78" s="3">
        <ns0:v>2.3734</ns0:v>
      </ns0:c>
      <ns0:c r="AA78" s="3">
        <ns0:v>1.7701</ns0:v>
      </ns0:c>
      <ns0:c r="AB78" s="3">
        <ns0:v>1.5867</ns0:v>
      </ns0:c>
    </ns0:row>
    <ns0:row r="79" spans="1:28">
      <ns0:c r="A79" s="4">
        <ns0:v>46017</ns0:v>
      </ns0:c>
      <ns0:c r="B79" s="7"/>
      <ns0:c r="C79" s="2" t="s">
        <ns0:v>36</ns0:v>
      </ns0:c>
      <ns0:c r="D79" s="3">
        <ns0:v>56.244</ns0:v>
      </ns0:c>
      <ns0:c r="E79" s="13">
        <ns0:v>1.472</ns0:v>
      </ns0:c>
      <ns0:c r="F79" s="13">
        <ns0:v>1.636</ns0:v>
      </ns0:c>
      <ns0:c r="G79" s="13">
        <ns0:v>1.473</ns0:v>
      </ns0:c>
      <ns0:c r="H79" s="13">
        <ns0:v>1.407</ns0:v>
      </ns0:c>
      <ns0:c r="I79" s="13">
        <ns0:v>1.55</ns0:v>
      </ns0:c>
      <ns0:c r="J79" s="13">
        <ns0:v>1.431</ns0:v>
      </ns0:c>
      <ns0:c r="K79" s="13">
        <ns0:v>1.374</ns0:v>
      </ns0:c>
      <ns0:c r="L79" s="13">
        <ns0:v>1.547</ns0:v>
      </ns0:c>
      <ns0:c r="M79" s="13">
        <ns0:v>4.105</ns0:v>
      </ns0:c>
      <ns0:c r="N79" s="13">
        <ns0:v>3.499</ns0:v>
      </ns0:c>
      <ns0:c r="O79" s="13">
        <ns0:v>2.777</ns0:v>
      </ns0:c>
      <ns0:c r="P79" s="13">
        <ns0:v>2.679</ns0:v>
      </ns0:c>
      <ns0:c r="Q79" s="13">
        <ns0:v>2.053</ns0:v>
      </ns0:c>
      <ns0:c r="R79" s="13">
        <ns0:v>2.45</ns0:v>
      </ns0:c>
      <ns0:c r="S79" s="13">
        <ns0:v>2.978</ns0:v>
      </ns0:c>
      <ns0:c r="T79" s="13">
        <ns0:v>3.253</ns0:v>
      </ns0:c>
      <ns0:c r="U79" s="13">
        <ns0:v>3.325</ns0:v>
      </ns0:c>
      <ns0:c r="V79" s="13">
        <ns0:v>3.914</ns0:v>
      </ns0:c>
      <ns0:c r="W79" s="13">
        <ns0:v>2.866</ns0:v>
      </ns0:c>
      <ns0:c r="X79" s="13">
        <ns0:v>2.672</ns0:v>
      </ns0:c>
      <ns0:c r="Y79" s="13">
        <ns0:v>2.382</ns0:v>
      </ns0:c>
      <ns0:c r="Z79" s="13">
        <ns0:v>1.939</ns0:v>
      </ns0:c>
      <ns0:c r="AA79" s="13">
        <ns0:v>1.689</ns0:v>
      </ns0:c>
      <ns0:c r="AB79" s="13">
        <ns0:v>1.773</ns0:v>
      </ns0:c>
    </ns0:row>
    <ns0:row r="80" spans="1:28">
      <ns0:c r="A80" s="4">
        <ns0:v>46018</ns0:v>
      </ns0:c>
      <ns0:c r="B80" s="5">
        <ns0:v>69.8965929999999</ns0:v>
      </ns0:c>
      <ns0:c r="C80" s="2" t="s">
        <ns0:v>33</ns0:v>
      </ns0:c>
      <ns0:c r="D80" s="3">
        <ns0:v>65.824439</ns0:v>
      </ns0:c>
      <ns0:c r="E80" s="3">
        <ns0:v>1.7381</ns0:v>
      </ns0:c>
      <ns0:c r="F80" s="3">
        <ns0:v>1.780295</ns0:v>
      </ns0:c>
      <ns0:c r="G80" s="3">
        <ns0:v>1.753395</ns0:v>
      </ns0:c>
      <ns0:c r="H80" s="3">
        <ns0:v>1.751788</ns0:v>
      </ns0:c>
      <ns0:c r="I80" s="3">
        <ns0:v>1.72945</ns0:v>
      </ns0:c>
      <ns0:c r="J80" s="3">
        <ns0:v>1.739455</ns0:v>
      </ns0:c>
      <ns0:c r="K80" s="3">
        <ns0:v>1.665767</ns0:v>
      </ns0:c>
      <ns0:c r="L80" s="3">
        <ns0:v>1.978745</ns0:v>
      </ns0:c>
      <ns0:c r="M80" s="3">
        <ns0:v>3.987343</ns0:v>
      </ns0:c>
      <ns0:c r="N80" s="3">
        <ns0:v>4.252326</ns0:v>
      </ns0:c>
      <ns0:c r="O80" s="3">
        <ns0:v>3.607168</ns0:v>
      </ns0:c>
      <ns0:c r="P80" s="3">
        <ns0:v>3.459973</ns0:v>
      </ns0:c>
      <ns0:c r="Q80" s="3">
        <ns0:v>2.840272</ns0:v>
      </ns0:c>
      <ns0:c r="R80" s="3">
        <ns0:v>3.436265</ns0:v>
      </ns0:c>
      <ns0:c r="S80" s="3">
        <ns0:v>3.875668</ns0:v>
      </ns0:c>
      <ns0:c r="T80" s="3">
        <ns0:v>3.783392</ns0:v>
      </ns0:c>
      <ns0:c r="U80" s="3">
        <ns0:v>3.836865</ns0:v>
      </ns0:c>
      <ns0:c r="V80" s="3">
        <ns0:v>3.60637</ns0:v>
      </ns0:c>
      <ns0:c r="W80" s="3">
        <ns0:v>3.034635</ns0:v>
      </ns0:c>
      <ns0:c r="X80" s="3">
        <ns0:v>3.117965</ns0:v>
      </ns0:c>
      <ns0:c r="Y80" s="3">
        <ns0:v>2.818487</ns0:v>
      </ns0:c>
      <ns0:c r="Z80" s="3">
        <ns0:v>2.443203</ns0:v>
      </ns0:c>
      <ns0:c r="AA80" s="3">
        <ns0:v>1.889107</ns0:v>
      </ns0:c>
      <ns0:c r="AB80" s="3">
        <ns0:v>1.698405</ns0:v>
      </ns0:c>
    </ns0:row>
    <ns0:row r="81" spans="1:28">
      <ns0:c r="A81" s="4">
        <ns0:v>46018</ns0:v>
      </ns0:c>
      <ns0:c r="B81" s="5"/>
      <ns0:c r="C81" s="6" t="s">
        <ns0:v>49</ns0:v>
      </ns0:c>
      <ns0:c r="D81" s="3">
        <ns0:v>59.5489</ns0:v>
      </ns0:c>
      <ns0:c r="E81" s="3">
        <ns0:v>1.6157</ns0:v>
      </ns0:c>
      <ns0:c r="F81" s="3">
        <ns0:v>1.5353</ns0:v>
      </ns0:c>
      <ns0:c r="G81" s="3">
        <ns0:v>1.545</ns0:v>
      </ns0:c>
      <ns0:c r="H81" s="3">
        <ns0:v>1.4864</ns0:v>
      </ns0:c>
      <ns0:c r="I81" s="3">
        <ns0:v>1.4318</ns0:v>
      </ns0:c>
      <ns0:c r="J81" s="3">
        <ns0:v>1.4136</ns0:v>
      </ns0:c>
      <ns0:c r="K81" s="3">
        <ns0:v>1.3556</ns0:v>
      </ns0:c>
      <ns0:c r="L81" s="3">
        <ns0:v>1.806</ns0:v>
      </ns0:c>
      <ns0:c r="M81" s="3">
        <ns0:v>3.7893</ns0:v>
      </ns0:c>
      <ns0:c r="N81" s="3">
        <ns0:v>4.0305</ns0:v>
      </ns0:c>
      <ns0:c r="O81" s="3">
        <ns0:v>3.3604</ns0:v>
      </ns0:c>
      <ns0:c r="P81" s="3">
        <ns0:v>3.0744</ns0:v>
      </ns0:c>
      <ns0:c r="Q81" s="3">
        <ns0:v>2.4993</ns0:v>
      </ns0:c>
      <ns0:c r="R81" s="3">
        <ns0:v>3.2962</ns0:v>
      </ns0:c>
      <ns0:c r="S81" s="3">
        <ns0:v>3.5676</ns0:v>
      </ns0:c>
      <ns0:c r="T81" s="3">
        <ns0:v>3.3599</ns0:v>
      </ns0:c>
      <ns0:c r="U81" s="3">
        <ns0:v>3.3965</ns0:v>
      </ns0:c>
      <ns0:c r="V81" s="3">
        <ns0:v>3.2543</ns0:v>
      </ns0:c>
      <ns0:c r="W81" s="3">
        <ns0:v>2.8012</ns0:v>
      </ns0:c>
      <ns0:c r="X81" s="3">
        <ns0:v>2.953</ns0:v>
      </ns0:c>
      <ns0:c r="Y81" s="3">
        <ns0:v>2.6156</ns0:v>
      </ns0:c>
      <ns0:c r="Z81" s="3">
        <ns0:v>2.1089</ns0:v>
      </ns0:c>
      <ns0:c r="AA81" s="3">
        <ns0:v>1.7209</ns0:v>
      </ns0:c>
      <ns0:c r="AB81" s="3">
        <ns0:v>1.5315</ns0:v>
      </ns0:c>
    </ns0:row>
    <ns0:row r="82" spans="1:28">
      <ns0:c r="A82" s="4">
        <ns0:v>46018</ns0:v>
      </ns0:c>
      <ns0:c r="B82" s="7"/>
      <ns0:c r="C82" s="2" t="s">
        <ns0:v>36</ns0:v>
      </ns0:c>
      <ns0:c r="D82" s="3">
        <ns0:v>61.696</ns0:v>
      </ns0:c>
      <ns0:c r="E82" s="13">
        <ns0:v>1.912</ns0:v>
      </ns0:c>
      <ns0:c r="F82" s="13">
        <ns0:v>2.136</ns0:v>
      </ns0:c>
      <ns0:c r="G82" s="13">
        <ns0:v>1.929</ns0:v>
      </ns0:c>
      <ns0:c r="H82" s="13">
        <ns0:v>1.927</ns0:v>
      </ns0:c>
      <ns0:c r="I82" s="13">
        <ns0:v>1.902</ns0:v>
      </ns0:c>
      <ns0:c r="J82" s="13">
        <ns0:v>1.913</ns0:v>
      </ns0:c>
      <ns0:c r="K82" s="13">
        <ns0:v>1.499</ns0:v>
      </ns0:c>
      <ns0:c r="L82" s="13">
        <ns0:v>1.781</ns0:v>
      </ns0:c>
      <ns0:c r="M82" s="13">
        <ns0:v>4.386</ns0:v>
      </ns0:c>
      <ns0:c r="N82" s="13">
        <ns0:v>3.402</ns0:v>
      </ns0:c>
      <ns0:c r="O82" s="13">
        <ns0:v>3.246</ns0:v>
      </ns0:c>
      <ns0:c r="P82" s="13">
        <ns0:v>3.806</ns0:v>
      </ns0:c>
      <ns0:c r="Q82" s="13">
        <ns0:v>2.556</ns0:v>
      </ns0:c>
      <ns0:c r="R82" s="13">
        <ns0:v>3.436</ns0:v>
      </ns0:c>
      <ns0:c r="S82" s="13">
        <ns0:v>3.488</ns0:v>
      </ns0:c>
      <ns0:c r="T82" s="13">
        <ns0:v>3.027</ns0:v>
      </ns0:c>
      <ns0:c r="U82" s="13">
        <ns0:v>3.069</ns0:v>
      </ns0:c>
      <ns0:c r="V82" s="13">
        <ns0:v>3.246</ns0:v>
      </ns0:c>
      <ns0:c r="W82" s="13">
        <ns0:v>3.338</ns0:v>
      </ns0:c>
      <ns0:c r="X82" s="13">
        <ns0:v>2.806</ns0:v>
      </ns0:c>
      <ns0:c r="Y82" s="13">
        <ns0:v>2.255</ns0:v>
      </ns0:c>
      <ns0:c r="Z82" s="13">
        <ns0:v>1.955</ns0:v>
      </ns0:c>
      <ns0:c r="AA82" s="13">
        <ns0:v>1.322</ns0:v>
      </ns0:c>
      <ns0:c r="AB82" s="13">
        <ns0:v>1.359</ns0:v>
      </ns0:c>
    </ns0:row>
    <ns0:row r="83" spans="1:28">
      <ns0:c r="A83" s="4">
        <ns0:v>46019</ns0:v>
      </ns0:c>
      <ns0:c r="B83" s="5">
        <ns0:v>-30.5003588</ns0:v>
      </ns0:c>
      <ns0:c r="C83" s="2" t="s">
        <ns0:v>33</ns0:v>
      </ns0:c>
      <ns0:c r="D83" s="3">
        <ns0:v>44.023753</ns0:v>
      </ns0:c>
      <ns0:c r="E83" s="3">
        <ns0:v>1.661795</ns0:v>
      </ns0:c>
      <ns0:c r="F83" s="3">
        <ns0:v>1.703775</ns0:v>
      </ns0:c>
      <ns0:c r="G83" s="3">
        <ns0:v>1.638</ns0:v>
      </ns0:c>
      <ns0:c r="H83" s="3">
        <ns0:v>1.558623</ns0:v>
      </ns0:c>
      <ns0:c r="I83" s="3">
        <ns0:v>1.55628</ns0:v>
      </ns0:c>
      <ns0:c r="J83" s="3">
        <ns0:v>1.548135</ns0:v>
      </ns0:c>
      <ns0:c r="K83" s="3">
        <ns0:v>1.461677</ns0:v>
      </ns0:c>
      <ns0:c r="L83" s="3">
        <ns0:v>1.404798</ns0:v>
      </ns0:c>
      <ns0:c r="M83" s="3">
        <ns0:v>2.460432</ns0:v>
      </ns0:c>
      <ns0:c r="N83" s="3">
        <ns0:v>2.668748</ns0:v>
      </ns0:c>
      <ns0:c r="O83" s="3">
        <ns0:v>2.281992</ns0:v>
      </ns0:c>
      <ns0:c r="P83" s="3">
        <ns0:v>2.211718</ns0:v>
      </ns0:c>
      <ns0:c r="Q83" s="3">
        <ns0:v>2.023715</ns0:v>
      </ns0:c>
      <ns0:c r="R83" s="3">
        <ns0:v>1.998917</ns0:v>
      </ns0:c>
      <ns0:c r="S83" s="3">
        <ns0:v>2.416623</ns0:v>
      </ns0:c>
      <ns0:c r="T83" s="3">
        <ns0:v>2.33832</ns0:v>
      </ns0:c>
      <ns0:c r="U83" s="3">
        <ns0:v>2.38244</ns0:v>
      </ns0:c>
      <ns0:c r="V83" s="3">
        <ns0:v>2.272885</ns0:v>
      </ns0:c>
      <ns0:c r="W83" s="3">
        <ns0:v>1.567585</ns0:v>
      </ns0:c>
      <ns0:c r="X83" s="3">
        <ns0:v>1.514125</ns0:v>
      </ns0:c>
      <ns0:c r="Y83" s="3">
        <ns0:v>1.425795</ns0:v>
      </ns0:c>
      <ns0:c r="Z83" s="3">
        <ns0:v>1.382715</ns0:v>
      </ns0:c>
      <ns0:c r="AA83" s="3">
        <ns0:v>1.287795</ns0:v>
      </ns0:c>
      <ns0:c r="AB83" s="3">
        <ns0:v>1.256865</ns0:v>
      </ns0:c>
    </ns0:row>
    <ns0:row r="84" spans="1:28">
      <ns0:c r="A84" s="4">
        <ns0:v>46019</ns0:v>
      </ns0:c>
      <ns0:c r="B84" s="5"/>
      <ns0:c r="C84" s="6" t="s">
        <ns0:v>49</ns0:v>
      </ns0:c>
      <ns0:c r="D84" s="3">
        <ns0:v>44.121</ns0:v>
      </ns0:c>
      <ns0:c r="E84" s="3">
        <ns0:v>1.5047</ns0:v>
      </ns0:c>
      <ns0:c r="F84" s="3">
        <ns0:v>1.5097</ns0:v>
      </ns0:c>
      <ns0:c r="G84" s="3">
        <ns0:v>1.4577</ns0:v>
      </ns0:c>
      <ns0:c r="H84" s="3">
        <ns0:v>1.4233</ns0:v>
      </ns0:c>
      <ns0:c r="I84" s="3">
        <ns0:v>1.4076</ns0:v>
      </ns0:c>
      <ns0:c r="J84" s="3">
        <ns0:v>1.3959</ns0:v>
      </ns0:c>
      <ns0:c r="K84" s="3">
        <ns0:v>1.2655</ns0:v>
      </ns0:c>
      <ns0:c r="L84" s="3">
        <ns0:v>1.389</ns0:v>
      </ns0:c>
      <ns0:c r="M84" s="3">
        <ns0:v>2.4585</ns0:v>
      </ns0:c>
      <ns0:c r="N84" s="3">
        <ns0:v>2.755</ns0:v>
      </ns0:c>
      <ns0:c r="O84" s="3">
        <ns0:v>2.6065</ns0:v>
      </ns0:c>
      <ns0:c r="P84" s="3">
        <ns0:v>2.4707</ns0:v>
      </ns0:c>
      <ns0:c r="Q84" s="3">
        <ns0:v>1.8421</ns0:v>
      </ns0:c>
      <ns0:c r="R84" s="3">
        <ns0:v>1.8964</ns0:v>
      </ns0:c>
      <ns0:c r="S84" s="3">
        <ns0:v>2.3033</ns0:v>
      </ns0:c>
      <ns0:c r="T84" s="3">
        <ns0:v>2.4956</ns0:v>
      </ns0:c>
      <ns0:c r="U84" s="3">
        <ns0:v>2.4194</ns0:v>
      </ns0:c>
      <ns0:c r="V84" s="3">
        <ns0:v>2.3504</ns0:v>
      </ns0:c>
      <ns0:c r="W84" s="3">
        <ns0:v>1.7818</ns0:v>
      </ns0:c>
      <ns0:c r="X84" s="3">
        <ns0:v>1.7578</ns0:v>
      </ns0:c>
      <ns0:c r="Y84" s="3">
        <ns0:v>1.5008</ns0:v>
      </ns0:c>
      <ns0:c r="Z84" s="3">
        <ns0:v>1.4068</ns0:v>
      </ns0:c>
      <ns0:c r="AA84" s="3">
        <ns0:v>1.3423</ns0:v>
      </ns0:c>
      <ns0:c r="AB84" s="3">
        <ns0:v>1.3802</ns0:v>
      </ns0:c>
    </ns0:row>
    <ns0:row r="85" spans="1:28">
      <ns0:c r="A85" s="4">
        <ns0:v>46019</ns0:v>
      </ns0:c>
      <ns0:c r="B85" s="7"/>
      <ns0:c r="C85" s="2" t="s">
        <ns0:v>36</ns0:v>
      </ns0:c>
      <ns0:c r="D85" s="3">
        <ns0:v>43.773</ns0:v>
      </ns0:c>
      <ns0:c r="E85" s="13">
        <ns0:v>1.828</ns0:v>
      </ns0:c>
      <ns0:c r="F85" s="13">
        <ns0:v>1.874</ns0:v>
      </ns0:c>
      <ns0:c r="G85" s="13">
        <ns0:v>1.802</ns0:v>
      </ns0:c>
      <ns0:c r="H85" s="13">
        <ns0:v>1.403</ns0:v>
      </ns0:c>
      <ns0:c r="I85" s="13">
        <ns0:v>1.401</ns0:v>
      </ns0:c>
      <ns0:c r="J85" s="13">
        <ns0:v>1.393</ns0:v>
      </ns0:c>
      <ns0:c r="K85" s="13">
        <ns0:v>1.316</ns0:v>
      </ns0:c>
      <ns0:c r="L85" s="13">
        <ns0:v>1.264</ns0:v>
      </ns0:c>
      <ns0:c r="M85" s="13">
        <ns0:v>2.706</ns0:v>
      </ns0:c>
      <ns0:c r="N85" s="13">
        <ns0:v>2.936</ns0:v>
      </ns0:c>
      <ns0:c r="O85" s="13">
        <ns0:v>2.51</ns0:v>
      </ns0:c>
      <ns0:c r="P85" s="13">
        <ns0:v>2.433</ns0:v>
      </ns0:c>
      <ns0:c r="Q85" s="13">
        <ns0:v>1.821</ns0:v>
      </ns0:c>
      <ns0:c r="R85" s="13">
        <ns0:v>1.799</ns0:v>
      </ns0:c>
      <ns0:c r="S85" s="13">
        <ns0:v>2.175</ns0:v>
      </ns0:c>
      <ns0:c r="T85" s="13">
        <ns0:v>2.104</ns0:v>
      </ns0:c>
      <ns0:c r="U85" s="13">
        <ns0:v>2.144</ns0:v>
      </ns0:c>
      <ns0:c r="V85" s="13">
        <ns0:v>2.5</ns0:v>
      </ns0:c>
      <ns0:c r="W85" s="13">
        <ns0:v>1.881</ns0:v>
      </ns0:c>
      <ns0:c r="X85" s="13">
        <ns0:v>1.666</ns0:v>
      </ns0:c>
      <ns0:c r="Y85" s="13">
        <ns0:v>1.283</ns0:v>
      </ns0:c>
      <ns0:c r="Z85" s="13">
        <ns0:v>1.244</ns0:v>
      </ns0:c>
      <ns0:c r="AA85" s="13">
        <ns0:v>1.159</ns0:v>
      </ns0:c>
      <ns0:c r="AB85" s="13">
        <ns0:v>1.131</ns0:v>
      </ns0:c>
    </ns0:row>
    <ns0:row r="86" spans="1:28">
      <ns0:c r="A86" s="4">
        <ns0:v>46020</ns0:v>
      </ns0:c>
      <ns0:c r="B86" s="5">
        <ns0:v>119.372592</ns0:v>
      </ns0:c>
      <ns0:c r="C86" s="2" t="s">
        <ns0:v>33</ns0:v>
      </ns0:c>
      <ns0:c r="D86" s="3">
        <ns0:v>62.314862</ns0:v>
      </ns0:c>
      <ns0:c r="E86" s="3">
        <ns0:v>1.28506</ns0:v>
      </ns0:c>
      <ns0:c r="F86" s="3">
        <ns0:v>1.346755</ns0:v>
      </ns0:c>
      <ns0:c r="G86" s="3">
        <ns0:v>1.348575</ns0:v>
      </ns0:c>
      <ns0:c r="H86" s="3">
        <ns0:v>1.348638</ns0:v>
      </ns0:c>
      <ns0:c r="I86" s="3">
        <ns0:v>1.301075</ns0:v>
      </ns0:c>
      <ns0:c r="J86" s="3">
        <ns0:v>1.299185</ns0:v>
      </ns0:c>
      <ns0:c r="K86" s="3">
        <ns0:v>1.240072</ns0:v>
      </ns0:c>
      <ns0:c r="L86" s="3">
        <ns0:v>1.725175</ns0:v>
      </ns0:c>
      <ns0:c r="M86" s="3">
        <ns0:v>3.702275</ns0:v>
      </ns0:c>
      <ns0:c r="N86" s="3">
        <ns0:v>4.013055</ns0:v>
      </ns0:c>
      <ns0:c r="O86" s="3">
        <ns0:v>3.407568</ns0:v>
      </ns0:c>
      <ns0:c r="P86" s="3">
        <ns0:v>3.287805</ns0:v>
      </ns0:c>
      <ns0:c r="Q86" s="3">
        <ns0:v>2.785274</ns0:v>
      </ns0:c>
      <ns0:c r="R86" s="3">
        <ns0:v>3.286893</ns0:v>
      </ns0:c>
      <ns0:c r="S86" s="3">
        <ns0:v>3.874379</ns0:v>
      </ns0:c>
      <ns0:c r="T86" s="3">
        <ns0:v>3.735491</ns0:v>
      </ns0:c>
      <ns0:c r="U86" s="3">
        <ns0:v>3.892398</ns0:v>
      </ns0:c>
      <ns0:c r="V86" s="3">
        <ns0:v>3.618338</ns0:v>
      </ns0:c>
      <ns0:c r="W86" s="3">
        <ns0:v>3.260928</ns0:v>
      </ns0:c>
      <ns0:c r="X86" s="3">
        <ns0:v>3.422461</ns0:v>
      </ns0:c>
      <ns0:c r="Y86" s="3">
        <ns0:v>3.054876</ns0:v>
      </ns0:c>
      <ns0:c r="Z86" s="3">
        <ns0:v>2.530849</ns0:v>
      </ns0:c>
      <ns0:c r="AA86" s="3">
        <ns0:v>1.929476</ns0:v>
      </ns0:c>
      <ns0:c r="AB86" s="3">
        <ns0:v>1.618261</ns0:v>
      </ns0:c>
    </ns0:row>
    <ns0:row r="87" spans="1:28">
      <ns0:c r="A87" s="4">
        <ns0:v>46020</ns0:v>
      </ns0:c>
      <ns0:c r="B87" s="5"/>
      <ns0:c r="C87" s="6" t="s">
        <ns0:v>49</ns0:v>
      </ns0:c>
      <ns0:c r="D87" s="3">
        <ns0:v>58.3935</ns0:v>
      </ns0:c>
      <ns0:c r="E87" s="3">
        <ns0:v>1.3506</ns0:v>
      </ns0:c>
      <ns0:c r="F87" s="3">
        <ns0:v>1.3936</ns0:v>
      </ns0:c>
      <ns0:c r="G87" s="3">
        <ns0:v>1.3094</ns0:v>
      </ns0:c>
      <ns0:c r="H87" s="3">
        <ns0:v>1.251</ns0:v>
      </ns0:c>
      <ns0:c r="I87" s="3">
        <ns0:v>1.2444</ns0:v>
      </ns0:c>
      <ns0:c r="J87" s="3">
        <ns0:v>1.1999</ns0:v>
      </ns0:c>
      <ns0:c r="K87" s="3">
        <ns0:v>1.2099</ns0:v>
      </ns0:c>
      <ns0:c r="L87" s="3">
        <ns0:v>1.5834</ns0:v>
      </ns0:c>
      <ns0:c r="M87" s="3">
        <ns0:v>3.3467</ns0:v>
      </ns0:c>
      <ns0:c r="N87" s="3">
        <ns0:v>3.7245</ns0:v>
      </ns0:c>
      <ns0:c r="O87" s="3">
        <ns0:v>3.2724</ns0:v>
      </ns0:c>
      <ns0:c r="P87" s="3">
        <ns0:v>3.0803</ns0:v>
      </ns0:c>
      <ns0:c r="Q87" s="3">
        <ns0:v>2.5099</ns0:v>
      </ns0:c>
      <ns0:c r="R87" s="3">
        <ns0:v>3.0327</ns0:v>
      </ns0:c>
      <ns0:c r="S87" s="3">
        <ns0:v>3.4737</ns0:v>
      </ns0:c>
      <ns0:c r="T87" s="3">
        <ns0:v>3.4905</ns0:v>
      </ns0:c>
      <ns0:c r="U87" s="3">
        <ns0:v>3.4587</ns0:v>
      </ns0:c>
      <ns0:c r="V87" s="3">
        <ns0:v>3.4699</ns0:v>
      </ns0:c>
      <ns0:c r="W87" s="3">
        <ns0:v>3.0395</ns0:v>
      </ns0:c>
      <ns0:c r="X87" s="3">
        <ns0:v>3.27</ns0:v>
      </ns0:c>
      <ns0:c r="Y87" s="3">
        <ns0:v>2.9219</ns0:v>
      </ns0:c>
      <ns0:c r="Z87" s="3">
        <ns0:v>2.3838</ns0:v>
      </ns0:c>
      <ns0:c r="AA87" s="3">
        <ns0:v>1.8026</ns0:v>
      </ns0:c>
      <ns0:c r="AB87" s="3">
        <ns0:v>1.5742</ns0:v>
      </ns0:c>
    </ns0:row>
    <ns0:row r="88" spans="1:28">
      <ns0:c r="A88" s="4">
        <ns0:v>46020</ns0:v>
      </ns0:c>
      <ns0:c r="B88" s="7"/>
      <ns0:c r="C88" s="2" t="s">
        <ns0:v>36</ns0:v>
      </ns0:c>
      <ns0:c r="D88" s="3">
        <ns0:v>57.428</ns0:v>
      </ns0:c>
      <ns0:c r="E88" s="13">
        <ns0:v>1.414</ns0:v>
      </ns0:c>
      <ns0:c r="F88" s="13">
        <ns0:v>1.212</ns0:v>
      </ns0:c>
      <ns0:c r="G88" s="13">
        <ns0:v>1.214</ns0:v>
      </ns0:c>
      <ns0:c r="H88" s="13">
        <ns0:v>1.214</ns0:v>
      </ns0:c>
      <ns0:c r="I88" s="13">
        <ns0:v>1.171</ns0:v>
      </ns0:c>
      <ns0:c r="J88" s="13">
        <ns0:v>1.169</ns0:v>
      </ns0:c>
      <ns0:c r="K88" s="13">
        <ns0:v>1.116</ns0:v>
      </ns0:c>
      <ns0:c r="L88" s="13">
        <ns0:v>1.898</ns0:v>
      </ns0:c>
      <ns0:c r="M88" s="13">
        <ns0:v>4.073</ns0:v>
      </ns0:c>
      <ns0:c r="N88" s="13">
        <ns0:v>3.612</ns0:v>
      </ns0:c>
      <ns0:c r="O88" s="13">
        <ns0:v>3.067</ns0:v>
      </ns0:c>
      <ns0:c r="P88" s="13">
        <ns0:v>2.959</ns0:v>
      </ns0:c>
      <ns0:c r="Q88" s="13">
        <ns0:v>2.507</ns0:v>
      </ns0:c>
      <ns0:c r="R88" s="13">
        <ns0:v>2.958</ns0:v>
      </ns0:c>
      <ns0:c r="S88" s="13">
        <ns0:v>3.487</ns0:v>
      </ns0:c>
      <ns0:c r="T88" s="13">
        <ns0:v>3.362</ns0:v>
      </ns0:c>
      <ns0:c r="U88" s="13">
        <ns0:v>3.503</ns0:v>
      </ns0:c>
      <ns0:c r="V88" s="13">
        <ns0:v>3.257</ns0:v>
      </ns0:c>
      <ns0:c r="W88" s="13">
        <ns0:v>2.935</ns0:v>
      </ns0:c>
      <ns0:c r="X88" s="13">
        <ns0:v>3.08</ns0:v>
      </ns0:c>
      <ns0:c r="Y88" s="13">
        <ns0:v>2.749</ns0:v>
      </ns0:c>
      <ns0:c r="Z88" s="13">
        <ns0:v>2.278</ns0:v>
      </ns0:c>
      <ns0:c r="AA88" s="13">
        <ns0:v>1.737</ns0:v>
      </ns0:c>
      <ns0:c r="AB88" s="13">
        <ns0:v>1.456</ns0:v>
      </ns0:c>
    </ns0:row>
    <ns0:row r="89" spans="1:28">
      <ns0:c r="A89" s="4">
        <ns0:v>46021</ns0:v>
      </ns0:c>
      <ns0:c r="B89" s="5">
        <ns0:v>-187.198486</ns0:v>
      </ns0:c>
      <ns0:c r="C89" s="2" t="s">
        <ns0:v>33</ns0:v>
      </ns0:c>
      <ns0:c r="D89" s="3">
        <ns0:v>64.056527</ns0:v>
      </ns0:c>
      <ns0:c r="E89" s="3">
        <ns0:v>1.595841</ns0:v>
      </ns0:c>
      <ns0:c r="F89" s="3">
        <ns0:v>1.600906</ns0:v>
      </ns0:c>
      <ns0:c r="G89" s="3">
        <ns0:v>1.553219</ns0:v>
      </ns0:c>
      <ns0:c r="H89" s="3">
        <ns0:v>1.560876</ns0:v>
      </ns0:c>
      <ns0:c r="I89" s="3">
        <ns0:v>1.577541</ns0:v>
      </ns0:c>
      <ns0:c r="J89" s="3">
        <ns0:v>1.599511</ns0:v>
      </ns0:c>
      <ns0:c r="K89" s="3">
        <ns0:v>1.513366</ns0:v>
      </ns0:c>
      <ns0:c r="L89" s="3">
        <ns0:v>1.912151</ns0:v>
      </ns0:c>
      <ns0:c r="M89" s="3">
        <ns0:v>3.830943</ns0:v>
      </ns0:c>
      <ns0:c r="N89" s="3">
        <ns0:v>3.993706</ns0:v>
      </ns0:c>
      <ns0:c r="O89" s="3">
        <ns0:v>3.429557</ns0:v>
      </ns0:c>
      <ns0:c r="P89" s="3">
        <ns0:v>3.355569</ns0:v>
      </ns0:c>
      <ns0:c r="Q89" s="3">
        <ns0:v>2.679651</ns0:v>
      </ns0:c>
      <ns0:c r="R89" s="3">
        <ns0:v>3.249739</ns0:v>
      </ns0:c>
      <ns0:c r="S89" s="3">
        <ns0:v>3.762121</ns0:v>
      </ns0:c>
      <ns0:c r="T89" s="3">
        <ns0:v>3.615505</ns0:v>
      </ns0:c>
      <ns0:c r="U89" s="3">
        <ns0:v>3.828549</ns0:v>
      </ns0:c>
      <ns0:c r="V89" s="3">
        <ns0:v>3.653552</ns0:v>
      </ns0:c>
      <ns0:c r="W89" s="3">
        <ns0:v>3.287449</ns0:v>
      </ns0:c>
      <ns0:c r="X89" s="3">
        <ns0:v>3.41393</ns0:v>
      </ns0:c>
      <ns0:c r="Y89" s="3">
        <ns0:v>3.010305</ns0:v>
      </ns0:c>
      <ns0:c r="Z89" s="3">
        <ns0:v>2.49677</ns0:v>
      </ns0:c>
      <ns0:c r="AA89" s="3">
        <ns0:v>1.90547</ns0:v>
      </ns0:c>
      <ns0:c r="AB89" s="3">
        <ns0:v>1.6303</ns0:v>
      </ns0:c>
    </ns0:row>
    <ns0:row r="90" spans="1:28">
      <ns0:c r="A90" s="4">
        <ns0:v>46021</ns0:v>
      </ns0:c>
      <ns0:c r="B90" s="5"/>
      <ns0:c r="C90" s="6" t="s">
        <ns0:v>49</ns0:v>
      </ns0:c>
      <ns0:c r="D90" s="3">
        <ns0:v>61.0196</ns0:v>
      </ns0:c>
      <ns0:c r="E90" s="3">
        <ns0:v>1.6095</ns0:v>
      </ns0:c>
      <ns0:c r="F90" s="3">
        <ns0:v>1.5538</ns0:v>
      </ns0:c>
      <ns0:c r="G90" s="3">
        <ns0:v>1.6343</ns0:v>
      </ns0:c>
      <ns0:c r="H90" s="3">
        <ns0:v>1.5118</ns0:v>
      </ns0:c>
      <ns0:c r="I90" s="3">
        <ns0:v>1.5532</ns0:v>
      </ns0:c>
      <ns0:c r="J90" s="3">
        <ns0:v>1.5586</ns0:v>
      </ns0:c>
      <ns0:c r="K90" s="3">
        <ns0:v>1.5414</ns0:v>
      </ns0:c>
      <ns0:c r="L90" s="3">
        <ns0:v>1.824</ns0:v>
      </ns0:c>
      <ns0:c r="M90" s="3">
        <ns0:v>3.6699</ns0:v>
      </ns0:c>
      <ns0:c r="N90" s="3">
        <ns0:v>3.8209</ns0:v>
      </ns0:c>
      <ns0:c r="O90" s="3">
        <ns0:v>3.3675</ns0:v>
      </ns0:c>
      <ns0:c r="P90" s="3">
        <ns0:v>3.0189</ns0:v>
      </ns0:c>
      <ns0:c r="Q90" s="3">
        <ns0:v>2.5315</ns0:v>
      </ns0:c>
      <ns0:c r="R90" s="3">
        <ns0:v>3.0254</ns0:v>
      </ns0:c>
      <ns0:c r="S90" s="3">
        <ns0:v>3.5417</ns0:v>
      </ns0:c>
      <ns0:c r="T90" s="3">
        <ns0:v>3.4406</ns0:v>
      </ns0:c>
      <ns0:c r="U90" s="3">
        <ns0:v>3.4092</ns0:v>
      </ns0:c>
      <ns0:c r="V90" s="3">
        <ns0:v>3.3272</ns0:v>
      </ns0:c>
      <ns0:c r="W90" s="3">
        <ns0:v>3.0456</ns0:v>
      </ns0:c>
      <ns0:c r="X90" s="3">
        <ns0:v>3.0614</ns0:v>
      </ns0:c>
      <ns0:c r="Y90" s="3">
        <ns0:v>2.7636</ns0:v>
      </ns0:c>
      <ns0:c r="Z90" s="3">
        <ns0:v>2.5534</ns0:v>
      </ns0:c>
      <ns0:c r="AA90" s="3">
        <ns0:v>2.0067</ns0:v>
      </ns0:c>
      <ns0:c r="AB90" s="3">
        <ns0:v>1.6495</ns0:v>
      </ns0:c>
    </ns0:row>
    <ns0:row r="91" spans="1:28">
      <ns0:c r="A91" s="4">
        <ns0:v>46021</ns0:v>
      </ns0:c>
      <ns0:c r="B91" s="7"/>
      <ns0:c r="C91" s="2" t="s">
        <ns0:v>36</ns0:v>
      </ns0:c>
      <ns0:c r="D91" s="3">
        <ns0:v>60.33</ns0:v>
      </ns0:c>
      <ns0:c r="E91" s="13">
        <ns0:v>1.436</ns0:v>
      </ns0:c>
      <ns0:c r="F91" s="13">
        <ns0:v>1.441</ns0:v>
      </ns0:c>
      <ns0:c r="G91" s="13">
        <ns0:v>1.398</ns0:v>
      </ns0:c>
      <ns0:c r="H91" s="13">
        <ns0:v>1.405</ns0:v>
      </ns0:c>
      <ns0:c r="I91" s="13">
        <ns0:v>1.42</ns0:v>
      </ns0:c>
      <ns0:c r="J91" s="13">
        <ns0:v>1.44</ns0:v>
      </ns0:c>
      <ns0:c r="K91" s="13">
        <ns0:v>1.362</ns0:v>
      </ns0:c>
      <ns0:c r="L91" s="13">
        <ns0:v>1.721</ns0:v>
      </ns0:c>
      <ns0:c r="M91" s="13">
        <ns0:v>3.448</ns0:v>
      </ns0:c>
      <ns0:c r="N91" s="13">
        <ns0:v>3.594</ns0:v>
      </ns0:c>
      <ns0:c r="O91" s="13">
        <ns0:v>3.087</ns0:v>
      </ns0:c>
      <ns0:c r="P91" s="13">
        <ns0:v>3.02</ns0:v>
      </ns0:c>
      <ns0:c r="Q91" s="13">
        <ns0:v>2.412</ns0:v>
      </ns0:c>
      <ns0:c r="R91" s="13">
        <ns0:v>2.925</ns0:v>
      </ns0:c>
      <ns0:c r="S91" s="13">
        <ns0:v>3.386</ns0:v>
      </ns0:c>
      <ns0:c r="T91" s="13">
        <ns0:v>3.254</ns0:v>
      </ns0:c>
      <ns0:c r="U91" s="13">
        <ns0:v>3.446</ns0:v>
      </ns0:c>
      <ns0:c r="V91" s="13">
        <ns0:v>3.654</ns0:v>
      </ns0:c>
      <ns0:c r="W91" s="13">
        <ns0:v>3.945</ns0:v>
      </ns0:c>
      <ns0:c r="X91" s="13">
        <ns0:v>4.097</ns0:v>
      </ns0:c>
      <ns0:c r="Y91" s="13">
        <ns0:v>3.01</ns0:v>
      </ns0:c>
      <ns0:c r="Z91" s="13">
        <ns0:v>2.247</ns0:v>
      </ns0:c>
      <ns0:c r="AA91" s="13">
        <ns0:v>1.715</ns0:v>
      </ns0:c>
      <ns0:c r="AB91" s="13">
        <ns0:v>1.467</ns0:v>
      </ns0:c>
    </ns0:row>
    <ns0:row r="92" spans="1:28">
      <ns0:c r="A92" s="4">
        <ns0:v>46022</ns0:v>
      </ns0:c>
      <ns0:c r="B92" s="5">
        <ns0:v>356.8262348</ns0:v>
      </ns0:c>
      <ns0:c r="C92" s="2" t="s">
        <ns0:v>33</ns0:v>
      </ns0:c>
      <ns0:c r="D92" s="3">
        <ns0:v>67.520669</ns0:v>
      </ns0:c>
      <ns0:c r="E92" s="3">
        <ns0:v>1.679812</ns0:v>
      </ns0:c>
      <ns0:c r="F92" s="3">
        <ns0:v>1.694608</ns0:v>
      </ns0:c>
      <ns0:c r="G92" s="3">
        <ns0:v>1.652695</ns0:v>
      </ns0:c>
      <ns0:c r="H92" s="3">
        <ns0:v>1.65138</ns0:v>
      </ns0:c>
      <ns0:c r="I92" s="3">
        <ns0:v>1.685412</ns0:v>
      </ns0:c>
      <ns0:c r="J92" s="3">
        <ns0:v>1.66248</ns0:v>
      </ns0:c>
      <ns0:c r="K92" s="3">
        <ns0:v>1.587875</ns0:v>
      </ns0:c>
      <ns0:c r="L92" s="3">
        <ns0:v>1.964907</ns0:v>
      </ns0:c>
      <ns0:c r="M92" s="3">
        <ns0:v>4.015879</ns0:v>
      </ns0:c>
      <ns0:c r="N92" s="3">
        <ns0:v>4.325793</ns0:v>
      </ns0:c>
      <ns0:c r="O92" s="3">
        <ns0:v>3.756357</ns0:v>
      </ns0:c>
      <ns0:c r="P92" s="3">
        <ns0:v>3.598129</ns0:v>
      </ns0:c>
      <ns0:c r="Q92" s="3">
        <ns0:v>2.9002</ns0:v>
      </ns0:c>
      <ns0:c r="R92" s="3">
        <ns0:v>3.434485</ns0:v>
      </ns0:c>
      <ns0:c r="S92" s="3">
        <ns0:v>4.005913</ns0:v>
      </ns0:c>
      <ns0:c r="T92" s="3">
        <ns0:v>3.799133</ns0:v>
      </ns0:c>
      <ns0:c r="U92" s="3">
        <ns0:v>3.988808</ns0:v>
      </ns0:c>
      <ns0:c r="V92" s="3">
        <ns0:v>3.696159</ns0:v>
      </ns0:c>
      <ns0:c r="W92" s="3">
        <ns0:v>3.401376</ns0:v>
      </ns0:c>
      <ns0:c r="X92" s="3">
        <ns0:v>3.597749</ns0:v>
      </ns0:c>
      <ns0:c r="Y92" s="3">
        <ns0:v>3.138299</ns0:v>
      </ns0:c>
      <ns0:c r="Z92" s="3">
        <ns0:v>2.561809</ns0:v>
      </ns0:c>
      <ns0:c r="AA92" s="3">
        <ns0:v>1.979644</ns0:v>
      </ns0:c>
      <ns0:c r="AB92" s="3">
        <ns0:v>1.741767</ns0:v>
      </ns0:c>
    </ns0:row>
    <ns0:row r="93" spans="1:28">
      <ns0:c r="A93" s="4">
        <ns0:v>46022</ns0:v>
      </ns0:c>
      <ns0:c r="B93" s="5"/>
      <ns0:c r="C93" s="6" t="s">
        <ns0:v>49</ns0:v>
      </ns0:c>
      <ns0:c r="D93" s="3">
        <ns0:v>65.2793</ns0:v>
      </ns0:c>
      <ns0:c r="E93" s="3">
        <ns0:v>1.7356</ns0:v>
      </ns0:c>
      <ns0:c r="F93" s="3">
        <ns0:v>1.733</ns0:v>
      </ns0:c>
      <ns0:c r="G93" s="3">
        <ns0:v>1.7353</ns0:v>
      </ns0:c>
      <ns0:c r="H93" s="3">
        <ns0:v>1.7277</ns0:v>
      </ns0:c>
      <ns0:c r="I93" s="3">
        <ns0:v>1.655</ns0:v>
      </ns0:c>
      <ns0:c r="J93" s="3">
        <ns0:v>1.6331</ns0:v>
      </ns0:c>
      <ns0:c r="K93" s="3">
        <ns0:v>1.6269</ns0:v>
      </ns0:c>
      <ns0:c r="L93" s="3">
        <ns0:v>2.0913</ns0:v>
      </ns0:c>
      <ns0:c r="M93" s="3">
        <ns0:v>4.5506</ns0:v>
      </ns0:c>
      <ns0:c r="N93" s="3">
        <ns0:v>4.7365</ns0:v>
      </ns0:c>
      <ns0:c r="O93" s="3">
        <ns0:v>4.3133</ns0:v>
      </ns0:c>
      <ns0:c r="P93" s="3">
        <ns0:v>3.8531</ns0:v>
      </ns0:c>
      <ns0:c r="Q93" s="3">
        <ns0:v>2.8212</ns0:v>
      </ns0:c>
      <ns0:c r="R93" s="3">
        <ns0:v>3.5752</ns0:v>
      </ns0:c>
      <ns0:c r="S93" s="3">
        <ns0:v>4.288</ns0:v>
      </ns0:c>
      <ns0:c r="T93" s="3">
        <ns0:v>4.1042</ns0:v>
      </ns0:c>
      <ns0:c r="U93" s="3">
        <ns0:v>4.0239</ns0:v>
      </ns0:c>
      <ns0:c r="V93" s="3">
        <ns0:v>3.4929</ns0:v>
      </ns0:c>
      <ns0:c r="W93" s="3">
        <ns0:v>2.8079</ns0:v>
      </ns0:c>
      <ns0:c r="X93" s="3">
        <ns0:v>2.6478</ns0:v>
      </ns0:c>
      <ns0:c r="Y93" s="3">
        <ns0:v>2.1253</ns0:v>
      </ns0:c>
      <ns0:c r="Z93" s="3">
        <ns0:v>1.6265</ns0:v>
      </ns0:c>
      <ns0:c r="AA93" s="3">
        <ns0:v>1.2981</ns0:v>
      </ns0:c>
      <ns0:c r="AB93" s="3">
        <ns0:v>1.0769</ns0:v>
      </ns0:c>
    </ns0:row>
    <ns0:row r="94" spans="1:28">
      <ns0:c r="A94" s="4">
        <ns0:v>46022</ns0:v>
      </ns0:c>
      <ns0:c r="B94" s="7"/>
      <ns0:c r="C94" s="2" t="s">
        <ns0:v>36</ns0:v>
      </ns0:c>
      <ns0:c r="D94" s="3">
        <ns0:v>63.425</ns0:v>
      </ns0:c>
      <ns0:c r="E94" s="13">
        <ns0:v>1.512</ns0:v>
      </ns0:c>
      <ns0:c r="F94" s="13">
        <ns0:v>1.864</ns0:v>
      </ns0:c>
      <ns0:c r="G94" s="13">
        <ns0:v>1.322</ns0:v>
      </ns0:c>
      <ns0:c r="H94" s="13">
        <ns0:v>1.486</ns0:v>
      </ns0:c>
      <ns0:c r="I94" s="13">
        <ns0:v>1.517</ns0:v>
      </ns0:c>
      <ns0:c r="J94" s="13">
        <ns0:v>1.33</ns0:v>
      </ns0:c>
      <ns0:c r="K94" s="13">
        <ns0:v>1.747</ns0:v>
      </ns0:c>
      <ns0:c r="L94" s="13">
        <ns0:v>2.161</ns0:v>
      </ns0:c>
      <ns0:c r="M94" s="13">
        <ns0:v>4.819</ns0:v>
      </ns0:c>
      <ns0:c r="N94" s="13">
        <ns0:v>4.326</ns0:v>
      </ns0:c>
      <ns0:c r="O94" s="13">
        <ns0:v>3.005</ns0:v>
      </ns0:c>
      <ns0:c r="P94" s="13">
        <ns0:v>2.879</ns0:v>
      </ns0:c>
      <ns0:c r="Q94" s="13">
        <ns0:v>2.32</ns0:v>
      </ns0:c>
      <ns0:c r="R94" s="13">
        <ns0:v>3.091</ns0:v>
      </ns0:c>
      <ns0:c r="S94" s="13">
        <ns0:v>3.205</ns0:v>
      </ns0:c>
      <ns0:c r="T94" s="13">
        <ns0:v>2.659</ns0:v>
      </ns0:c>
      <ns0:c r="U94" s="13">
        <ns0:v>4.388</ns0:v>
      </ns0:c>
      <ns0:c r="V94" s="13">
        <ns0:v>4.066</ns0:v>
      </ns0:c>
      <ns0:c r="W94" s="13">
        <ns0:v>3.742</ns0:v>
      </ns0:c>
      <ns0:c r="X94" s="13">
        <ns0:v>2.878</ns0:v>
      </ns0:c>
      <ns0:c r="Y94" s="13">
        <ns0:v>3.452</ns0:v>
      </ns0:c>
      <ns0:c r="Z94" s="13">
        <ns0:v>2.306</ns0:v>
      </ns0:c>
      <ns0:c r="AA94" s="13">
        <ns0:v>1.782</ns0:v>
      </ns0:c>
      <ns0:c r="AB94" s="13">
        <ns0:v>1.568</ns0:v>
      </ns0:c>
    </ns0:row>
  </ns0:sheetData>
  <ns0:sortState ref="A3:AB95">
    <ns0:sortCondition ref="A49"/>
  </ns0:sortState>
  <ns0:mergeCells count="31">
    <ns0:mergeCell ref="B2:B4"/>
    <ns0:mergeCell ref="B5:B7"/>
    <ns0:mergeCell ref="B8:B10"/>
    <ns0:mergeCell ref="B11:B13"/>
    <ns0:mergeCell ref="B14:B16"/>
    <ns0:mergeCell ref="B17:B19"/>
    <ns0:mergeCell ref="B20:B22"/>
    <ns0:mergeCell ref="B23:B25"/>
    <ns0:mergeCell ref="B26:B28"/>
    <ns0:mergeCell ref="B29:B31"/>
    <ns0:mergeCell ref="B32:B34"/>
    <ns0:mergeCell ref="B35:B37"/>
    <ns0:mergeCell ref="B38:B40"/>
    <ns0:mergeCell ref="B41:B43"/>
    <ns0:mergeCell ref="B44:B46"/>
    <ns0:mergeCell ref="B47:B49"/>
    <ns0:mergeCell ref="B50:B52"/>
    <ns0:mergeCell ref="B53:B55"/>
    <ns0:mergeCell ref="B56:B58"/>
    <ns0:mergeCell ref="B59:B61"/>
    <ns0:mergeCell ref="B62:B64"/>
    <ns0:mergeCell ref="B65:B67"/>
    <ns0:mergeCell ref="B68:B70"/>
    <ns0:mergeCell ref="B71:B73"/>
    <ns0:mergeCell ref="B74:B76"/>
    <ns0:mergeCell ref="B77:B79"/>
    <ns0:mergeCell ref="B80:B82"/>
    <ns0:mergeCell ref="B83:B85"/>
    <ns0:mergeCell ref="B86:B88"/>
    <ns0:mergeCell ref="B89:B91"/>
    <ns0:mergeCell ref="B92:B94"/>
  </ns0:mergeCells>
  <ns0:conditionalFormatting sqref="D1">
    <ns0:cfRule type="cellIs" dxfId="1" priority="2" operator="lessThan">
      <ns0:formula>0</ns0:formula>
    </ns0:cfRule>
  </ns0:conditionalFormatting>
  <ns0:conditionalFormatting sqref="E1:AB1">
    <ns0:cfRule type="cellIs" dxfId="0" priority="1" operator="lessThan">
      <ns0:formula>0</ns0:formula>
    </ns0:cfRule>
  </ns0:conditionalFormatting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12月代理实际分时电量</vt:lpstr>
      <vt:lpstr>12月日前报价策略</vt:lpstr>
      <vt:lpstr>每日收益测算</vt:lpstr>
      <vt:lpstr>预期收益（负荷无偏差）</vt:lpstr>
      <vt:lpstr>日清算</vt:lpstr>
      <vt:lpstr>电量对比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hxdl-6682</dc:creator>
  <cp:lastModifiedBy>long</cp:lastModifiedBy>
  <dcterms:created xsi:type="dcterms:W3CDTF">2026-01-08T15:19:00Z</dcterms:created>
  <dcterms:modified xsi:type="dcterms:W3CDTF">2026-01-09T17:38:02Z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558CB2A81F38D5A4FFC46069B8D0E85E_43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1</vt:i4>
  </property>
</Properties>
</file>